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firstSheet="2" activeTab="6"/>
  </bookViews>
  <sheets>
    <sheet name="Overview" sheetId="1" r:id="rId1"/>
    <sheet name="Raw_Data" sheetId="2" r:id="rId2"/>
    <sheet name="Clean_Data" sheetId="3" r:id="rId3"/>
    <sheet name="Brand_Summary" sheetId="4" r:id="rId4"/>
    <sheet name="Category_Summary" sheetId="5" r:id="rId5"/>
    <sheet name="Top_Products" sheetId="6" r:id="rId6"/>
    <sheet name="Dashboard" sheetId="7" r:id="rId7"/>
  </sheets>
  <calcPr calcId="144525" iterateDelta="1E-4"/>
</workbook>
</file>

<file path=xl/calcChain.xml><?xml version="1.0" encoding="utf-8"?>
<calcChain xmlns="http://schemas.openxmlformats.org/spreadsheetml/2006/main">
  <c r="H1466" i="3" l="1"/>
  <c r="K1466" i="3" s="1"/>
  <c r="G1466" i="3"/>
  <c r="F1466" i="3"/>
  <c r="L1466" i="3" s="1"/>
  <c r="E1466" i="3"/>
  <c r="I1466" i="3" s="1"/>
  <c r="D1466" i="3"/>
  <c r="J1466" i="3" s="1"/>
  <c r="C1466" i="3"/>
  <c r="B1466" i="3"/>
  <c r="A1466" i="3"/>
  <c r="J1465" i="3"/>
  <c r="H1465" i="3"/>
  <c r="K1465" i="3" s="1"/>
  <c r="G1465" i="3"/>
  <c r="F1465" i="3"/>
  <c r="L1465" i="3" s="1"/>
  <c r="E1465" i="3"/>
  <c r="I1465" i="3" s="1"/>
  <c r="D1465" i="3"/>
  <c r="C1465" i="3"/>
  <c r="B1465" i="3"/>
  <c r="A1465" i="3"/>
  <c r="J1464" i="3"/>
  <c r="H1464" i="3"/>
  <c r="K1464" i="3" s="1"/>
  <c r="G1464" i="3"/>
  <c r="F1464" i="3"/>
  <c r="L1464" i="3" s="1"/>
  <c r="E1464" i="3"/>
  <c r="I1464" i="3" s="1"/>
  <c r="D1464" i="3"/>
  <c r="C1464" i="3"/>
  <c r="B1464" i="3"/>
  <c r="A1464" i="3"/>
  <c r="J1463" i="3"/>
  <c r="H1463" i="3"/>
  <c r="K1463" i="3" s="1"/>
  <c r="G1463" i="3"/>
  <c r="F1463" i="3"/>
  <c r="L1463" i="3" s="1"/>
  <c r="E1463" i="3"/>
  <c r="I1463" i="3" s="1"/>
  <c r="D1463" i="3"/>
  <c r="C1463" i="3"/>
  <c r="B1463" i="3"/>
  <c r="A1463" i="3"/>
  <c r="J1462" i="3"/>
  <c r="H1462" i="3"/>
  <c r="K1462" i="3" s="1"/>
  <c r="G1462" i="3"/>
  <c r="F1462" i="3"/>
  <c r="L1462" i="3" s="1"/>
  <c r="E1462" i="3"/>
  <c r="I1462" i="3" s="1"/>
  <c r="D1462" i="3"/>
  <c r="C1462" i="3"/>
  <c r="B1462" i="3"/>
  <c r="A1462" i="3"/>
  <c r="J1461" i="3"/>
  <c r="H1461" i="3"/>
  <c r="K1461" i="3" s="1"/>
  <c r="G1461" i="3"/>
  <c r="F1461" i="3"/>
  <c r="L1461" i="3" s="1"/>
  <c r="E1461" i="3"/>
  <c r="I1461" i="3" s="1"/>
  <c r="D1461" i="3"/>
  <c r="C1461" i="3"/>
  <c r="B1461" i="3"/>
  <c r="A1461" i="3"/>
  <c r="J1460" i="3"/>
  <c r="H1460" i="3"/>
  <c r="K1460" i="3" s="1"/>
  <c r="G1460" i="3"/>
  <c r="F1460" i="3"/>
  <c r="L1460" i="3" s="1"/>
  <c r="E1460" i="3"/>
  <c r="I1460" i="3" s="1"/>
  <c r="D1460" i="3"/>
  <c r="C1460" i="3"/>
  <c r="B1460" i="3"/>
  <c r="A1460" i="3"/>
  <c r="J1459" i="3"/>
  <c r="H1459" i="3"/>
  <c r="K1459" i="3" s="1"/>
  <c r="G1459" i="3"/>
  <c r="F1459" i="3"/>
  <c r="L1459" i="3" s="1"/>
  <c r="E1459" i="3"/>
  <c r="I1459" i="3" s="1"/>
  <c r="D1459" i="3"/>
  <c r="C1459" i="3"/>
  <c r="B1459" i="3"/>
  <c r="A1459" i="3"/>
  <c r="J1458" i="3"/>
  <c r="H1458" i="3"/>
  <c r="K1458" i="3" s="1"/>
  <c r="G1458" i="3"/>
  <c r="F1458" i="3"/>
  <c r="L1458" i="3" s="1"/>
  <c r="E1458" i="3"/>
  <c r="I1458" i="3" s="1"/>
  <c r="D1458" i="3"/>
  <c r="C1458" i="3"/>
  <c r="B1458" i="3"/>
  <c r="A1458" i="3"/>
  <c r="J1457" i="3"/>
  <c r="H1457" i="3"/>
  <c r="K1457" i="3" s="1"/>
  <c r="G1457" i="3"/>
  <c r="F1457" i="3"/>
  <c r="L1457" i="3" s="1"/>
  <c r="E1457" i="3"/>
  <c r="I1457" i="3" s="1"/>
  <c r="D1457" i="3"/>
  <c r="C1457" i="3"/>
  <c r="B1457" i="3"/>
  <c r="A1457" i="3"/>
  <c r="J1456" i="3"/>
  <c r="H1456" i="3"/>
  <c r="K1456" i="3" s="1"/>
  <c r="G1456" i="3"/>
  <c r="F1456" i="3"/>
  <c r="L1456" i="3" s="1"/>
  <c r="E1456" i="3"/>
  <c r="I1456" i="3" s="1"/>
  <c r="D1456" i="3"/>
  <c r="C1456" i="3"/>
  <c r="B1456" i="3"/>
  <c r="A1456" i="3"/>
  <c r="H1455" i="3"/>
  <c r="K1455" i="3" s="1"/>
  <c r="G1455" i="3"/>
  <c r="F1455" i="3"/>
  <c r="L1455" i="3" s="1"/>
  <c r="E1455" i="3"/>
  <c r="D1455" i="3"/>
  <c r="J1455" i="3" s="1"/>
  <c r="C1455" i="3"/>
  <c r="B1455" i="3"/>
  <c r="A1455" i="3"/>
  <c r="H1454" i="3"/>
  <c r="K1454" i="3" s="1"/>
  <c r="G1454" i="3"/>
  <c r="F1454" i="3"/>
  <c r="L1454" i="3" s="1"/>
  <c r="E1454" i="3"/>
  <c r="D1454" i="3"/>
  <c r="J1454" i="3" s="1"/>
  <c r="C1454" i="3"/>
  <c r="B1454" i="3"/>
  <c r="A1454" i="3"/>
  <c r="H1453" i="3"/>
  <c r="K1453" i="3" s="1"/>
  <c r="G1453" i="3"/>
  <c r="F1453" i="3"/>
  <c r="L1453" i="3" s="1"/>
  <c r="E1453" i="3"/>
  <c r="D1453" i="3"/>
  <c r="J1453" i="3" s="1"/>
  <c r="C1453" i="3"/>
  <c r="B1453" i="3"/>
  <c r="A1453" i="3"/>
  <c r="H1452" i="3"/>
  <c r="K1452" i="3" s="1"/>
  <c r="G1452" i="3"/>
  <c r="F1452" i="3"/>
  <c r="L1452" i="3" s="1"/>
  <c r="E1452" i="3"/>
  <c r="D1452" i="3"/>
  <c r="J1452" i="3" s="1"/>
  <c r="C1452" i="3"/>
  <c r="B1452" i="3"/>
  <c r="A1452" i="3"/>
  <c r="L1451" i="3"/>
  <c r="H1451" i="3"/>
  <c r="K1451" i="3" s="1"/>
  <c r="G1451" i="3"/>
  <c r="F1451" i="3"/>
  <c r="E1451" i="3"/>
  <c r="I1451" i="3" s="1"/>
  <c r="D1451" i="3"/>
  <c r="J1451" i="3" s="1"/>
  <c r="C1451" i="3"/>
  <c r="B1451" i="3"/>
  <c r="A1451" i="3"/>
  <c r="L1450" i="3"/>
  <c r="H1450" i="3"/>
  <c r="K1450" i="3" s="1"/>
  <c r="G1450" i="3"/>
  <c r="F1450" i="3"/>
  <c r="E1450" i="3"/>
  <c r="I1450" i="3" s="1"/>
  <c r="D1450" i="3"/>
  <c r="J1450" i="3" s="1"/>
  <c r="C1450" i="3"/>
  <c r="B1450" i="3"/>
  <c r="A1450" i="3"/>
  <c r="L1449" i="3"/>
  <c r="H1449" i="3"/>
  <c r="K1449" i="3" s="1"/>
  <c r="G1449" i="3"/>
  <c r="F1449" i="3"/>
  <c r="E1449" i="3"/>
  <c r="I1449" i="3" s="1"/>
  <c r="D1449" i="3"/>
  <c r="J1449" i="3" s="1"/>
  <c r="C1449" i="3"/>
  <c r="B1449" i="3"/>
  <c r="A1449" i="3"/>
  <c r="L1448" i="3"/>
  <c r="H1448" i="3"/>
  <c r="K1448" i="3" s="1"/>
  <c r="G1448" i="3"/>
  <c r="F1448" i="3"/>
  <c r="E1448" i="3"/>
  <c r="I1448" i="3" s="1"/>
  <c r="D1448" i="3"/>
  <c r="J1448" i="3" s="1"/>
  <c r="C1448" i="3"/>
  <c r="B1448" i="3"/>
  <c r="A1448" i="3"/>
  <c r="L1447" i="3"/>
  <c r="H1447" i="3"/>
  <c r="K1447" i="3" s="1"/>
  <c r="G1447" i="3"/>
  <c r="F1447" i="3"/>
  <c r="E1447" i="3"/>
  <c r="I1447" i="3" s="1"/>
  <c r="D1447" i="3"/>
  <c r="J1447" i="3" s="1"/>
  <c r="C1447" i="3"/>
  <c r="B1447" i="3"/>
  <c r="A1447" i="3"/>
  <c r="L1446" i="3"/>
  <c r="H1446" i="3"/>
  <c r="K1446" i="3" s="1"/>
  <c r="G1446" i="3"/>
  <c r="F1446" i="3"/>
  <c r="E1446" i="3"/>
  <c r="I1446" i="3" s="1"/>
  <c r="D1446" i="3"/>
  <c r="J1446" i="3" s="1"/>
  <c r="C1446" i="3"/>
  <c r="B1446" i="3"/>
  <c r="A1446" i="3"/>
  <c r="L1445" i="3"/>
  <c r="H1445" i="3"/>
  <c r="K1445" i="3" s="1"/>
  <c r="G1445" i="3"/>
  <c r="F1445" i="3"/>
  <c r="E1445" i="3"/>
  <c r="I1445" i="3" s="1"/>
  <c r="D1445" i="3"/>
  <c r="J1445" i="3" s="1"/>
  <c r="C1445" i="3"/>
  <c r="B1445" i="3"/>
  <c r="A1445" i="3"/>
  <c r="L1444" i="3"/>
  <c r="H1444" i="3"/>
  <c r="K1444" i="3" s="1"/>
  <c r="G1444" i="3"/>
  <c r="F1444" i="3"/>
  <c r="E1444" i="3"/>
  <c r="I1444" i="3" s="1"/>
  <c r="D1444" i="3"/>
  <c r="J1444" i="3" s="1"/>
  <c r="C1444" i="3"/>
  <c r="B1444" i="3"/>
  <c r="A1444" i="3"/>
  <c r="L1443" i="3"/>
  <c r="H1443" i="3"/>
  <c r="K1443" i="3" s="1"/>
  <c r="G1443" i="3"/>
  <c r="F1443" i="3"/>
  <c r="E1443" i="3"/>
  <c r="I1443" i="3" s="1"/>
  <c r="D1443" i="3"/>
  <c r="J1443" i="3" s="1"/>
  <c r="C1443" i="3"/>
  <c r="B1443" i="3"/>
  <c r="A1443" i="3"/>
  <c r="L1442" i="3"/>
  <c r="H1442" i="3"/>
  <c r="K1442" i="3" s="1"/>
  <c r="G1442" i="3"/>
  <c r="F1442" i="3"/>
  <c r="E1442" i="3"/>
  <c r="I1442" i="3" s="1"/>
  <c r="D1442" i="3"/>
  <c r="J1442" i="3" s="1"/>
  <c r="C1442" i="3"/>
  <c r="B1442" i="3"/>
  <c r="A1442" i="3"/>
  <c r="L1441" i="3"/>
  <c r="H1441" i="3"/>
  <c r="K1441" i="3" s="1"/>
  <c r="G1441" i="3"/>
  <c r="F1441" i="3"/>
  <c r="E1441" i="3"/>
  <c r="I1441" i="3" s="1"/>
  <c r="D1441" i="3"/>
  <c r="J1441" i="3" s="1"/>
  <c r="C1441" i="3"/>
  <c r="B1441" i="3"/>
  <c r="A1441" i="3"/>
  <c r="L1440" i="3"/>
  <c r="H1440" i="3"/>
  <c r="K1440" i="3" s="1"/>
  <c r="G1440" i="3"/>
  <c r="F1440" i="3"/>
  <c r="E1440" i="3"/>
  <c r="I1440" i="3" s="1"/>
  <c r="D1440" i="3"/>
  <c r="J1440" i="3" s="1"/>
  <c r="C1440" i="3"/>
  <c r="B1440" i="3"/>
  <c r="A1440" i="3"/>
  <c r="L1439" i="3"/>
  <c r="H1439" i="3"/>
  <c r="K1439" i="3" s="1"/>
  <c r="G1439" i="3"/>
  <c r="F1439" i="3"/>
  <c r="E1439" i="3"/>
  <c r="I1439" i="3" s="1"/>
  <c r="D1439" i="3"/>
  <c r="J1439" i="3" s="1"/>
  <c r="C1439" i="3"/>
  <c r="B1439" i="3"/>
  <c r="A1439" i="3"/>
  <c r="L1438" i="3"/>
  <c r="H1438" i="3"/>
  <c r="K1438" i="3" s="1"/>
  <c r="G1438" i="3"/>
  <c r="F1438" i="3"/>
  <c r="E1438" i="3"/>
  <c r="I1438" i="3" s="1"/>
  <c r="D1438" i="3"/>
  <c r="J1438" i="3" s="1"/>
  <c r="C1438" i="3"/>
  <c r="B1438" i="3"/>
  <c r="A1438" i="3"/>
  <c r="L1437" i="3"/>
  <c r="H1437" i="3"/>
  <c r="K1437" i="3" s="1"/>
  <c r="G1437" i="3"/>
  <c r="F1437" i="3"/>
  <c r="E1437" i="3"/>
  <c r="I1437" i="3" s="1"/>
  <c r="D1437" i="3"/>
  <c r="J1437" i="3" s="1"/>
  <c r="C1437" i="3"/>
  <c r="B1437" i="3"/>
  <c r="A1437" i="3"/>
  <c r="L1436" i="3"/>
  <c r="H1436" i="3"/>
  <c r="K1436" i="3" s="1"/>
  <c r="G1436" i="3"/>
  <c r="F1436" i="3"/>
  <c r="E1436" i="3"/>
  <c r="I1436" i="3" s="1"/>
  <c r="D1436" i="3"/>
  <c r="J1436" i="3" s="1"/>
  <c r="C1436" i="3"/>
  <c r="B1436" i="3"/>
  <c r="A1436" i="3"/>
  <c r="L1435" i="3"/>
  <c r="H1435" i="3"/>
  <c r="K1435" i="3" s="1"/>
  <c r="G1435" i="3"/>
  <c r="F1435" i="3"/>
  <c r="E1435" i="3"/>
  <c r="I1435" i="3" s="1"/>
  <c r="D1435" i="3"/>
  <c r="J1435" i="3" s="1"/>
  <c r="C1435" i="3"/>
  <c r="B1435" i="3"/>
  <c r="A1435" i="3"/>
  <c r="L1434" i="3"/>
  <c r="H1434" i="3"/>
  <c r="K1434" i="3" s="1"/>
  <c r="G1434" i="3"/>
  <c r="F1434" i="3"/>
  <c r="E1434" i="3"/>
  <c r="I1434" i="3" s="1"/>
  <c r="D1434" i="3"/>
  <c r="J1434" i="3" s="1"/>
  <c r="C1434" i="3"/>
  <c r="B1434" i="3"/>
  <c r="A1434" i="3"/>
  <c r="L1433" i="3"/>
  <c r="H1433" i="3"/>
  <c r="K1433" i="3" s="1"/>
  <c r="G1433" i="3"/>
  <c r="F1433" i="3"/>
  <c r="E1433" i="3"/>
  <c r="I1433" i="3" s="1"/>
  <c r="D1433" i="3"/>
  <c r="J1433" i="3" s="1"/>
  <c r="C1433" i="3"/>
  <c r="B1433" i="3"/>
  <c r="A1433" i="3"/>
  <c r="L1432" i="3"/>
  <c r="H1432" i="3"/>
  <c r="K1432" i="3" s="1"/>
  <c r="G1432" i="3"/>
  <c r="F1432" i="3"/>
  <c r="E1432" i="3"/>
  <c r="I1432" i="3" s="1"/>
  <c r="D1432" i="3"/>
  <c r="J1432" i="3" s="1"/>
  <c r="C1432" i="3"/>
  <c r="B1432" i="3"/>
  <c r="A1432" i="3"/>
  <c r="L1431" i="3"/>
  <c r="H1431" i="3"/>
  <c r="K1431" i="3" s="1"/>
  <c r="G1431" i="3"/>
  <c r="F1431" i="3"/>
  <c r="E1431" i="3"/>
  <c r="I1431" i="3" s="1"/>
  <c r="D1431" i="3"/>
  <c r="J1431" i="3" s="1"/>
  <c r="C1431" i="3"/>
  <c r="B1431" i="3"/>
  <c r="A1431" i="3"/>
  <c r="L1430" i="3"/>
  <c r="H1430" i="3"/>
  <c r="K1430" i="3" s="1"/>
  <c r="G1430" i="3"/>
  <c r="F1430" i="3"/>
  <c r="E1430" i="3"/>
  <c r="I1430" i="3" s="1"/>
  <c r="D1430" i="3"/>
  <c r="J1430" i="3" s="1"/>
  <c r="C1430" i="3"/>
  <c r="B1430" i="3"/>
  <c r="A1430" i="3"/>
  <c r="L1429" i="3"/>
  <c r="H1429" i="3"/>
  <c r="K1429" i="3" s="1"/>
  <c r="G1429" i="3"/>
  <c r="F1429" i="3"/>
  <c r="E1429" i="3"/>
  <c r="I1429" i="3" s="1"/>
  <c r="D1429" i="3"/>
  <c r="J1429" i="3" s="1"/>
  <c r="C1429" i="3"/>
  <c r="B1429" i="3"/>
  <c r="A1429" i="3"/>
  <c r="L1428" i="3"/>
  <c r="H1428" i="3"/>
  <c r="K1428" i="3" s="1"/>
  <c r="G1428" i="3"/>
  <c r="F1428" i="3"/>
  <c r="E1428" i="3"/>
  <c r="I1428" i="3" s="1"/>
  <c r="D1428" i="3"/>
  <c r="J1428" i="3" s="1"/>
  <c r="C1428" i="3"/>
  <c r="B1428" i="3"/>
  <c r="A1428" i="3"/>
  <c r="L1427" i="3"/>
  <c r="H1427" i="3"/>
  <c r="K1427" i="3" s="1"/>
  <c r="G1427" i="3"/>
  <c r="F1427" i="3"/>
  <c r="E1427" i="3"/>
  <c r="I1427" i="3" s="1"/>
  <c r="D1427" i="3"/>
  <c r="J1427" i="3" s="1"/>
  <c r="C1427" i="3"/>
  <c r="B1427" i="3"/>
  <c r="A1427" i="3"/>
  <c r="L1426" i="3"/>
  <c r="H1426" i="3"/>
  <c r="K1426" i="3" s="1"/>
  <c r="G1426" i="3"/>
  <c r="F1426" i="3"/>
  <c r="E1426" i="3"/>
  <c r="I1426" i="3" s="1"/>
  <c r="D1426" i="3"/>
  <c r="J1426" i="3" s="1"/>
  <c r="C1426" i="3"/>
  <c r="B1426" i="3"/>
  <c r="A1426" i="3"/>
  <c r="L1425" i="3"/>
  <c r="H1425" i="3"/>
  <c r="K1425" i="3" s="1"/>
  <c r="G1425" i="3"/>
  <c r="F1425" i="3"/>
  <c r="E1425" i="3"/>
  <c r="I1425" i="3" s="1"/>
  <c r="D1425" i="3"/>
  <c r="J1425" i="3" s="1"/>
  <c r="C1425" i="3"/>
  <c r="B1425" i="3"/>
  <c r="A1425" i="3"/>
  <c r="L1424" i="3"/>
  <c r="H1424" i="3"/>
  <c r="K1424" i="3" s="1"/>
  <c r="G1424" i="3"/>
  <c r="F1424" i="3"/>
  <c r="E1424" i="3"/>
  <c r="I1424" i="3" s="1"/>
  <c r="D1424" i="3"/>
  <c r="J1424" i="3" s="1"/>
  <c r="C1424" i="3"/>
  <c r="B1424" i="3"/>
  <c r="A1424" i="3"/>
  <c r="L1423" i="3"/>
  <c r="H1423" i="3"/>
  <c r="K1423" i="3" s="1"/>
  <c r="G1423" i="3"/>
  <c r="F1423" i="3"/>
  <c r="E1423" i="3"/>
  <c r="I1423" i="3" s="1"/>
  <c r="D1423" i="3"/>
  <c r="J1423" i="3" s="1"/>
  <c r="C1423" i="3"/>
  <c r="B1423" i="3"/>
  <c r="A1423" i="3"/>
  <c r="L1422" i="3"/>
  <c r="H1422" i="3"/>
  <c r="K1422" i="3" s="1"/>
  <c r="G1422" i="3"/>
  <c r="F1422" i="3"/>
  <c r="E1422" i="3"/>
  <c r="I1422" i="3" s="1"/>
  <c r="D1422" i="3"/>
  <c r="J1422" i="3" s="1"/>
  <c r="C1422" i="3"/>
  <c r="B1422" i="3"/>
  <c r="A1422" i="3"/>
  <c r="L1421" i="3"/>
  <c r="H1421" i="3"/>
  <c r="K1421" i="3" s="1"/>
  <c r="G1421" i="3"/>
  <c r="F1421" i="3"/>
  <c r="E1421" i="3"/>
  <c r="I1421" i="3" s="1"/>
  <c r="D1421" i="3"/>
  <c r="J1421" i="3" s="1"/>
  <c r="C1421" i="3"/>
  <c r="B1421" i="3"/>
  <c r="A1421" i="3"/>
  <c r="L1420" i="3"/>
  <c r="H1420" i="3"/>
  <c r="K1420" i="3" s="1"/>
  <c r="G1420" i="3"/>
  <c r="F1420" i="3"/>
  <c r="E1420" i="3"/>
  <c r="I1420" i="3" s="1"/>
  <c r="D1420" i="3"/>
  <c r="J1420" i="3" s="1"/>
  <c r="C1420" i="3"/>
  <c r="B1420" i="3"/>
  <c r="A1420" i="3"/>
  <c r="L1419" i="3"/>
  <c r="H1419" i="3"/>
  <c r="K1419" i="3" s="1"/>
  <c r="G1419" i="3"/>
  <c r="F1419" i="3"/>
  <c r="E1419" i="3"/>
  <c r="I1419" i="3" s="1"/>
  <c r="D1419" i="3"/>
  <c r="J1419" i="3" s="1"/>
  <c r="C1419" i="3"/>
  <c r="B1419" i="3"/>
  <c r="A1419" i="3"/>
  <c r="L1418" i="3"/>
  <c r="H1418" i="3"/>
  <c r="K1418" i="3" s="1"/>
  <c r="G1418" i="3"/>
  <c r="F1418" i="3"/>
  <c r="E1418" i="3"/>
  <c r="I1418" i="3" s="1"/>
  <c r="D1418" i="3"/>
  <c r="J1418" i="3" s="1"/>
  <c r="C1418" i="3"/>
  <c r="B1418" i="3"/>
  <c r="A1418" i="3"/>
  <c r="L1417" i="3"/>
  <c r="H1417" i="3"/>
  <c r="K1417" i="3" s="1"/>
  <c r="G1417" i="3"/>
  <c r="F1417" i="3"/>
  <c r="E1417" i="3"/>
  <c r="I1417" i="3" s="1"/>
  <c r="D1417" i="3"/>
  <c r="J1417" i="3" s="1"/>
  <c r="C1417" i="3"/>
  <c r="B1417" i="3"/>
  <c r="A1417" i="3"/>
  <c r="L1416" i="3"/>
  <c r="H1416" i="3"/>
  <c r="K1416" i="3" s="1"/>
  <c r="G1416" i="3"/>
  <c r="F1416" i="3"/>
  <c r="E1416" i="3"/>
  <c r="I1416" i="3" s="1"/>
  <c r="D1416" i="3"/>
  <c r="J1416" i="3" s="1"/>
  <c r="C1416" i="3"/>
  <c r="B1416" i="3"/>
  <c r="A1416" i="3"/>
  <c r="L1415" i="3"/>
  <c r="H1415" i="3"/>
  <c r="K1415" i="3" s="1"/>
  <c r="G1415" i="3"/>
  <c r="F1415" i="3"/>
  <c r="E1415" i="3"/>
  <c r="I1415" i="3" s="1"/>
  <c r="D1415" i="3"/>
  <c r="J1415" i="3" s="1"/>
  <c r="C1415" i="3"/>
  <c r="B1415" i="3"/>
  <c r="A1415" i="3"/>
  <c r="L1414" i="3"/>
  <c r="H1414" i="3"/>
  <c r="K1414" i="3" s="1"/>
  <c r="G1414" i="3"/>
  <c r="F1414" i="3"/>
  <c r="E1414" i="3"/>
  <c r="I1414" i="3" s="1"/>
  <c r="D1414" i="3"/>
  <c r="J1414" i="3" s="1"/>
  <c r="C1414" i="3"/>
  <c r="B1414" i="3"/>
  <c r="A1414" i="3"/>
  <c r="L1413" i="3"/>
  <c r="H1413" i="3"/>
  <c r="K1413" i="3" s="1"/>
  <c r="G1413" i="3"/>
  <c r="F1413" i="3"/>
  <c r="E1413" i="3"/>
  <c r="I1413" i="3" s="1"/>
  <c r="D1413" i="3"/>
  <c r="J1413" i="3" s="1"/>
  <c r="C1413" i="3"/>
  <c r="B1413" i="3"/>
  <c r="A1413" i="3"/>
  <c r="L1412" i="3"/>
  <c r="H1412" i="3"/>
  <c r="K1412" i="3" s="1"/>
  <c r="G1412" i="3"/>
  <c r="F1412" i="3"/>
  <c r="E1412" i="3"/>
  <c r="I1412" i="3" s="1"/>
  <c r="D1412" i="3"/>
  <c r="J1412" i="3" s="1"/>
  <c r="C1412" i="3"/>
  <c r="B1412" i="3"/>
  <c r="A1412" i="3"/>
  <c r="L1411" i="3"/>
  <c r="H1411" i="3"/>
  <c r="K1411" i="3" s="1"/>
  <c r="G1411" i="3"/>
  <c r="F1411" i="3"/>
  <c r="E1411" i="3"/>
  <c r="I1411" i="3" s="1"/>
  <c r="D1411" i="3"/>
  <c r="J1411" i="3" s="1"/>
  <c r="C1411" i="3"/>
  <c r="B1411" i="3"/>
  <c r="A1411" i="3"/>
  <c r="L1410" i="3"/>
  <c r="H1410" i="3"/>
  <c r="K1410" i="3" s="1"/>
  <c r="G1410" i="3"/>
  <c r="F1410" i="3"/>
  <c r="E1410" i="3"/>
  <c r="I1410" i="3" s="1"/>
  <c r="D1410" i="3"/>
  <c r="J1410" i="3" s="1"/>
  <c r="C1410" i="3"/>
  <c r="B1410" i="3"/>
  <c r="A1410" i="3"/>
  <c r="L1409" i="3"/>
  <c r="H1409" i="3"/>
  <c r="K1409" i="3" s="1"/>
  <c r="G1409" i="3"/>
  <c r="F1409" i="3"/>
  <c r="E1409" i="3"/>
  <c r="D1409" i="3"/>
  <c r="J1409" i="3" s="1"/>
  <c r="C1409" i="3"/>
  <c r="B1409" i="3"/>
  <c r="A1409" i="3"/>
  <c r="L1408" i="3"/>
  <c r="H1408" i="3"/>
  <c r="K1408" i="3" s="1"/>
  <c r="G1408" i="3"/>
  <c r="F1408" i="3"/>
  <c r="E1408" i="3"/>
  <c r="I1408" i="3" s="1"/>
  <c r="D1408" i="3"/>
  <c r="J1408" i="3" s="1"/>
  <c r="C1408" i="3"/>
  <c r="B1408" i="3"/>
  <c r="A1408" i="3"/>
  <c r="L1407" i="3"/>
  <c r="H1407" i="3"/>
  <c r="K1407" i="3" s="1"/>
  <c r="G1407" i="3"/>
  <c r="F1407" i="3"/>
  <c r="E1407" i="3"/>
  <c r="I1407" i="3" s="1"/>
  <c r="D1407" i="3"/>
  <c r="J1407" i="3" s="1"/>
  <c r="C1407" i="3"/>
  <c r="B1407" i="3"/>
  <c r="A1407" i="3"/>
  <c r="L1406" i="3"/>
  <c r="H1406" i="3"/>
  <c r="K1406" i="3" s="1"/>
  <c r="G1406" i="3"/>
  <c r="F1406" i="3"/>
  <c r="E1406" i="3"/>
  <c r="D1406" i="3"/>
  <c r="J1406" i="3" s="1"/>
  <c r="C1406" i="3"/>
  <c r="B1406" i="3"/>
  <c r="A1406" i="3"/>
  <c r="L1405" i="3"/>
  <c r="H1405" i="3"/>
  <c r="K1405" i="3" s="1"/>
  <c r="G1405" i="3"/>
  <c r="F1405" i="3"/>
  <c r="E1405" i="3"/>
  <c r="D1405" i="3"/>
  <c r="J1405" i="3" s="1"/>
  <c r="C1405" i="3"/>
  <c r="B1405" i="3"/>
  <c r="A1405" i="3"/>
  <c r="L1404" i="3"/>
  <c r="H1404" i="3"/>
  <c r="K1404" i="3" s="1"/>
  <c r="G1404" i="3"/>
  <c r="F1404" i="3"/>
  <c r="E1404" i="3"/>
  <c r="I1404" i="3" s="1"/>
  <c r="D1404" i="3"/>
  <c r="J1404" i="3" s="1"/>
  <c r="C1404" i="3"/>
  <c r="B1404" i="3"/>
  <c r="A1404" i="3"/>
  <c r="L1403" i="3"/>
  <c r="H1403" i="3"/>
  <c r="K1403" i="3" s="1"/>
  <c r="G1403" i="3"/>
  <c r="F1403" i="3"/>
  <c r="E1403" i="3"/>
  <c r="I1403" i="3" s="1"/>
  <c r="D1403" i="3"/>
  <c r="J1403" i="3" s="1"/>
  <c r="C1403" i="3"/>
  <c r="B1403" i="3"/>
  <c r="A1403" i="3"/>
  <c r="L1402" i="3"/>
  <c r="H1402" i="3"/>
  <c r="K1402" i="3" s="1"/>
  <c r="G1402" i="3"/>
  <c r="F1402" i="3"/>
  <c r="E1402" i="3"/>
  <c r="D1402" i="3"/>
  <c r="J1402" i="3" s="1"/>
  <c r="C1402" i="3"/>
  <c r="B1402" i="3"/>
  <c r="A1402" i="3"/>
  <c r="L1401" i="3"/>
  <c r="H1401" i="3"/>
  <c r="K1401" i="3" s="1"/>
  <c r="G1401" i="3"/>
  <c r="F1401" i="3"/>
  <c r="E1401" i="3"/>
  <c r="D1401" i="3"/>
  <c r="J1401" i="3" s="1"/>
  <c r="C1401" i="3"/>
  <c r="B1401" i="3"/>
  <c r="A1401" i="3"/>
  <c r="L1400" i="3"/>
  <c r="H1400" i="3"/>
  <c r="K1400" i="3" s="1"/>
  <c r="G1400" i="3"/>
  <c r="F1400" i="3"/>
  <c r="E1400" i="3"/>
  <c r="I1400" i="3" s="1"/>
  <c r="D1400" i="3"/>
  <c r="J1400" i="3" s="1"/>
  <c r="C1400" i="3"/>
  <c r="B1400" i="3"/>
  <c r="A1400" i="3"/>
  <c r="L1399" i="3"/>
  <c r="H1399" i="3"/>
  <c r="K1399" i="3" s="1"/>
  <c r="G1399" i="3"/>
  <c r="F1399" i="3"/>
  <c r="E1399" i="3"/>
  <c r="I1399" i="3" s="1"/>
  <c r="D1399" i="3"/>
  <c r="J1399" i="3" s="1"/>
  <c r="C1399" i="3"/>
  <c r="B1399" i="3"/>
  <c r="A1399" i="3"/>
  <c r="L1398" i="3"/>
  <c r="H1398" i="3"/>
  <c r="K1398" i="3" s="1"/>
  <c r="G1398" i="3"/>
  <c r="F1398" i="3"/>
  <c r="E1398" i="3"/>
  <c r="D1398" i="3"/>
  <c r="J1398" i="3" s="1"/>
  <c r="C1398" i="3"/>
  <c r="B1398" i="3"/>
  <c r="A1398" i="3"/>
  <c r="L1397" i="3"/>
  <c r="H1397" i="3"/>
  <c r="K1397" i="3" s="1"/>
  <c r="G1397" i="3"/>
  <c r="F1397" i="3"/>
  <c r="E1397" i="3"/>
  <c r="D1397" i="3"/>
  <c r="J1397" i="3" s="1"/>
  <c r="C1397" i="3"/>
  <c r="B1397" i="3"/>
  <c r="A1397" i="3"/>
  <c r="L1396" i="3"/>
  <c r="H1396" i="3"/>
  <c r="K1396" i="3" s="1"/>
  <c r="G1396" i="3"/>
  <c r="F1396" i="3"/>
  <c r="E1396" i="3"/>
  <c r="I1396" i="3" s="1"/>
  <c r="D1396" i="3"/>
  <c r="J1396" i="3" s="1"/>
  <c r="C1396" i="3"/>
  <c r="B1396" i="3"/>
  <c r="A1396" i="3"/>
  <c r="L1395" i="3"/>
  <c r="H1395" i="3"/>
  <c r="K1395" i="3" s="1"/>
  <c r="G1395" i="3"/>
  <c r="F1395" i="3"/>
  <c r="E1395" i="3"/>
  <c r="I1395" i="3" s="1"/>
  <c r="D1395" i="3"/>
  <c r="J1395" i="3" s="1"/>
  <c r="C1395" i="3"/>
  <c r="B1395" i="3"/>
  <c r="A1395" i="3"/>
  <c r="L1394" i="3"/>
  <c r="H1394" i="3"/>
  <c r="K1394" i="3" s="1"/>
  <c r="G1394" i="3"/>
  <c r="F1394" i="3"/>
  <c r="E1394" i="3"/>
  <c r="D1394" i="3"/>
  <c r="J1394" i="3" s="1"/>
  <c r="C1394" i="3"/>
  <c r="B1394" i="3"/>
  <c r="A1394" i="3"/>
  <c r="L1393" i="3"/>
  <c r="H1393" i="3"/>
  <c r="K1393" i="3" s="1"/>
  <c r="G1393" i="3"/>
  <c r="F1393" i="3"/>
  <c r="E1393" i="3"/>
  <c r="D1393" i="3"/>
  <c r="J1393" i="3" s="1"/>
  <c r="C1393" i="3"/>
  <c r="B1393" i="3"/>
  <c r="A1393" i="3"/>
  <c r="L1392" i="3"/>
  <c r="H1392" i="3"/>
  <c r="K1392" i="3" s="1"/>
  <c r="G1392" i="3"/>
  <c r="F1392" i="3"/>
  <c r="E1392" i="3"/>
  <c r="I1392" i="3" s="1"/>
  <c r="D1392" i="3"/>
  <c r="J1392" i="3" s="1"/>
  <c r="C1392" i="3"/>
  <c r="B1392" i="3"/>
  <c r="A1392" i="3"/>
  <c r="L1391" i="3"/>
  <c r="H1391" i="3"/>
  <c r="K1391" i="3" s="1"/>
  <c r="G1391" i="3"/>
  <c r="F1391" i="3"/>
  <c r="E1391" i="3"/>
  <c r="I1391" i="3" s="1"/>
  <c r="D1391" i="3"/>
  <c r="J1391" i="3" s="1"/>
  <c r="C1391" i="3"/>
  <c r="B1391" i="3"/>
  <c r="A1391" i="3"/>
  <c r="L1390" i="3"/>
  <c r="H1390" i="3"/>
  <c r="K1390" i="3" s="1"/>
  <c r="G1390" i="3"/>
  <c r="F1390" i="3"/>
  <c r="E1390" i="3"/>
  <c r="D1390" i="3"/>
  <c r="J1390" i="3" s="1"/>
  <c r="C1390" i="3"/>
  <c r="B1390" i="3"/>
  <c r="A1390" i="3"/>
  <c r="L1389" i="3"/>
  <c r="H1389" i="3"/>
  <c r="K1389" i="3" s="1"/>
  <c r="G1389" i="3"/>
  <c r="F1389" i="3"/>
  <c r="E1389" i="3"/>
  <c r="D1389" i="3"/>
  <c r="J1389" i="3" s="1"/>
  <c r="C1389" i="3"/>
  <c r="B1389" i="3"/>
  <c r="A1389" i="3"/>
  <c r="L1388" i="3"/>
  <c r="H1388" i="3"/>
  <c r="K1388" i="3" s="1"/>
  <c r="G1388" i="3"/>
  <c r="F1388" i="3"/>
  <c r="E1388" i="3"/>
  <c r="D1388" i="3"/>
  <c r="J1388" i="3" s="1"/>
  <c r="C1388" i="3"/>
  <c r="B1388" i="3"/>
  <c r="A1388" i="3"/>
  <c r="L1387" i="3"/>
  <c r="H1387" i="3"/>
  <c r="K1387" i="3" s="1"/>
  <c r="G1387" i="3"/>
  <c r="F1387" i="3"/>
  <c r="E1387" i="3"/>
  <c r="I1387" i="3" s="1"/>
  <c r="D1387" i="3"/>
  <c r="J1387" i="3" s="1"/>
  <c r="C1387" i="3"/>
  <c r="B1387" i="3"/>
  <c r="A1387" i="3"/>
  <c r="H1386" i="3"/>
  <c r="K1386" i="3" s="1"/>
  <c r="G1386" i="3"/>
  <c r="F1386" i="3"/>
  <c r="L1386" i="3" s="1"/>
  <c r="E1386" i="3"/>
  <c r="D1386" i="3"/>
  <c r="J1386" i="3" s="1"/>
  <c r="C1386" i="3"/>
  <c r="B1386" i="3"/>
  <c r="A1386" i="3"/>
  <c r="H1385" i="3"/>
  <c r="K1385" i="3" s="1"/>
  <c r="G1385" i="3"/>
  <c r="F1385" i="3"/>
  <c r="L1385" i="3" s="1"/>
  <c r="E1385" i="3"/>
  <c r="D1385" i="3"/>
  <c r="J1385" i="3" s="1"/>
  <c r="C1385" i="3"/>
  <c r="B1385" i="3"/>
  <c r="A1385" i="3"/>
  <c r="H1384" i="3"/>
  <c r="K1384" i="3" s="1"/>
  <c r="G1384" i="3"/>
  <c r="F1384" i="3"/>
  <c r="L1384" i="3" s="1"/>
  <c r="E1384" i="3"/>
  <c r="D1384" i="3"/>
  <c r="J1384" i="3" s="1"/>
  <c r="C1384" i="3"/>
  <c r="B1384" i="3"/>
  <c r="A1384" i="3"/>
  <c r="H1383" i="3"/>
  <c r="K1383" i="3" s="1"/>
  <c r="G1383" i="3"/>
  <c r="F1383" i="3"/>
  <c r="L1383" i="3" s="1"/>
  <c r="E1383" i="3"/>
  <c r="D1383" i="3"/>
  <c r="J1383" i="3" s="1"/>
  <c r="C1383" i="3"/>
  <c r="B1383" i="3"/>
  <c r="A1383" i="3"/>
  <c r="H1382" i="3"/>
  <c r="K1382" i="3" s="1"/>
  <c r="G1382" i="3"/>
  <c r="F1382" i="3"/>
  <c r="L1382" i="3" s="1"/>
  <c r="E1382" i="3"/>
  <c r="D1382" i="3"/>
  <c r="J1382" i="3" s="1"/>
  <c r="C1382" i="3"/>
  <c r="B1382" i="3"/>
  <c r="A1382" i="3"/>
  <c r="H1381" i="3"/>
  <c r="K1381" i="3" s="1"/>
  <c r="G1381" i="3"/>
  <c r="F1381" i="3"/>
  <c r="L1381" i="3" s="1"/>
  <c r="E1381" i="3"/>
  <c r="D1381" i="3"/>
  <c r="J1381" i="3" s="1"/>
  <c r="C1381" i="3"/>
  <c r="B1381" i="3"/>
  <c r="A1381" i="3"/>
  <c r="H1380" i="3"/>
  <c r="K1380" i="3" s="1"/>
  <c r="G1380" i="3"/>
  <c r="F1380" i="3"/>
  <c r="L1380" i="3" s="1"/>
  <c r="E1380" i="3"/>
  <c r="D1380" i="3"/>
  <c r="J1380" i="3" s="1"/>
  <c r="C1380" i="3"/>
  <c r="B1380" i="3"/>
  <c r="A1380" i="3"/>
  <c r="H1379" i="3"/>
  <c r="K1379" i="3" s="1"/>
  <c r="G1379" i="3"/>
  <c r="F1379" i="3"/>
  <c r="L1379" i="3" s="1"/>
  <c r="E1379" i="3"/>
  <c r="D1379" i="3"/>
  <c r="J1379" i="3" s="1"/>
  <c r="C1379" i="3"/>
  <c r="B1379" i="3"/>
  <c r="A1379" i="3"/>
  <c r="H1378" i="3"/>
  <c r="K1378" i="3" s="1"/>
  <c r="G1378" i="3"/>
  <c r="F1378" i="3"/>
  <c r="L1378" i="3" s="1"/>
  <c r="E1378" i="3"/>
  <c r="D1378" i="3"/>
  <c r="J1378" i="3" s="1"/>
  <c r="C1378" i="3"/>
  <c r="B1378" i="3"/>
  <c r="A1378" i="3"/>
  <c r="H1377" i="3"/>
  <c r="K1377" i="3" s="1"/>
  <c r="G1377" i="3"/>
  <c r="F1377" i="3"/>
  <c r="L1377" i="3" s="1"/>
  <c r="E1377" i="3"/>
  <c r="D1377" i="3"/>
  <c r="J1377" i="3" s="1"/>
  <c r="C1377" i="3"/>
  <c r="B1377" i="3"/>
  <c r="A1377" i="3"/>
  <c r="H1376" i="3"/>
  <c r="K1376" i="3" s="1"/>
  <c r="G1376" i="3"/>
  <c r="F1376" i="3"/>
  <c r="L1376" i="3" s="1"/>
  <c r="E1376" i="3"/>
  <c r="D1376" i="3"/>
  <c r="J1376" i="3" s="1"/>
  <c r="C1376" i="3"/>
  <c r="B1376" i="3"/>
  <c r="A1376" i="3"/>
  <c r="H1375" i="3"/>
  <c r="K1375" i="3" s="1"/>
  <c r="G1375" i="3"/>
  <c r="F1375" i="3"/>
  <c r="L1375" i="3" s="1"/>
  <c r="E1375" i="3"/>
  <c r="D1375" i="3"/>
  <c r="J1375" i="3" s="1"/>
  <c r="C1375" i="3"/>
  <c r="B1375" i="3"/>
  <c r="A1375" i="3"/>
  <c r="H1374" i="3"/>
  <c r="K1374" i="3" s="1"/>
  <c r="G1374" i="3"/>
  <c r="F1374" i="3"/>
  <c r="L1374" i="3" s="1"/>
  <c r="E1374" i="3"/>
  <c r="D1374" i="3"/>
  <c r="J1374" i="3" s="1"/>
  <c r="C1374" i="3"/>
  <c r="B1374" i="3"/>
  <c r="A1374" i="3"/>
  <c r="H1373" i="3"/>
  <c r="K1373" i="3" s="1"/>
  <c r="G1373" i="3"/>
  <c r="F1373" i="3"/>
  <c r="L1373" i="3" s="1"/>
  <c r="E1373" i="3"/>
  <c r="D1373" i="3"/>
  <c r="J1373" i="3" s="1"/>
  <c r="C1373" i="3"/>
  <c r="B1373" i="3"/>
  <c r="A1373" i="3"/>
  <c r="H1372" i="3"/>
  <c r="K1372" i="3" s="1"/>
  <c r="G1372" i="3"/>
  <c r="F1372" i="3"/>
  <c r="L1372" i="3" s="1"/>
  <c r="E1372" i="3"/>
  <c r="D1372" i="3"/>
  <c r="J1372" i="3" s="1"/>
  <c r="C1372" i="3"/>
  <c r="B1372" i="3"/>
  <c r="A1372" i="3"/>
  <c r="L1371" i="3"/>
  <c r="J1371" i="3"/>
  <c r="H1371" i="3"/>
  <c r="K1371" i="3" s="1"/>
  <c r="G1371" i="3"/>
  <c r="F1371" i="3"/>
  <c r="E1371" i="3"/>
  <c r="I1371" i="3" s="1"/>
  <c r="D1371" i="3"/>
  <c r="C1371" i="3"/>
  <c r="B1371" i="3"/>
  <c r="A1371" i="3"/>
  <c r="K1370" i="3"/>
  <c r="J1370" i="3"/>
  <c r="H1370" i="3"/>
  <c r="G1370" i="3"/>
  <c r="F1370" i="3"/>
  <c r="L1370" i="3" s="1"/>
  <c r="E1370" i="3"/>
  <c r="I1370" i="3" s="1"/>
  <c r="D1370" i="3"/>
  <c r="C1370" i="3"/>
  <c r="B1370" i="3"/>
  <c r="A1370" i="3"/>
  <c r="K1369" i="3"/>
  <c r="J1369" i="3"/>
  <c r="H1369" i="3"/>
  <c r="G1369" i="3"/>
  <c r="F1369" i="3"/>
  <c r="L1369" i="3" s="1"/>
  <c r="E1369" i="3"/>
  <c r="I1369" i="3" s="1"/>
  <c r="D1369" i="3"/>
  <c r="C1369" i="3"/>
  <c r="B1369" i="3"/>
  <c r="A1369" i="3"/>
  <c r="K1368" i="3"/>
  <c r="J1368" i="3"/>
  <c r="H1368" i="3"/>
  <c r="G1368" i="3"/>
  <c r="F1368" i="3"/>
  <c r="L1368" i="3" s="1"/>
  <c r="E1368" i="3"/>
  <c r="I1368" i="3" s="1"/>
  <c r="D1368" i="3"/>
  <c r="C1368" i="3"/>
  <c r="B1368" i="3"/>
  <c r="A1368" i="3"/>
  <c r="K1367" i="3"/>
  <c r="J1367" i="3"/>
  <c r="H1367" i="3"/>
  <c r="G1367" i="3"/>
  <c r="F1367" i="3"/>
  <c r="L1367" i="3" s="1"/>
  <c r="E1367" i="3"/>
  <c r="I1367" i="3" s="1"/>
  <c r="D1367" i="3"/>
  <c r="C1367" i="3"/>
  <c r="B1367" i="3"/>
  <c r="A1367" i="3"/>
  <c r="K1366" i="3"/>
  <c r="J1366" i="3"/>
  <c r="H1366" i="3"/>
  <c r="G1366" i="3"/>
  <c r="F1366" i="3"/>
  <c r="L1366" i="3" s="1"/>
  <c r="E1366" i="3"/>
  <c r="I1366" i="3" s="1"/>
  <c r="D1366" i="3"/>
  <c r="C1366" i="3"/>
  <c r="B1366" i="3"/>
  <c r="A1366" i="3"/>
  <c r="K1365" i="3"/>
  <c r="J1365" i="3"/>
  <c r="H1365" i="3"/>
  <c r="G1365" i="3"/>
  <c r="F1365" i="3"/>
  <c r="L1365" i="3" s="1"/>
  <c r="E1365" i="3"/>
  <c r="I1365" i="3" s="1"/>
  <c r="D1365" i="3"/>
  <c r="C1365" i="3"/>
  <c r="B1365" i="3"/>
  <c r="A1365" i="3"/>
  <c r="K1364" i="3"/>
  <c r="J1364" i="3"/>
  <c r="H1364" i="3"/>
  <c r="G1364" i="3"/>
  <c r="F1364" i="3"/>
  <c r="L1364" i="3" s="1"/>
  <c r="E1364" i="3"/>
  <c r="I1364" i="3" s="1"/>
  <c r="D1364" i="3"/>
  <c r="C1364" i="3"/>
  <c r="B1364" i="3"/>
  <c r="A1364" i="3"/>
  <c r="K1363" i="3"/>
  <c r="J1363" i="3"/>
  <c r="H1363" i="3"/>
  <c r="G1363" i="3"/>
  <c r="F1363" i="3"/>
  <c r="L1363" i="3" s="1"/>
  <c r="E1363" i="3"/>
  <c r="I1363" i="3" s="1"/>
  <c r="D1363" i="3"/>
  <c r="C1363" i="3"/>
  <c r="B1363" i="3"/>
  <c r="A1363" i="3"/>
  <c r="K1362" i="3"/>
  <c r="J1362" i="3"/>
  <c r="H1362" i="3"/>
  <c r="G1362" i="3"/>
  <c r="F1362" i="3"/>
  <c r="L1362" i="3" s="1"/>
  <c r="E1362" i="3"/>
  <c r="I1362" i="3" s="1"/>
  <c r="D1362" i="3"/>
  <c r="C1362" i="3"/>
  <c r="B1362" i="3"/>
  <c r="A1362" i="3"/>
  <c r="K1361" i="3"/>
  <c r="J1361" i="3"/>
  <c r="H1361" i="3"/>
  <c r="G1361" i="3"/>
  <c r="F1361" i="3"/>
  <c r="L1361" i="3" s="1"/>
  <c r="E1361" i="3"/>
  <c r="I1361" i="3" s="1"/>
  <c r="D1361" i="3"/>
  <c r="C1361" i="3"/>
  <c r="B1361" i="3"/>
  <c r="A1361" i="3"/>
  <c r="K1360" i="3"/>
  <c r="J1360" i="3"/>
  <c r="H1360" i="3"/>
  <c r="G1360" i="3"/>
  <c r="F1360" i="3"/>
  <c r="L1360" i="3" s="1"/>
  <c r="E1360" i="3"/>
  <c r="I1360" i="3" s="1"/>
  <c r="D1360" i="3"/>
  <c r="C1360" i="3"/>
  <c r="B1360" i="3"/>
  <c r="A1360" i="3"/>
  <c r="K1359" i="3"/>
  <c r="J1359" i="3"/>
  <c r="H1359" i="3"/>
  <c r="G1359" i="3"/>
  <c r="F1359" i="3"/>
  <c r="L1359" i="3" s="1"/>
  <c r="E1359" i="3"/>
  <c r="I1359" i="3" s="1"/>
  <c r="D1359" i="3"/>
  <c r="C1359" i="3"/>
  <c r="B1359" i="3"/>
  <c r="A1359" i="3"/>
  <c r="K1358" i="3"/>
  <c r="J1358" i="3"/>
  <c r="H1358" i="3"/>
  <c r="G1358" i="3"/>
  <c r="F1358" i="3"/>
  <c r="L1358" i="3" s="1"/>
  <c r="E1358" i="3"/>
  <c r="I1358" i="3" s="1"/>
  <c r="D1358" i="3"/>
  <c r="C1358" i="3"/>
  <c r="B1358" i="3"/>
  <c r="A1358" i="3"/>
  <c r="K1357" i="3"/>
  <c r="J1357" i="3"/>
  <c r="H1357" i="3"/>
  <c r="G1357" i="3"/>
  <c r="F1357" i="3"/>
  <c r="L1357" i="3" s="1"/>
  <c r="E1357" i="3"/>
  <c r="I1357" i="3" s="1"/>
  <c r="D1357" i="3"/>
  <c r="C1357" i="3"/>
  <c r="B1357" i="3"/>
  <c r="A1357" i="3"/>
  <c r="K1356" i="3"/>
  <c r="J1356" i="3"/>
  <c r="H1356" i="3"/>
  <c r="G1356" i="3"/>
  <c r="F1356" i="3"/>
  <c r="L1356" i="3" s="1"/>
  <c r="E1356" i="3"/>
  <c r="I1356" i="3" s="1"/>
  <c r="D1356" i="3"/>
  <c r="C1356" i="3"/>
  <c r="B1356" i="3"/>
  <c r="A1356" i="3"/>
  <c r="K1355" i="3"/>
  <c r="J1355" i="3"/>
  <c r="H1355" i="3"/>
  <c r="G1355" i="3"/>
  <c r="F1355" i="3"/>
  <c r="L1355" i="3" s="1"/>
  <c r="E1355" i="3"/>
  <c r="I1355" i="3" s="1"/>
  <c r="D1355" i="3"/>
  <c r="C1355" i="3"/>
  <c r="B1355" i="3"/>
  <c r="A1355" i="3"/>
  <c r="K1354" i="3"/>
  <c r="J1354" i="3"/>
  <c r="H1354" i="3"/>
  <c r="G1354" i="3"/>
  <c r="F1354" i="3"/>
  <c r="L1354" i="3" s="1"/>
  <c r="E1354" i="3"/>
  <c r="I1354" i="3" s="1"/>
  <c r="D1354" i="3"/>
  <c r="C1354" i="3"/>
  <c r="B1354" i="3"/>
  <c r="A1354" i="3"/>
  <c r="K1353" i="3"/>
  <c r="J1353" i="3"/>
  <c r="H1353" i="3"/>
  <c r="G1353" i="3"/>
  <c r="F1353" i="3"/>
  <c r="L1353" i="3" s="1"/>
  <c r="E1353" i="3"/>
  <c r="I1353" i="3" s="1"/>
  <c r="D1353" i="3"/>
  <c r="C1353" i="3"/>
  <c r="B1353" i="3"/>
  <c r="A1353" i="3"/>
  <c r="K1352" i="3"/>
  <c r="J1352" i="3"/>
  <c r="H1352" i="3"/>
  <c r="G1352" i="3"/>
  <c r="F1352" i="3"/>
  <c r="L1352" i="3" s="1"/>
  <c r="E1352" i="3"/>
  <c r="I1352" i="3" s="1"/>
  <c r="D1352" i="3"/>
  <c r="C1352" i="3"/>
  <c r="B1352" i="3"/>
  <c r="A1352" i="3"/>
  <c r="K1351" i="3"/>
  <c r="J1351" i="3"/>
  <c r="H1351" i="3"/>
  <c r="G1351" i="3"/>
  <c r="F1351" i="3"/>
  <c r="L1351" i="3" s="1"/>
  <c r="E1351" i="3"/>
  <c r="I1351" i="3" s="1"/>
  <c r="D1351" i="3"/>
  <c r="C1351" i="3"/>
  <c r="B1351" i="3"/>
  <c r="A1351" i="3"/>
  <c r="K1350" i="3"/>
  <c r="J1350" i="3"/>
  <c r="H1350" i="3"/>
  <c r="G1350" i="3"/>
  <c r="F1350" i="3"/>
  <c r="L1350" i="3" s="1"/>
  <c r="E1350" i="3"/>
  <c r="I1350" i="3" s="1"/>
  <c r="D1350" i="3"/>
  <c r="C1350" i="3"/>
  <c r="B1350" i="3"/>
  <c r="A1350" i="3"/>
  <c r="K1349" i="3"/>
  <c r="J1349" i="3"/>
  <c r="H1349" i="3"/>
  <c r="G1349" i="3"/>
  <c r="F1349" i="3"/>
  <c r="L1349" i="3" s="1"/>
  <c r="E1349" i="3"/>
  <c r="I1349" i="3" s="1"/>
  <c r="D1349" i="3"/>
  <c r="C1349" i="3"/>
  <c r="B1349" i="3"/>
  <c r="A1349" i="3"/>
  <c r="K1348" i="3"/>
  <c r="J1348" i="3"/>
  <c r="H1348" i="3"/>
  <c r="G1348" i="3"/>
  <c r="F1348" i="3"/>
  <c r="L1348" i="3" s="1"/>
  <c r="E1348" i="3"/>
  <c r="I1348" i="3" s="1"/>
  <c r="D1348" i="3"/>
  <c r="C1348" i="3"/>
  <c r="B1348" i="3"/>
  <c r="A1348" i="3"/>
  <c r="K1347" i="3"/>
  <c r="J1347" i="3"/>
  <c r="H1347" i="3"/>
  <c r="G1347" i="3"/>
  <c r="F1347" i="3"/>
  <c r="L1347" i="3" s="1"/>
  <c r="E1347" i="3"/>
  <c r="I1347" i="3" s="1"/>
  <c r="D1347" i="3"/>
  <c r="C1347" i="3"/>
  <c r="B1347" i="3"/>
  <c r="A1347" i="3"/>
  <c r="K1346" i="3"/>
  <c r="J1346" i="3"/>
  <c r="H1346" i="3"/>
  <c r="G1346" i="3"/>
  <c r="F1346" i="3"/>
  <c r="L1346" i="3" s="1"/>
  <c r="E1346" i="3"/>
  <c r="I1346" i="3" s="1"/>
  <c r="D1346" i="3"/>
  <c r="C1346" i="3"/>
  <c r="B1346" i="3"/>
  <c r="A1346" i="3"/>
  <c r="K1345" i="3"/>
  <c r="J1345" i="3"/>
  <c r="H1345" i="3"/>
  <c r="G1345" i="3"/>
  <c r="F1345" i="3"/>
  <c r="L1345" i="3" s="1"/>
  <c r="E1345" i="3"/>
  <c r="I1345" i="3" s="1"/>
  <c r="D1345" i="3"/>
  <c r="C1345" i="3"/>
  <c r="B1345" i="3"/>
  <c r="A1345" i="3"/>
  <c r="K1344" i="3"/>
  <c r="J1344" i="3"/>
  <c r="H1344" i="3"/>
  <c r="G1344" i="3"/>
  <c r="F1344" i="3"/>
  <c r="L1344" i="3" s="1"/>
  <c r="E1344" i="3"/>
  <c r="I1344" i="3" s="1"/>
  <c r="D1344" i="3"/>
  <c r="C1344" i="3"/>
  <c r="B1344" i="3"/>
  <c r="A1344" i="3"/>
  <c r="K1343" i="3"/>
  <c r="J1343" i="3"/>
  <c r="H1343" i="3"/>
  <c r="G1343" i="3"/>
  <c r="F1343" i="3"/>
  <c r="L1343" i="3" s="1"/>
  <c r="E1343" i="3"/>
  <c r="I1343" i="3" s="1"/>
  <c r="D1343" i="3"/>
  <c r="C1343" i="3"/>
  <c r="B1343" i="3"/>
  <c r="A1343" i="3"/>
  <c r="K1342" i="3"/>
  <c r="J1342" i="3"/>
  <c r="H1342" i="3"/>
  <c r="G1342" i="3"/>
  <c r="F1342" i="3"/>
  <c r="L1342" i="3" s="1"/>
  <c r="E1342" i="3"/>
  <c r="I1342" i="3" s="1"/>
  <c r="D1342" i="3"/>
  <c r="C1342" i="3"/>
  <c r="B1342" i="3"/>
  <c r="A1342" i="3"/>
  <c r="K1341" i="3"/>
  <c r="J1341" i="3"/>
  <c r="H1341" i="3"/>
  <c r="G1341" i="3"/>
  <c r="F1341" i="3"/>
  <c r="L1341" i="3" s="1"/>
  <c r="E1341" i="3"/>
  <c r="I1341" i="3" s="1"/>
  <c r="D1341" i="3"/>
  <c r="C1341" i="3"/>
  <c r="B1341" i="3"/>
  <c r="A1341" i="3"/>
  <c r="K1340" i="3"/>
  <c r="J1340" i="3"/>
  <c r="H1340" i="3"/>
  <c r="G1340" i="3"/>
  <c r="F1340" i="3"/>
  <c r="L1340" i="3" s="1"/>
  <c r="E1340" i="3"/>
  <c r="I1340" i="3" s="1"/>
  <c r="D1340" i="3"/>
  <c r="C1340" i="3"/>
  <c r="B1340" i="3"/>
  <c r="A1340" i="3"/>
  <c r="K1339" i="3"/>
  <c r="J1339" i="3"/>
  <c r="H1339" i="3"/>
  <c r="G1339" i="3"/>
  <c r="F1339" i="3"/>
  <c r="L1339" i="3" s="1"/>
  <c r="E1339" i="3"/>
  <c r="I1339" i="3" s="1"/>
  <c r="D1339" i="3"/>
  <c r="C1339" i="3"/>
  <c r="B1339" i="3"/>
  <c r="A1339" i="3"/>
  <c r="K1338" i="3"/>
  <c r="J1338" i="3"/>
  <c r="H1338" i="3"/>
  <c r="G1338" i="3"/>
  <c r="F1338" i="3"/>
  <c r="L1338" i="3" s="1"/>
  <c r="E1338" i="3"/>
  <c r="I1338" i="3" s="1"/>
  <c r="D1338" i="3"/>
  <c r="C1338" i="3"/>
  <c r="B1338" i="3"/>
  <c r="A1338" i="3"/>
  <c r="K1337" i="3"/>
  <c r="J1337" i="3"/>
  <c r="H1337" i="3"/>
  <c r="G1337" i="3"/>
  <c r="F1337" i="3"/>
  <c r="L1337" i="3" s="1"/>
  <c r="E1337" i="3"/>
  <c r="I1337" i="3" s="1"/>
  <c r="D1337" i="3"/>
  <c r="C1337" i="3"/>
  <c r="B1337" i="3"/>
  <c r="A1337" i="3"/>
  <c r="K1336" i="3"/>
  <c r="J1336" i="3"/>
  <c r="H1336" i="3"/>
  <c r="G1336" i="3"/>
  <c r="F1336" i="3"/>
  <c r="L1336" i="3" s="1"/>
  <c r="E1336" i="3"/>
  <c r="I1336" i="3" s="1"/>
  <c r="D1336" i="3"/>
  <c r="C1336" i="3"/>
  <c r="B1336" i="3"/>
  <c r="A1336" i="3"/>
  <c r="K1335" i="3"/>
  <c r="J1335" i="3"/>
  <c r="H1335" i="3"/>
  <c r="G1335" i="3"/>
  <c r="F1335" i="3"/>
  <c r="L1335" i="3" s="1"/>
  <c r="E1335" i="3"/>
  <c r="I1335" i="3" s="1"/>
  <c r="D1335" i="3"/>
  <c r="C1335" i="3"/>
  <c r="B1335" i="3"/>
  <c r="A1335" i="3"/>
  <c r="K1334" i="3"/>
  <c r="J1334" i="3"/>
  <c r="H1334" i="3"/>
  <c r="G1334" i="3"/>
  <c r="F1334" i="3"/>
  <c r="L1334" i="3" s="1"/>
  <c r="E1334" i="3"/>
  <c r="I1334" i="3" s="1"/>
  <c r="D1334" i="3"/>
  <c r="C1334" i="3"/>
  <c r="B1334" i="3"/>
  <c r="A1334" i="3"/>
  <c r="K1333" i="3"/>
  <c r="J1333" i="3"/>
  <c r="H1333" i="3"/>
  <c r="G1333" i="3"/>
  <c r="F1333" i="3"/>
  <c r="L1333" i="3" s="1"/>
  <c r="E1333" i="3"/>
  <c r="I1333" i="3" s="1"/>
  <c r="D1333" i="3"/>
  <c r="C1333" i="3"/>
  <c r="B1333" i="3"/>
  <c r="A1333" i="3"/>
  <c r="K1332" i="3"/>
  <c r="J1332" i="3"/>
  <c r="H1332" i="3"/>
  <c r="G1332" i="3"/>
  <c r="F1332" i="3"/>
  <c r="L1332" i="3" s="1"/>
  <c r="E1332" i="3"/>
  <c r="I1332" i="3" s="1"/>
  <c r="D1332" i="3"/>
  <c r="C1332" i="3"/>
  <c r="B1332" i="3"/>
  <c r="A1332" i="3"/>
  <c r="K1331" i="3"/>
  <c r="J1331" i="3"/>
  <c r="H1331" i="3"/>
  <c r="G1331" i="3"/>
  <c r="F1331" i="3"/>
  <c r="L1331" i="3" s="1"/>
  <c r="E1331" i="3"/>
  <c r="I1331" i="3" s="1"/>
  <c r="D1331" i="3"/>
  <c r="C1331" i="3"/>
  <c r="B1331" i="3"/>
  <c r="A1331" i="3"/>
  <c r="K1330" i="3"/>
  <c r="J1330" i="3"/>
  <c r="H1330" i="3"/>
  <c r="G1330" i="3"/>
  <c r="F1330" i="3"/>
  <c r="L1330" i="3" s="1"/>
  <c r="E1330" i="3"/>
  <c r="I1330" i="3" s="1"/>
  <c r="D1330" i="3"/>
  <c r="C1330" i="3"/>
  <c r="B1330" i="3"/>
  <c r="A1330" i="3"/>
  <c r="K1329" i="3"/>
  <c r="J1329" i="3"/>
  <c r="H1329" i="3"/>
  <c r="G1329" i="3"/>
  <c r="F1329" i="3"/>
  <c r="L1329" i="3" s="1"/>
  <c r="E1329" i="3"/>
  <c r="I1329" i="3" s="1"/>
  <c r="D1329" i="3"/>
  <c r="C1329" i="3"/>
  <c r="B1329" i="3"/>
  <c r="A1329" i="3"/>
  <c r="K1328" i="3"/>
  <c r="J1328" i="3"/>
  <c r="H1328" i="3"/>
  <c r="G1328" i="3"/>
  <c r="F1328" i="3"/>
  <c r="L1328" i="3" s="1"/>
  <c r="E1328" i="3"/>
  <c r="I1328" i="3" s="1"/>
  <c r="D1328" i="3"/>
  <c r="C1328" i="3"/>
  <c r="B1328" i="3"/>
  <c r="A1328" i="3"/>
  <c r="K1327" i="3"/>
  <c r="J1327" i="3"/>
  <c r="H1327" i="3"/>
  <c r="G1327" i="3"/>
  <c r="F1327" i="3"/>
  <c r="L1327" i="3" s="1"/>
  <c r="E1327" i="3"/>
  <c r="I1327" i="3" s="1"/>
  <c r="D1327" i="3"/>
  <c r="C1327" i="3"/>
  <c r="B1327" i="3"/>
  <c r="A1327" i="3"/>
  <c r="K1326" i="3"/>
  <c r="J1326" i="3"/>
  <c r="H1326" i="3"/>
  <c r="G1326" i="3"/>
  <c r="F1326" i="3"/>
  <c r="L1326" i="3" s="1"/>
  <c r="E1326" i="3"/>
  <c r="I1326" i="3" s="1"/>
  <c r="D1326" i="3"/>
  <c r="C1326" i="3"/>
  <c r="B1326" i="3"/>
  <c r="A1326" i="3"/>
  <c r="K1325" i="3"/>
  <c r="J1325" i="3"/>
  <c r="H1325" i="3"/>
  <c r="G1325" i="3"/>
  <c r="F1325" i="3"/>
  <c r="L1325" i="3" s="1"/>
  <c r="E1325" i="3"/>
  <c r="I1325" i="3" s="1"/>
  <c r="D1325" i="3"/>
  <c r="C1325" i="3"/>
  <c r="B1325" i="3"/>
  <c r="A1325" i="3"/>
  <c r="K1324" i="3"/>
  <c r="J1324" i="3"/>
  <c r="H1324" i="3"/>
  <c r="G1324" i="3"/>
  <c r="F1324" i="3"/>
  <c r="L1324" i="3" s="1"/>
  <c r="E1324" i="3"/>
  <c r="I1324" i="3" s="1"/>
  <c r="D1324" i="3"/>
  <c r="C1324" i="3"/>
  <c r="B1324" i="3"/>
  <c r="A1324" i="3"/>
  <c r="K1323" i="3"/>
  <c r="J1323" i="3"/>
  <c r="H1323" i="3"/>
  <c r="G1323" i="3"/>
  <c r="F1323" i="3"/>
  <c r="L1323" i="3" s="1"/>
  <c r="E1323" i="3"/>
  <c r="I1323" i="3" s="1"/>
  <c r="D1323" i="3"/>
  <c r="C1323" i="3"/>
  <c r="B1323" i="3"/>
  <c r="A1323" i="3"/>
  <c r="K1322" i="3"/>
  <c r="J1322" i="3"/>
  <c r="H1322" i="3"/>
  <c r="G1322" i="3"/>
  <c r="F1322" i="3"/>
  <c r="L1322" i="3" s="1"/>
  <c r="E1322" i="3"/>
  <c r="I1322" i="3" s="1"/>
  <c r="D1322" i="3"/>
  <c r="C1322" i="3"/>
  <c r="B1322" i="3"/>
  <c r="A1322" i="3"/>
  <c r="K1321" i="3"/>
  <c r="J1321" i="3"/>
  <c r="H1321" i="3"/>
  <c r="G1321" i="3"/>
  <c r="F1321" i="3"/>
  <c r="L1321" i="3" s="1"/>
  <c r="E1321" i="3"/>
  <c r="I1321" i="3" s="1"/>
  <c r="D1321" i="3"/>
  <c r="C1321" i="3"/>
  <c r="B1321" i="3"/>
  <c r="A1321" i="3"/>
  <c r="K1320" i="3"/>
  <c r="J1320" i="3"/>
  <c r="H1320" i="3"/>
  <c r="G1320" i="3"/>
  <c r="F1320" i="3"/>
  <c r="L1320" i="3" s="1"/>
  <c r="E1320" i="3"/>
  <c r="I1320" i="3" s="1"/>
  <c r="D1320" i="3"/>
  <c r="C1320" i="3"/>
  <c r="B1320" i="3"/>
  <c r="A1320" i="3"/>
  <c r="K1319" i="3"/>
  <c r="J1319" i="3"/>
  <c r="H1319" i="3"/>
  <c r="G1319" i="3"/>
  <c r="F1319" i="3"/>
  <c r="L1319" i="3" s="1"/>
  <c r="E1319" i="3"/>
  <c r="I1319" i="3" s="1"/>
  <c r="D1319" i="3"/>
  <c r="C1319" i="3"/>
  <c r="B1319" i="3"/>
  <c r="A1319" i="3"/>
  <c r="K1318" i="3"/>
  <c r="J1318" i="3"/>
  <c r="H1318" i="3"/>
  <c r="G1318" i="3"/>
  <c r="F1318" i="3"/>
  <c r="L1318" i="3" s="1"/>
  <c r="E1318" i="3"/>
  <c r="I1318" i="3" s="1"/>
  <c r="D1318" i="3"/>
  <c r="C1318" i="3"/>
  <c r="B1318" i="3"/>
  <c r="A1318" i="3"/>
  <c r="K1317" i="3"/>
  <c r="J1317" i="3"/>
  <c r="H1317" i="3"/>
  <c r="G1317" i="3"/>
  <c r="F1317" i="3"/>
  <c r="L1317" i="3" s="1"/>
  <c r="E1317" i="3"/>
  <c r="I1317" i="3" s="1"/>
  <c r="D1317" i="3"/>
  <c r="C1317" i="3"/>
  <c r="B1317" i="3"/>
  <c r="A1317" i="3"/>
  <c r="K1316" i="3"/>
  <c r="J1316" i="3"/>
  <c r="H1316" i="3"/>
  <c r="G1316" i="3"/>
  <c r="F1316" i="3"/>
  <c r="L1316" i="3" s="1"/>
  <c r="E1316" i="3"/>
  <c r="I1316" i="3" s="1"/>
  <c r="D1316" i="3"/>
  <c r="C1316" i="3"/>
  <c r="B1316" i="3"/>
  <c r="A1316" i="3"/>
  <c r="K1315" i="3"/>
  <c r="J1315" i="3"/>
  <c r="H1315" i="3"/>
  <c r="G1315" i="3"/>
  <c r="F1315" i="3"/>
  <c r="L1315" i="3" s="1"/>
  <c r="E1315" i="3"/>
  <c r="I1315" i="3" s="1"/>
  <c r="D1315" i="3"/>
  <c r="C1315" i="3"/>
  <c r="B1315" i="3"/>
  <c r="A1315" i="3"/>
  <c r="K1314" i="3"/>
  <c r="J1314" i="3"/>
  <c r="H1314" i="3"/>
  <c r="G1314" i="3"/>
  <c r="F1314" i="3"/>
  <c r="L1314" i="3" s="1"/>
  <c r="E1314" i="3"/>
  <c r="I1314" i="3" s="1"/>
  <c r="D1314" i="3"/>
  <c r="C1314" i="3"/>
  <c r="B1314" i="3"/>
  <c r="A1314" i="3"/>
  <c r="K1313" i="3"/>
  <c r="J1313" i="3"/>
  <c r="H1313" i="3"/>
  <c r="G1313" i="3"/>
  <c r="F1313" i="3"/>
  <c r="L1313" i="3" s="1"/>
  <c r="E1313" i="3"/>
  <c r="I1313" i="3" s="1"/>
  <c r="D1313" i="3"/>
  <c r="C1313" i="3"/>
  <c r="B1313" i="3"/>
  <c r="A1313" i="3"/>
  <c r="K1312" i="3"/>
  <c r="J1312" i="3"/>
  <c r="H1312" i="3"/>
  <c r="G1312" i="3"/>
  <c r="F1312" i="3"/>
  <c r="L1312" i="3" s="1"/>
  <c r="E1312" i="3"/>
  <c r="I1312" i="3" s="1"/>
  <c r="D1312" i="3"/>
  <c r="C1312" i="3"/>
  <c r="B1312" i="3"/>
  <c r="A1312" i="3"/>
  <c r="K1311" i="3"/>
  <c r="J1311" i="3"/>
  <c r="H1311" i="3"/>
  <c r="G1311" i="3"/>
  <c r="F1311" i="3"/>
  <c r="L1311" i="3" s="1"/>
  <c r="E1311" i="3"/>
  <c r="I1311" i="3" s="1"/>
  <c r="D1311" i="3"/>
  <c r="C1311" i="3"/>
  <c r="B1311" i="3"/>
  <c r="A1311" i="3"/>
  <c r="K1310" i="3"/>
  <c r="J1310" i="3"/>
  <c r="H1310" i="3"/>
  <c r="G1310" i="3"/>
  <c r="F1310" i="3"/>
  <c r="L1310" i="3" s="1"/>
  <c r="E1310" i="3"/>
  <c r="I1310" i="3" s="1"/>
  <c r="D1310" i="3"/>
  <c r="C1310" i="3"/>
  <c r="B1310" i="3"/>
  <c r="A1310" i="3"/>
  <c r="K1309" i="3"/>
  <c r="J1309" i="3"/>
  <c r="H1309" i="3"/>
  <c r="G1309" i="3"/>
  <c r="F1309" i="3"/>
  <c r="L1309" i="3" s="1"/>
  <c r="E1309" i="3"/>
  <c r="I1309" i="3" s="1"/>
  <c r="D1309" i="3"/>
  <c r="C1309" i="3"/>
  <c r="B1309" i="3"/>
  <c r="A1309" i="3"/>
  <c r="K1308" i="3"/>
  <c r="J1308" i="3"/>
  <c r="H1308" i="3"/>
  <c r="G1308" i="3"/>
  <c r="F1308" i="3"/>
  <c r="L1308" i="3" s="1"/>
  <c r="E1308" i="3"/>
  <c r="I1308" i="3" s="1"/>
  <c r="D1308" i="3"/>
  <c r="C1308" i="3"/>
  <c r="B1308" i="3"/>
  <c r="A1308" i="3"/>
  <c r="K1307" i="3"/>
  <c r="J1307" i="3"/>
  <c r="H1307" i="3"/>
  <c r="G1307" i="3"/>
  <c r="F1307" i="3"/>
  <c r="L1307" i="3" s="1"/>
  <c r="E1307" i="3"/>
  <c r="I1307" i="3" s="1"/>
  <c r="D1307" i="3"/>
  <c r="C1307" i="3"/>
  <c r="B1307" i="3"/>
  <c r="A1307" i="3"/>
  <c r="K1306" i="3"/>
  <c r="J1306" i="3"/>
  <c r="H1306" i="3"/>
  <c r="G1306" i="3"/>
  <c r="F1306" i="3"/>
  <c r="L1306" i="3" s="1"/>
  <c r="E1306" i="3"/>
  <c r="I1306" i="3" s="1"/>
  <c r="D1306" i="3"/>
  <c r="C1306" i="3"/>
  <c r="B1306" i="3"/>
  <c r="A1306" i="3"/>
  <c r="K1305" i="3"/>
  <c r="J1305" i="3"/>
  <c r="H1305" i="3"/>
  <c r="G1305" i="3"/>
  <c r="F1305" i="3"/>
  <c r="L1305" i="3" s="1"/>
  <c r="E1305" i="3"/>
  <c r="I1305" i="3" s="1"/>
  <c r="D1305" i="3"/>
  <c r="C1305" i="3"/>
  <c r="B1305" i="3"/>
  <c r="A1305" i="3"/>
  <c r="K1304" i="3"/>
  <c r="J1304" i="3"/>
  <c r="H1304" i="3"/>
  <c r="G1304" i="3"/>
  <c r="F1304" i="3"/>
  <c r="L1304" i="3" s="1"/>
  <c r="E1304" i="3"/>
  <c r="I1304" i="3" s="1"/>
  <c r="D1304" i="3"/>
  <c r="C1304" i="3"/>
  <c r="B1304" i="3"/>
  <c r="A1304" i="3"/>
  <c r="K1303" i="3"/>
  <c r="J1303" i="3"/>
  <c r="H1303" i="3"/>
  <c r="G1303" i="3"/>
  <c r="F1303" i="3"/>
  <c r="L1303" i="3" s="1"/>
  <c r="E1303" i="3"/>
  <c r="I1303" i="3" s="1"/>
  <c r="D1303" i="3"/>
  <c r="C1303" i="3"/>
  <c r="B1303" i="3"/>
  <c r="A1303" i="3"/>
  <c r="K1302" i="3"/>
  <c r="J1302" i="3"/>
  <c r="H1302" i="3"/>
  <c r="G1302" i="3"/>
  <c r="F1302" i="3"/>
  <c r="L1302" i="3" s="1"/>
  <c r="E1302" i="3"/>
  <c r="I1302" i="3" s="1"/>
  <c r="D1302" i="3"/>
  <c r="C1302" i="3"/>
  <c r="B1302" i="3"/>
  <c r="A1302" i="3"/>
  <c r="K1301" i="3"/>
  <c r="J1301" i="3"/>
  <c r="H1301" i="3"/>
  <c r="G1301" i="3"/>
  <c r="F1301" i="3"/>
  <c r="L1301" i="3" s="1"/>
  <c r="E1301" i="3"/>
  <c r="I1301" i="3" s="1"/>
  <c r="D1301" i="3"/>
  <c r="C1301" i="3"/>
  <c r="B1301" i="3"/>
  <c r="A1301" i="3"/>
  <c r="K1300" i="3"/>
  <c r="J1300" i="3"/>
  <c r="H1300" i="3"/>
  <c r="G1300" i="3"/>
  <c r="F1300" i="3"/>
  <c r="L1300" i="3" s="1"/>
  <c r="E1300" i="3"/>
  <c r="I1300" i="3" s="1"/>
  <c r="D1300" i="3"/>
  <c r="C1300" i="3"/>
  <c r="B1300" i="3"/>
  <c r="A1300" i="3"/>
  <c r="K1299" i="3"/>
  <c r="J1299" i="3"/>
  <c r="H1299" i="3"/>
  <c r="G1299" i="3"/>
  <c r="F1299" i="3"/>
  <c r="L1299" i="3" s="1"/>
  <c r="E1299" i="3"/>
  <c r="I1299" i="3" s="1"/>
  <c r="D1299" i="3"/>
  <c r="C1299" i="3"/>
  <c r="B1299" i="3"/>
  <c r="A1299" i="3"/>
  <c r="K1298" i="3"/>
  <c r="J1298" i="3"/>
  <c r="H1298" i="3"/>
  <c r="G1298" i="3"/>
  <c r="F1298" i="3"/>
  <c r="L1298" i="3" s="1"/>
  <c r="E1298" i="3"/>
  <c r="I1298" i="3" s="1"/>
  <c r="D1298" i="3"/>
  <c r="C1298" i="3"/>
  <c r="B1298" i="3"/>
  <c r="A1298" i="3"/>
  <c r="K1297" i="3"/>
  <c r="J1297" i="3"/>
  <c r="H1297" i="3"/>
  <c r="G1297" i="3"/>
  <c r="F1297" i="3"/>
  <c r="L1297" i="3" s="1"/>
  <c r="E1297" i="3"/>
  <c r="I1297" i="3" s="1"/>
  <c r="D1297" i="3"/>
  <c r="C1297" i="3"/>
  <c r="B1297" i="3"/>
  <c r="A1297" i="3"/>
  <c r="K1296" i="3"/>
  <c r="J1296" i="3"/>
  <c r="H1296" i="3"/>
  <c r="G1296" i="3"/>
  <c r="F1296" i="3"/>
  <c r="L1296" i="3" s="1"/>
  <c r="E1296" i="3"/>
  <c r="I1296" i="3" s="1"/>
  <c r="D1296" i="3"/>
  <c r="C1296" i="3"/>
  <c r="B1296" i="3"/>
  <c r="A1296" i="3"/>
  <c r="K1295" i="3"/>
  <c r="J1295" i="3"/>
  <c r="H1295" i="3"/>
  <c r="G1295" i="3"/>
  <c r="F1295" i="3"/>
  <c r="L1295" i="3" s="1"/>
  <c r="E1295" i="3"/>
  <c r="I1295" i="3" s="1"/>
  <c r="D1295" i="3"/>
  <c r="C1295" i="3"/>
  <c r="B1295" i="3"/>
  <c r="A1295" i="3"/>
  <c r="K1294" i="3"/>
  <c r="J1294" i="3"/>
  <c r="H1294" i="3"/>
  <c r="G1294" i="3"/>
  <c r="F1294" i="3"/>
  <c r="L1294" i="3" s="1"/>
  <c r="E1294" i="3"/>
  <c r="I1294" i="3" s="1"/>
  <c r="D1294" i="3"/>
  <c r="C1294" i="3"/>
  <c r="B1294" i="3"/>
  <c r="A1294" i="3"/>
  <c r="K1293" i="3"/>
  <c r="J1293" i="3"/>
  <c r="H1293" i="3"/>
  <c r="G1293" i="3"/>
  <c r="F1293" i="3"/>
  <c r="L1293" i="3" s="1"/>
  <c r="E1293" i="3"/>
  <c r="I1293" i="3" s="1"/>
  <c r="D1293" i="3"/>
  <c r="C1293" i="3"/>
  <c r="B1293" i="3"/>
  <c r="A1293" i="3"/>
  <c r="K1292" i="3"/>
  <c r="J1292" i="3"/>
  <c r="H1292" i="3"/>
  <c r="G1292" i="3"/>
  <c r="F1292" i="3"/>
  <c r="L1292" i="3" s="1"/>
  <c r="E1292" i="3"/>
  <c r="I1292" i="3" s="1"/>
  <c r="D1292" i="3"/>
  <c r="C1292" i="3"/>
  <c r="B1292" i="3"/>
  <c r="A1292" i="3"/>
  <c r="K1291" i="3"/>
  <c r="J1291" i="3"/>
  <c r="H1291" i="3"/>
  <c r="G1291" i="3"/>
  <c r="F1291" i="3"/>
  <c r="L1291" i="3" s="1"/>
  <c r="E1291" i="3"/>
  <c r="I1291" i="3" s="1"/>
  <c r="D1291" i="3"/>
  <c r="C1291" i="3"/>
  <c r="B1291" i="3"/>
  <c r="A1291" i="3"/>
  <c r="K1290" i="3"/>
  <c r="J1290" i="3"/>
  <c r="H1290" i="3"/>
  <c r="G1290" i="3"/>
  <c r="F1290" i="3"/>
  <c r="L1290" i="3" s="1"/>
  <c r="E1290" i="3"/>
  <c r="I1290" i="3" s="1"/>
  <c r="D1290" i="3"/>
  <c r="C1290" i="3"/>
  <c r="B1290" i="3"/>
  <c r="A1290" i="3"/>
  <c r="L1289" i="3"/>
  <c r="H1289" i="3"/>
  <c r="K1289" i="3" s="1"/>
  <c r="G1289" i="3"/>
  <c r="F1289" i="3"/>
  <c r="E1289" i="3"/>
  <c r="I1289" i="3" s="1"/>
  <c r="D1289" i="3"/>
  <c r="J1289" i="3" s="1"/>
  <c r="C1289" i="3"/>
  <c r="B1289" i="3"/>
  <c r="A1289" i="3"/>
  <c r="L1288" i="3"/>
  <c r="H1288" i="3"/>
  <c r="K1288" i="3" s="1"/>
  <c r="G1288" i="3"/>
  <c r="F1288" i="3"/>
  <c r="E1288" i="3"/>
  <c r="I1288" i="3" s="1"/>
  <c r="D1288" i="3"/>
  <c r="J1288" i="3" s="1"/>
  <c r="C1288" i="3"/>
  <c r="B1288" i="3"/>
  <c r="A1288" i="3"/>
  <c r="L1287" i="3"/>
  <c r="H1287" i="3"/>
  <c r="K1287" i="3" s="1"/>
  <c r="G1287" i="3"/>
  <c r="F1287" i="3"/>
  <c r="E1287" i="3"/>
  <c r="I1287" i="3" s="1"/>
  <c r="D1287" i="3"/>
  <c r="J1287" i="3" s="1"/>
  <c r="C1287" i="3"/>
  <c r="B1287" i="3"/>
  <c r="A1287" i="3"/>
  <c r="L1286" i="3"/>
  <c r="H1286" i="3"/>
  <c r="K1286" i="3" s="1"/>
  <c r="G1286" i="3"/>
  <c r="F1286" i="3"/>
  <c r="E1286" i="3"/>
  <c r="I1286" i="3" s="1"/>
  <c r="D1286" i="3"/>
  <c r="J1286" i="3" s="1"/>
  <c r="C1286" i="3"/>
  <c r="B1286" i="3"/>
  <c r="A1286" i="3"/>
  <c r="L1285" i="3"/>
  <c r="H1285" i="3"/>
  <c r="K1285" i="3" s="1"/>
  <c r="G1285" i="3"/>
  <c r="F1285" i="3"/>
  <c r="E1285" i="3"/>
  <c r="I1285" i="3" s="1"/>
  <c r="D1285" i="3"/>
  <c r="J1285" i="3" s="1"/>
  <c r="C1285" i="3"/>
  <c r="B1285" i="3"/>
  <c r="A1285" i="3"/>
  <c r="L1284" i="3"/>
  <c r="H1284" i="3"/>
  <c r="K1284" i="3" s="1"/>
  <c r="G1284" i="3"/>
  <c r="F1284" i="3"/>
  <c r="E1284" i="3"/>
  <c r="I1284" i="3" s="1"/>
  <c r="D1284" i="3"/>
  <c r="J1284" i="3" s="1"/>
  <c r="C1284" i="3"/>
  <c r="B1284" i="3"/>
  <c r="A1284" i="3"/>
  <c r="L1283" i="3"/>
  <c r="H1283" i="3"/>
  <c r="K1283" i="3" s="1"/>
  <c r="G1283" i="3"/>
  <c r="F1283" i="3"/>
  <c r="E1283" i="3"/>
  <c r="I1283" i="3" s="1"/>
  <c r="D1283" i="3"/>
  <c r="J1283" i="3" s="1"/>
  <c r="C1283" i="3"/>
  <c r="B1283" i="3"/>
  <c r="A1283" i="3"/>
  <c r="L1282" i="3"/>
  <c r="H1282" i="3"/>
  <c r="K1282" i="3" s="1"/>
  <c r="G1282" i="3"/>
  <c r="F1282" i="3"/>
  <c r="E1282" i="3"/>
  <c r="I1282" i="3" s="1"/>
  <c r="D1282" i="3"/>
  <c r="J1282" i="3" s="1"/>
  <c r="C1282" i="3"/>
  <c r="B1282" i="3"/>
  <c r="A1282" i="3"/>
  <c r="L1281" i="3"/>
  <c r="H1281" i="3"/>
  <c r="K1281" i="3" s="1"/>
  <c r="G1281" i="3"/>
  <c r="F1281" i="3"/>
  <c r="E1281" i="3"/>
  <c r="I1281" i="3" s="1"/>
  <c r="D1281" i="3"/>
  <c r="J1281" i="3" s="1"/>
  <c r="C1281" i="3"/>
  <c r="B1281" i="3"/>
  <c r="A1281" i="3"/>
  <c r="L1280" i="3"/>
  <c r="H1280" i="3"/>
  <c r="K1280" i="3" s="1"/>
  <c r="G1280" i="3"/>
  <c r="F1280" i="3"/>
  <c r="E1280" i="3"/>
  <c r="I1280" i="3" s="1"/>
  <c r="D1280" i="3"/>
  <c r="J1280" i="3" s="1"/>
  <c r="C1280" i="3"/>
  <c r="B1280" i="3"/>
  <c r="A1280" i="3"/>
  <c r="L1279" i="3"/>
  <c r="H1279" i="3"/>
  <c r="K1279" i="3" s="1"/>
  <c r="G1279" i="3"/>
  <c r="F1279" i="3"/>
  <c r="E1279" i="3"/>
  <c r="I1279" i="3" s="1"/>
  <c r="D1279" i="3"/>
  <c r="J1279" i="3" s="1"/>
  <c r="C1279" i="3"/>
  <c r="B1279" i="3"/>
  <c r="A1279" i="3"/>
  <c r="L1278" i="3"/>
  <c r="H1278" i="3"/>
  <c r="K1278" i="3" s="1"/>
  <c r="G1278" i="3"/>
  <c r="F1278" i="3"/>
  <c r="E1278" i="3"/>
  <c r="I1278" i="3" s="1"/>
  <c r="D1278" i="3"/>
  <c r="J1278" i="3" s="1"/>
  <c r="C1278" i="3"/>
  <c r="B1278" i="3"/>
  <c r="A1278" i="3"/>
  <c r="L1277" i="3"/>
  <c r="H1277" i="3"/>
  <c r="K1277" i="3" s="1"/>
  <c r="G1277" i="3"/>
  <c r="F1277" i="3"/>
  <c r="E1277" i="3"/>
  <c r="I1277" i="3" s="1"/>
  <c r="D1277" i="3"/>
  <c r="J1277" i="3" s="1"/>
  <c r="C1277" i="3"/>
  <c r="B1277" i="3"/>
  <c r="A1277" i="3"/>
  <c r="L1276" i="3"/>
  <c r="H1276" i="3"/>
  <c r="K1276" i="3" s="1"/>
  <c r="G1276" i="3"/>
  <c r="F1276" i="3"/>
  <c r="E1276" i="3"/>
  <c r="I1276" i="3" s="1"/>
  <c r="D1276" i="3"/>
  <c r="J1276" i="3" s="1"/>
  <c r="C1276" i="3"/>
  <c r="B1276" i="3"/>
  <c r="A1276" i="3"/>
  <c r="L1275" i="3"/>
  <c r="H1275" i="3"/>
  <c r="K1275" i="3" s="1"/>
  <c r="G1275" i="3"/>
  <c r="F1275" i="3"/>
  <c r="E1275" i="3"/>
  <c r="I1275" i="3" s="1"/>
  <c r="D1275" i="3"/>
  <c r="J1275" i="3" s="1"/>
  <c r="C1275" i="3"/>
  <c r="B1275" i="3"/>
  <c r="A1275" i="3"/>
  <c r="L1274" i="3"/>
  <c r="H1274" i="3"/>
  <c r="K1274" i="3" s="1"/>
  <c r="G1274" i="3"/>
  <c r="F1274" i="3"/>
  <c r="E1274" i="3"/>
  <c r="I1274" i="3" s="1"/>
  <c r="D1274" i="3"/>
  <c r="J1274" i="3" s="1"/>
  <c r="C1274" i="3"/>
  <c r="B1274" i="3"/>
  <c r="A1274" i="3"/>
  <c r="L1273" i="3"/>
  <c r="H1273" i="3"/>
  <c r="K1273" i="3" s="1"/>
  <c r="G1273" i="3"/>
  <c r="F1273" i="3"/>
  <c r="E1273" i="3"/>
  <c r="I1273" i="3" s="1"/>
  <c r="D1273" i="3"/>
  <c r="J1273" i="3" s="1"/>
  <c r="C1273" i="3"/>
  <c r="B1273" i="3"/>
  <c r="A1273" i="3"/>
  <c r="L1272" i="3"/>
  <c r="H1272" i="3"/>
  <c r="K1272" i="3" s="1"/>
  <c r="G1272" i="3"/>
  <c r="F1272" i="3"/>
  <c r="E1272" i="3"/>
  <c r="I1272" i="3" s="1"/>
  <c r="D1272" i="3"/>
  <c r="J1272" i="3" s="1"/>
  <c r="C1272" i="3"/>
  <c r="B1272" i="3"/>
  <c r="A1272" i="3"/>
  <c r="L1271" i="3"/>
  <c r="H1271" i="3"/>
  <c r="K1271" i="3" s="1"/>
  <c r="G1271" i="3"/>
  <c r="F1271" i="3"/>
  <c r="E1271" i="3"/>
  <c r="I1271" i="3" s="1"/>
  <c r="D1271" i="3"/>
  <c r="J1271" i="3" s="1"/>
  <c r="C1271" i="3"/>
  <c r="B1271" i="3"/>
  <c r="A1271" i="3"/>
  <c r="L1270" i="3"/>
  <c r="H1270" i="3"/>
  <c r="K1270" i="3" s="1"/>
  <c r="G1270" i="3"/>
  <c r="F1270" i="3"/>
  <c r="E1270" i="3"/>
  <c r="I1270" i="3" s="1"/>
  <c r="D1270" i="3"/>
  <c r="J1270" i="3" s="1"/>
  <c r="C1270" i="3"/>
  <c r="B1270" i="3"/>
  <c r="A1270" i="3"/>
  <c r="L1269" i="3"/>
  <c r="H1269" i="3"/>
  <c r="K1269" i="3" s="1"/>
  <c r="G1269" i="3"/>
  <c r="F1269" i="3"/>
  <c r="E1269" i="3"/>
  <c r="I1269" i="3" s="1"/>
  <c r="D1269" i="3"/>
  <c r="J1269" i="3" s="1"/>
  <c r="C1269" i="3"/>
  <c r="B1269" i="3"/>
  <c r="A1269" i="3"/>
  <c r="L1268" i="3"/>
  <c r="H1268" i="3"/>
  <c r="K1268" i="3" s="1"/>
  <c r="G1268" i="3"/>
  <c r="F1268" i="3"/>
  <c r="E1268" i="3"/>
  <c r="I1268" i="3" s="1"/>
  <c r="D1268" i="3"/>
  <c r="J1268" i="3" s="1"/>
  <c r="C1268" i="3"/>
  <c r="B1268" i="3"/>
  <c r="A1268" i="3"/>
  <c r="L1267" i="3"/>
  <c r="H1267" i="3"/>
  <c r="K1267" i="3" s="1"/>
  <c r="G1267" i="3"/>
  <c r="F1267" i="3"/>
  <c r="E1267" i="3"/>
  <c r="I1267" i="3" s="1"/>
  <c r="D1267" i="3"/>
  <c r="J1267" i="3" s="1"/>
  <c r="C1267" i="3"/>
  <c r="B1267" i="3"/>
  <c r="A1267" i="3"/>
  <c r="L1266" i="3"/>
  <c r="H1266" i="3"/>
  <c r="K1266" i="3" s="1"/>
  <c r="G1266" i="3"/>
  <c r="F1266" i="3"/>
  <c r="E1266" i="3"/>
  <c r="I1266" i="3" s="1"/>
  <c r="D1266" i="3"/>
  <c r="J1266" i="3" s="1"/>
  <c r="C1266" i="3"/>
  <c r="B1266" i="3"/>
  <c r="A1266" i="3"/>
  <c r="L1265" i="3"/>
  <c r="H1265" i="3"/>
  <c r="K1265" i="3" s="1"/>
  <c r="G1265" i="3"/>
  <c r="F1265" i="3"/>
  <c r="E1265" i="3"/>
  <c r="I1265" i="3" s="1"/>
  <c r="D1265" i="3"/>
  <c r="J1265" i="3" s="1"/>
  <c r="C1265" i="3"/>
  <c r="B1265" i="3"/>
  <c r="A1265" i="3"/>
  <c r="L1264" i="3"/>
  <c r="H1264" i="3"/>
  <c r="K1264" i="3" s="1"/>
  <c r="G1264" i="3"/>
  <c r="F1264" i="3"/>
  <c r="E1264" i="3"/>
  <c r="I1264" i="3" s="1"/>
  <c r="D1264" i="3"/>
  <c r="J1264" i="3" s="1"/>
  <c r="C1264" i="3"/>
  <c r="B1264" i="3"/>
  <c r="A1264" i="3"/>
  <c r="L1263" i="3"/>
  <c r="H1263" i="3"/>
  <c r="K1263" i="3" s="1"/>
  <c r="G1263" i="3"/>
  <c r="F1263" i="3"/>
  <c r="E1263" i="3"/>
  <c r="I1263" i="3" s="1"/>
  <c r="D1263" i="3"/>
  <c r="J1263" i="3" s="1"/>
  <c r="C1263" i="3"/>
  <c r="B1263" i="3"/>
  <c r="A1263" i="3"/>
  <c r="L1262" i="3"/>
  <c r="H1262" i="3"/>
  <c r="K1262" i="3" s="1"/>
  <c r="G1262" i="3"/>
  <c r="F1262" i="3"/>
  <c r="E1262" i="3"/>
  <c r="I1262" i="3" s="1"/>
  <c r="D1262" i="3"/>
  <c r="J1262" i="3" s="1"/>
  <c r="C1262" i="3"/>
  <c r="B1262" i="3"/>
  <c r="A1262" i="3"/>
  <c r="L1261" i="3"/>
  <c r="H1261" i="3"/>
  <c r="K1261" i="3" s="1"/>
  <c r="G1261" i="3"/>
  <c r="F1261" i="3"/>
  <c r="E1261" i="3"/>
  <c r="I1261" i="3" s="1"/>
  <c r="D1261" i="3"/>
  <c r="J1261" i="3" s="1"/>
  <c r="C1261" i="3"/>
  <c r="B1261" i="3"/>
  <c r="A1261" i="3"/>
  <c r="L1260" i="3"/>
  <c r="H1260" i="3"/>
  <c r="K1260" i="3" s="1"/>
  <c r="G1260" i="3"/>
  <c r="F1260" i="3"/>
  <c r="E1260" i="3"/>
  <c r="I1260" i="3" s="1"/>
  <c r="D1260" i="3"/>
  <c r="J1260" i="3" s="1"/>
  <c r="C1260" i="3"/>
  <c r="B1260" i="3"/>
  <c r="A1260" i="3"/>
  <c r="L1259" i="3"/>
  <c r="H1259" i="3"/>
  <c r="K1259" i="3" s="1"/>
  <c r="G1259" i="3"/>
  <c r="F1259" i="3"/>
  <c r="E1259" i="3"/>
  <c r="I1259" i="3" s="1"/>
  <c r="D1259" i="3"/>
  <c r="J1259" i="3" s="1"/>
  <c r="C1259" i="3"/>
  <c r="B1259" i="3"/>
  <c r="A1259" i="3"/>
  <c r="L1258" i="3"/>
  <c r="H1258" i="3"/>
  <c r="K1258" i="3" s="1"/>
  <c r="G1258" i="3"/>
  <c r="F1258" i="3"/>
  <c r="E1258" i="3"/>
  <c r="I1258" i="3" s="1"/>
  <c r="D1258" i="3"/>
  <c r="J1258" i="3" s="1"/>
  <c r="C1258" i="3"/>
  <c r="B1258" i="3"/>
  <c r="A1258" i="3"/>
  <c r="L1257" i="3"/>
  <c r="H1257" i="3"/>
  <c r="K1257" i="3" s="1"/>
  <c r="G1257" i="3"/>
  <c r="F1257" i="3"/>
  <c r="E1257" i="3"/>
  <c r="I1257" i="3" s="1"/>
  <c r="D1257" i="3"/>
  <c r="J1257" i="3" s="1"/>
  <c r="C1257" i="3"/>
  <c r="B1257" i="3"/>
  <c r="A1257" i="3"/>
  <c r="L1256" i="3"/>
  <c r="H1256" i="3"/>
  <c r="K1256" i="3" s="1"/>
  <c r="G1256" i="3"/>
  <c r="F1256" i="3"/>
  <c r="E1256" i="3"/>
  <c r="I1256" i="3" s="1"/>
  <c r="D1256" i="3"/>
  <c r="J1256" i="3" s="1"/>
  <c r="C1256" i="3"/>
  <c r="B1256" i="3"/>
  <c r="A1256" i="3"/>
  <c r="L1255" i="3"/>
  <c r="H1255" i="3"/>
  <c r="K1255" i="3" s="1"/>
  <c r="G1255" i="3"/>
  <c r="F1255" i="3"/>
  <c r="E1255" i="3"/>
  <c r="I1255" i="3" s="1"/>
  <c r="D1255" i="3"/>
  <c r="J1255" i="3" s="1"/>
  <c r="C1255" i="3"/>
  <c r="B1255" i="3"/>
  <c r="A1255" i="3"/>
  <c r="L1254" i="3"/>
  <c r="H1254" i="3"/>
  <c r="K1254" i="3" s="1"/>
  <c r="G1254" i="3"/>
  <c r="F1254" i="3"/>
  <c r="E1254" i="3"/>
  <c r="I1254" i="3" s="1"/>
  <c r="D1254" i="3"/>
  <c r="J1254" i="3" s="1"/>
  <c r="C1254" i="3"/>
  <c r="B1254" i="3"/>
  <c r="A1254" i="3"/>
  <c r="L1253" i="3"/>
  <c r="H1253" i="3"/>
  <c r="K1253" i="3" s="1"/>
  <c r="G1253" i="3"/>
  <c r="F1253" i="3"/>
  <c r="E1253" i="3"/>
  <c r="I1253" i="3" s="1"/>
  <c r="D1253" i="3"/>
  <c r="J1253" i="3" s="1"/>
  <c r="C1253" i="3"/>
  <c r="B1253" i="3"/>
  <c r="A1253" i="3"/>
  <c r="L1252" i="3"/>
  <c r="H1252" i="3"/>
  <c r="K1252" i="3" s="1"/>
  <c r="G1252" i="3"/>
  <c r="F1252" i="3"/>
  <c r="E1252" i="3"/>
  <c r="I1252" i="3" s="1"/>
  <c r="D1252" i="3"/>
  <c r="J1252" i="3" s="1"/>
  <c r="C1252" i="3"/>
  <c r="B1252" i="3"/>
  <c r="A1252" i="3"/>
  <c r="L1251" i="3"/>
  <c r="H1251" i="3"/>
  <c r="K1251" i="3" s="1"/>
  <c r="G1251" i="3"/>
  <c r="F1251" i="3"/>
  <c r="E1251" i="3"/>
  <c r="I1251" i="3" s="1"/>
  <c r="D1251" i="3"/>
  <c r="J1251" i="3" s="1"/>
  <c r="C1251" i="3"/>
  <c r="B1251" i="3"/>
  <c r="A1251" i="3"/>
  <c r="L1250" i="3"/>
  <c r="H1250" i="3"/>
  <c r="K1250" i="3" s="1"/>
  <c r="G1250" i="3"/>
  <c r="F1250" i="3"/>
  <c r="E1250" i="3"/>
  <c r="I1250" i="3" s="1"/>
  <c r="D1250" i="3"/>
  <c r="J1250" i="3" s="1"/>
  <c r="C1250" i="3"/>
  <c r="B1250" i="3"/>
  <c r="A1250" i="3"/>
  <c r="L1249" i="3"/>
  <c r="H1249" i="3"/>
  <c r="K1249" i="3" s="1"/>
  <c r="G1249" i="3"/>
  <c r="F1249" i="3"/>
  <c r="E1249" i="3"/>
  <c r="I1249" i="3" s="1"/>
  <c r="D1249" i="3"/>
  <c r="J1249" i="3" s="1"/>
  <c r="C1249" i="3"/>
  <c r="B1249" i="3"/>
  <c r="A1249" i="3"/>
  <c r="L1248" i="3"/>
  <c r="H1248" i="3"/>
  <c r="K1248" i="3" s="1"/>
  <c r="G1248" i="3"/>
  <c r="F1248" i="3"/>
  <c r="E1248" i="3"/>
  <c r="I1248" i="3" s="1"/>
  <c r="D1248" i="3"/>
  <c r="J1248" i="3" s="1"/>
  <c r="C1248" i="3"/>
  <c r="B1248" i="3"/>
  <c r="A1248" i="3"/>
  <c r="L1247" i="3"/>
  <c r="H1247" i="3"/>
  <c r="K1247" i="3" s="1"/>
  <c r="G1247" i="3"/>
  <c r="F1247" i="3"/>
  <c r="E1247" i="3"/>
  <c r="I1247" i="3" s="1"/>
  <c r="D1247" i="3"/>
  <c r="J1247" i="3" s="1"/>
  <c r="C1247" i="3"/>
  <c r="B1247" i="3"/>
  <c r="A1247" i="3"/>
  <c r="L1246" i="3"/>
  <c r="H1246" i="3"/>
  <c r="K1246" i="3" s="1"/>
  <c r="G1246" i="3"/>
  <c r="F1246" i="3"/>
  <c r="E1246" i="3"/>
  <c r="I1246" i="3" s="1"/>
  <c r="D1246" i="3"/>
  <c r="J1246" i="3" s="1"/>
  <c r="C1246" i="3"/>
  <c r="B1246" i="3"/>
  <c r="A1246" i="3"/>
  <c r="L1245" i="3"/>
  <c r="H1245" i="3"/>
  <c r="K1245" i="3" s="1"/>
  <c r="G1245" i="3"/>
  <c r="F1245" i="3"/>
  <c r="E1245" i="3"/>
  <c r="I1245" i="3" s="1"/>
  <c r="D1245" i="3"/>
  <c r="J1245" i="3" s="1"/>
  <c r="C1245" i="3"/>
  <c r="B1245" i="3"/>
  <c r="A1245" i="3"/>
  <c r="L1244" i="3"/>
  <c r="H1244" i="3"/>
  <c r="K1244" i="3" s="1"/>
  <c r="G1244" i="3"/>
  <c r="F1244" i="3"/>
  <c r="E1244" i="3"/>
  <c r="I1244" i="3" s="1"/>
  <c r="D1244" i="3"/>
  <c r="J1244" i="3" s="1"/>
  <c r="C1244" i="3"/>
  <c r="B1244" i="3"/>
  <c r="A1244" i="3"/>
  <c r="L1243" i="3"/>
  <c r="H1243" i="3"/>
  <c r="K1243" i="3" s="1"/>
  <c r="G1243" i="3"/>
  <c r="F1243" i="3"/>
  <c r="E1243" i="3"/>
  <c r="I1243" i="3" s="1"/>
  <c r="D1243" i="3"/>
  <c r="J1243" i="3" s="1"/>
  <c r="C1243" i="3"/>
  <c r="B1243" i="3"/>
  <c r="A1243" i="3"/>
  <c r="L1242" i="3"/>
  <c r="H1242" i="3"/>
  <c r="K1242" i="3" s="1"/>
  <c r="G1242" i="3"/>
  <c r="F1242" i="3"/>
  <c r="E1242" i="3"/>
  <c r="I1242" i="3" s="1"/>
  <c r="D1242" i="3"/>
  <c r="J1242" i="3" s="1"/>
  <c r="C1242" i="3"/>
  <c r="B1242" i="3"/>
  <c r="A1242" i="3"/>
  <c r="L1241" i="3"/>
  <c r="H1241" i="3"/>
  <c r="K1241" i="3" s="1"/>
  <c r="G1241" i="3"/>
  <c r="F1241" i="3"/>
  <c r="E1241" i="3"/>
  <c r="I1241" i="3" s="1"/>
  <c r="D1241" i="3"/>
  <c r="J1241" i="3" s="1"/>
  <c r="C1241" i="3"/>
  <c r="B1241" i="3"/>
  <c r="A1241" i="3"/>
  <c r="L1240" i="3"/>
  <c r="H1240" i="3"/>
  <c r="K1240" i="3" s="1"/>
  <c r="G1240" i="3"/>
  <c r="F1240" i="3"/>
  <c r="E1240" i="3"/>
  <c r="I1240" i="3" s="1"/>
  <c r="D1240" i="3"/>
  <c r="J1240" i="3" s="1"/>
  <c r="C1240" i="3"/>
  <c r="B1240" i="3"/>
  <c r="A1240" i="3"/>
  <c r="L1239" i="3"/>
  <c r="H1239" i="3"/>
  <c r="K1239" i="3" s="1"/>
  <c r="G1239" i="3"/>
  <c r="F1239" i="3"/>
  <c r="E1239" i="3"/>
  <c r="I1239" i="3" s="1"/>
  <c r="D1239" i="3"/>
  <c r="J1239" i="3" s="1"/>
  <c r="C1239" i="3"/>
  <c r="B1239" i="3"/>
  <c r="A1239" i="3"/>
  <c r="L1238" i="3"/>
  <c r="H1238" i="3"/>
  <c r="K1238" i="3" s="1"/>
  <c r="G1238" i="3"/>
  <c r="F1238" i="3"/>
  <c r="E1238" i="3"/>
  <c r="I1238" i="3" s="1"/>
  <c r="D1238" i="3"/>
  <c r="J1238" i="3" s="1"/>
  <c r="C1238" i="3"/>
  <c r="B1238" i="3"/>
  <c r="A1238" i="3"/>
  <c r="L1237" i="3"/>
  <c r="H1237" i="3"/>
  <c r="K1237" i="3" s="1"/>
  <c r="G1237" i="3"/>
  <c r="F1237" i="3"/>
  <c r="E1237" i="3"/>
  <c r="I1237" i="3" s="1"/>
  <c r="D1237" i="3"/>
  <c r="J1237" i="3" s="1"/>
  <c r="C1237" i="3"/>
  <c r="B1237" i="3"/>
  <c r="A1237" i="3"/>
  <c r="L1236" i="3"/>
  <c r="H1236" i="3"/>
  <c r="K1236" i="3" s="1"/>
  <c r="G1236" i="3"/>
  <c r="F1236" i="3"/>
  <c r="E1236" i="3"/>
  <c r="I1236" i="3" s="1"/>
  <c r="D1236" i="3"/>
  <c r="J1236" i="3" s="1"/>
  <c r="C1236" i="3"/>
  <c r="B1236" i="3"/>
  <c r="A1236" i="3"/>
  <c r="L1235" i="3"/>
  <c r="H1235" i="3"/>
  <c r="K1235" i="3" s="1"/>
  <c r="G1235" i="3"/>
  <c r="F1235" i="3"/>
  <c r="E1235" i="3"/>
  <c r="I1235" i="3" s="1"/>
  <c r="D1235" i="3"/>
  <c r="J1235" i="3" s="1"/>
  <c r="C1235" i="3"/>
  <c r="B1235" i="3"/>
  <c r="A1235" i="3"/>
  <c r="L1234" i="3"/>
  <c r="H1234" i="3"/>
  <c r="K1234" i="3" s="1"/>
  <c r="G1234" i="3"/>
  <c r="F1234" i="3"/>
  <c r="E1234" i="3"/>
  <c r="I1234" i="3" s="1"/>
  <c r="D1234" i="3"/>
  <c r="J1234" i="3" s="1"/>
  <c r="C1234" i="3"/>
  <c r="B1234" i="3"/>
  <c r="A1234" i="3"/>
  <c r="L1233" i="3"/>
  <c r="H1233" i="3"/>
  <c r="K1233" i="3" s="1"/>
  <c r="G1233" i="3"/>
  <c r="F1233" i="3"/>
  <c r="E1233" i="3"/>
  <c r="I1233" i="3" s="1"/>
  <c r="D1233" i="3"/>
  <c r="J1233" i="3" s="1"/>
  <c r="C1233" i="3"/>
  <c r="B1233" i="3"/>
  <c r="A1233" i="3"/>
  <c r="L1232" i="3"/>
  <c r="H1232" i="3"/>
  <c r="K1232" i="3" s="1"/>
  <c r="G1232" i="3"/>
  <c r="F1232" i="3"/>
  <c r="E1232" i="3"/>
  <c r="I1232" i="3" s="1"/>
  <c r="D1232" i="3"/>
  <c r="J1232" i="3" s="1"/>
  <c r="C1232" i="3"/>
  <c r="B1232" i="3"/>
  <c r="A1232" i="3"/>
  <c r="L1231" i="3"/>
  <c r="H1231" i="3"/>
  <c r="K1231" i="3" s="1"/>
  <c r="G1231" i="3"/>
  <c r="F1231" i="3"/>
  <c r="E1231" i="3"/>
  <c r="I1231" i="3" s="1"/>
  <c r="D1231" i="3"/>
  <c r="J1231" i="3" s="1"/>
  <c r="C1231" i="3"/>
  <c r="B1231" i="3"/>
  <c r="A1231" i="3"/>
  <c r="L1230" i="3"/>
  <c r="H1230" i="3"/>
  <c r="K1230" i="3" s="1"/>
  <c r="G1230" i="3"/>
  <c r="F1230" i="3"/>
  <c r="E1230" i="3"/>
  <c r="I1230" i="3" s="1"/>
  <c r="D1230" i="3"/>
  <c r="J1230" i="3" s="1"/>
  <c r="C1230" i="3"/>
  <c r="B1230" i="3"/>
  <c r="A1230" i="3"/>
  <c r="L1229" i="3"/>
  <c r="H1229" i="3"/>
  <c r="K1229" i="3" s="1"/>
  <c r="G1229" i="3"/>
  <c r="F1229" i="3"/>
  <c r="E1229" i="3"/>
  <c r="I1229" i="3" s="1"/>
  <c r="D1229" i="3"/>
  <c r="J1229" i="3" s="1"/>
  <c r="C1229" i="3"/>
  <c r="B1229" i="3"/>
  <c r="A1229" i="3"/>
  <c r="L1228" i="3"/>
  <c r="H1228" i="3"/>
  <c r="K1228" i="3" s="1"/>
  <c r="G1228" i="3"/>
  <c r="F1228" i="3"/>
  <c r="E1228" i="3"/>
  <c r="I1228" i="3" s="1"/>
  <c r="D1228" i="3"/>
  <c r="J1228" i="3" s="1"/>
  <c r="C1228" i="3"/>
  <c r="B1228" i="3"/>
  <c r="A1228" i="3"/>
  <c r="L1227" i="3"/>
  <c r="H1227" i="3"/>
  <c r="K1227" i="3" s="1"/>
  <c r="G1227" i="3"/>
  <c r="F1227" i="3"/>
  <c r="E1227" i="3"/>
  <c r="I1227" i="3" s="1"/>
  <c r="D1227" i="3"/>
  <c r="J1227" i="3" s="1"/>
  <c r="C1227" i="3"/>
  <c r="B1227" i="3"/>
  <c r="A1227" i="3"/>
  <c r="L1226" i="3"/>
  <c r="H1226" i="3"/>
  <c r="K1226" i="3" s="1"/>
  <c r="G1226" i="3"/>
  <c r="F1226" i="3"/>
  <c r="E1226" i="3"/>
  <c r="I1226" i="3" s="1"/>
  <c r="D1226" i="3"/>
  <c r="J1226" i="3" s="1"/>
  <c r="C1226" i="3"/>
  <c r="B1226" i="3"/>
  <c r="A1226" i="3"/>
  <c r="L1225" i="3"/>
  <c r="H1225" i="3"/>
  <c r="K1225" i="3" s="1"/>
  <c r="G1225" i="3"/>
  <c r="F1225" i="3"/>
  <c r="E1225" i="3"/>
  <c r="I1225" i="3" s="1"/>
  <c r="D1225" i="3"/>
  <c r="J1225" i="3" s="1"/>
  <c r="C1225" i="3"/>
  <c r="B1225" i="3"/>
  <c r="A1225" i="3"/>
  <c r="L1224" i="3"/>
  <c r="H1224" i="3"/>
  <c r="K1224" i="3" s="1"/>
  <c r="G1224" i="3"/>
  <c r="F1224" i="3"/>
  <c r="E1224" i="3"/>
  <c r="I1224" i="3" s="1"/>
  <c r="D1224" i="3"/>
  <c r="J1224" i="3" s="1"/>
  <c r="C1224" i="3"/>
  <c r="B1224" i="3"/>
  <c r="A1224" i="3"/>
  <c r="L1223" i="3"/>
  <c r="H1223" i="3"/>
  <c r="K1223" i="3" s="1"/>
  <c r="G1223" i="3"/>
  <c r="F1223" i="3"/>
  <c r="E1223" i="3"/>
  <c r="I1223" i="3" s="1"/>
  <c r="D1223" i="3"/>
  <c r="J1223" i="3" s="1"/>
  <c r="C1223" i="3"/>
  <c r="B1223" i="3"/>
  <c r="A1223" i="3"/>
  <c r="L1222" i="3"/>
  <c r="H1222" i="3"/>
  <c r="K1222" i="3" s="1"/>
  <c r="G1222" i="3"/>
  <c r="F1222" i="3"/>
  <c r="E1222" i="3"/>
  <c r="I1222" i="3" s="1"/>
  <c r="D1222" i="3"/>
  <c r="J1222" i="3" s="1"/>
  <c r="C1222" i="3"/>
  <c r="B1222" i="3"/>
  <c r="A1222" i="3"/>
  <c r="L1221" i="3"/>
  <c r="H1221" i="3"/>
  <c r="K1221" i="3" s="1"/>
  <c r="G1221" i="3"/>
  <c r="F1221" i="3"/>
  <c r="E1221" i="3"/>
  <c r="I1221" i="3" s="1"/>
  <c r="D1221" i="3"/>
  <c r="J1221" i="3" s="1"/>
  <c r="C1221" i="3"/>
  <c r="B1221" i="3"/>
  <c r="A1221" i="3"/>
  <c r="L1220" i="3"/>
  <c r="H1220" i="3"/>
  <c r="K1220" i="3" s="1"/>
  <c r="G1220" i="3"/>
  <c r="F1220" i="3"/>
  <c r="E1220" i="3"/>
  <c r="I1220" i="3" s="1"/>
  <c r="D1220" i="3"/>
  <c r="J1220" i="3" s="1"/>
  <c r="C1220" i="3"/>
  <c r="B1220" i="3"/>
  <c r="A1220" i="3"/>
  <c r="L1219" i="3"/>
  <c r="H1219" i="3"/>
  <c r="K1219" i="3" s="1"/>
  <c r="G1219" i="3"/>
  <c r="F1219" i="3"/>
  <c r="E1219" i="3"/>
  <c r="I1219" i="3" s="1"/>
  <c r="D1219" i="3"/>
  <c r="J1219" i="3" s="1"/>
  <c r="C1219" i="3"/>
  <c r="B1219" i="3"/>
  <c r="A1219" i="3"/>
  <c r="L1218" i="3"/>
  <c r="H1218" i="3"/>
  <c r="K1218" i="3" s="1"/>
  <c r="G1218" i="3"/>
  <c r="F1218" i="3"/>
  <c r="E1218" i="3"/>
  <c r="I1218" i="3" s="1"/>
  <c r="D1218" i="3"/>
  <c r="J1218" i="3" s="1"/>
  <c r="C1218" i="3"/>
  <c r="B1218" i="3"/>
  <c r="A1218" i="3"/>
  <c r="L1217" i="3"/>
  <c r="H1217" i="3"/>
  <c r="K1217" i="3" s="1"/>
  <c r="G1217" i="3"/>
  <c r="F1217" i="3"/>
  <c r="E1217" i="3"/>
  <c r="I1217" i="3" s="1"/>
  <c r="D1217" i="3"/>
  <c r="J1217" i="3" s="1"/>
  <c r="C1217" i="3"/>
  <c r="B1217" i="3"/>
  <c r="A1217" i="3"/>
  <c r="L1216" i="3"/>
  <c r="H1216" i="3"/>
  <c r="K1216" i="3" s="1"/>
  <c r="G1216" i="3"/>
  <c r="F1216" i="3"/>
  <c r="E1216" i="3"/>
  <c r="I1216" i="3" s="1"/>
  <c r="D1216" i="3"/>
  <c r="J1216" i="3" s="1"/>
  <c r="C1216" i="3"/>
  <c r="B1216" i="3"/>
  <c r="A1216" i="3"/>
  <c r="L1215" i="3"/>
  <c r="H1215" i="3"/>
  <c r="K1215" i="3" s="1"/>
  <c r="G1215" i="3"/>
  <c r="F1215" i="3"/>
  <c r="E1215" i="3"/>
  <c r="I1215" i="3" s="1"/>
  <c r="D1215" i="3"/>
  <c r="J1215" i="3" s="1"/>
  <c r="C1215" i="3"/>
  <c r="B1215" i="3"/>
  <c r="A1215" i="3"/>
  <c r="L1214" i="3"/>
  <c r="H1214" i="3"/>
  <c r="K1214" i="3" s="1"/>
  <c r="G1214" i="3"/>
  <c r="F1214" i="3"/>
  <c r="E1214" i="3"/>
  <c r="I1214" i="3" s="1"/>
  <c r="D1214" i="3"/>
  <c r="J1214" i="3" s="1"/>
  <c r="C1214" i="3"/>
  <c r="B1214" i="3"/>
  <c r="A1214" i="3"/>
  <c r="L1213" i="3"/>
  <c r="H1213" i="3"/>
  <c r="K1213" i="3" s="1"/>
  <c r="G1213" i="3"/>
  <c r="F1213" i="3"/>
  <c r="E1213" i="3"/>
  <c r="I1213" i="3" s="1"/>
  <c r="D1213" i="3"/>
  <c r="J1213" i="3" s="1"/>
  <c r="C1213" i="3"/>
  <c r="B1213" i="3"/>
  <c r="A1213" i="3"/>
  <c r="L1212" i="3"/>
  <c r="H1212" i="3"/>
  <c r="K1212" i="3" s="1"/>
  <c r="G1212" i="3"/>
  <c r="F1212" i="3"/>
  <c r="E1212" i="3"/>
  <c r="I1212" i="3" s="1"/>
  <c r="D1212" i="3"/>
  <c r="J1212" i="3" s="1"/>
  <c r="C1212" i="3"/>
  <c r="B1212" i="3"/>
  <c r="A1212" i="3"/>
  <c r="L1211" i="3"/>
  <c r="H1211" i="3"/>
  <c r="K1211" i="3" s="1"/>
  <c r="G1211" i="3"/>
  <c r="F1211" i="3"/>
  <c r="E1211" i="3"/>
  <c r="I1211" i="3" s="1"/>
  <c r="D1211" i="3"/>
  <c r="J1211" i="3" s="1"/>
  <c r="C1211" i="3"/>
  <c r="B1211" i="3"/>
  <c r="A1211" i="3"/>
  <c r="L1210" i="3"/>
  <c r="H1210" i="3"/>
  <c r="K1210" i="3" s="1"/>
  <c r="G1210" i="3"/>
  <c r="F1210" i="3"/>
  <c r="E1210" i="3"/>
  <c r="I1210" i="3" s="1"/>
  <c r="D1210" i="3"/>
  <c r="J1210" i="3" s="1"/>
  <c r="C1210" i="3"/>
  <c r="B1210" i="3"/>
  <c r="A1210" i="3"/>
  <c r="L1209" i="3"/>
  <c r="H1209" i="3"/>
  <c r="K1209" i="3" s="1"/>
  <c r="G1209" i="3"/>
  <c r="F1209" i="3"/>
  <c r="E1209" i="3"/>
  <c r="I1209" i="3" s="1"/>
  <c r="D1209" i="3"/>
  <c r="J1209" i="3" s="1"/>
  <c r="C1209" i="3"/>
  <c r="B1209" i="3"/>
  <c r="A1209" i="3"/>
  <c r="L1208" i="3"/>
  <c r="H1208" i="3"/>
  <c r="K1208" i="3" s="1"/>
  <c r="G1208" i="3"/>
  <c r="F1208" i="3"/>
  <c r="E1208" i="3"/>
  <c r="I1208" i="3" s="1"/>
  <c r="D1208" i="3"/>
  <c r="J1208" i="3" s="1"/>
  <c r="C1208" i="3"/>
  <c r="B1208" i="3"/>
  <c r="A1208" i="3"/>
  <c r="L1207" i="3"/>
  <c r="H1207" i="3"/>
  <c r="K1207" i="3" s="1"/>
  <c r="G1207" i="3"/>
  <c r="F1207" i="3"/>
  <c r="E1207" i="3"/>
  <c r="I1207" i="3" s="1"/>
  <c r="D1207" i="3"/>
  <c r="J1207" i="3" s="1"/>
  <c r="C1207" i="3"/>
  <c r="B1207" i="3"/>
  <c r="A1207" i="3"/>
  <c r="L1206" i="3"/>
  <c r="H1206" i="3"/>
  <c r="K1206" i="3" s="1"/>
  <c r="G1206" i="3"/>
  <c r="F1206" i="3"/>
  <c r="E1206" i="3"/>
  <c r="I1206" i="3" s="1"/>
  <c r="D1206" i="3"/>
  <c r="J1206" i="3" s="1"/>
  <c r="C1206" i="3"/>
  <c r="B1206" i="3"/>
  <c r="A1206" i="3"/>
  <c r="L1205" i="3"/>
  <c r="H1205" i="3"/>
  <c r="K1205" i="3" s="1"/>
  <c r="G1205" i="3"/>
  <c r="F1205" i="3"/>
  <c r="E1205" i="3"/>
  <c r="I1205" i="3" s="1"/>
  <c r="D1205" i="3"/>
  <c r="J1205" i="3" s="1"/>
  <c r="C1205" i="3"/>
  <c r="B1205" i="3"/>
  <c r="A1205" i="3"/>
  <c r="L1204" i="3"/>
  <c r="H1204" i="3"/>
  <c r="K1204" i="3" s="1"/>
  <c r="G1204" i="3"/>
  <c r="F1204" i="3"/>
  <c r="E1204" i="3"/>
  <c r="I1204" i="3" s="1"/>
  <c r="D1204" i="3"/>
  <c r="J1204" i="3" s="1"/>
  <c r="C1204" i="3"/>
  <c r="B1204" i="3"/>
  <c r="A1204" i="3"/>
  <c r="L1203" i="3"/>
  <c r="H1203" i="3"/>
  <c r="K1203" i="3" s="1"/>
  <c r="G1203" i="3"/>
  <c r="F1203" i="3"/>
  <c r="E1203" i="3"/>
  <c r="I1203" i="3" s="1"/>
  <c r="D1203" i="3"/>
  <c r="J1203" i="3" s="1"/>
  <c r="C1203" i="3"/>
  <c r="B1203" i="3"/>
  <c r="A1203" i="3"/>
  <c r="L1202" i="3"/>
  <c r="H1202" i="3"/>
  <c r="K1202" i="3" s="1"/>
  <c r="G1202" i="3"/>
  <c r="F1202" i="3"/>
  <c r="E1202" i="3"/>
  <c r="I1202" i="3" s="1"/>
  <c r="D1202" i="3"/>
  <c r="J1202" i="3" s="1"/>
  <c r="C1202" i="3"/>
  <c r="B1202" i="3"/>
  <c r="A1202" i="3"/>
  <c r="L1201" i="3"/>
  <c r="H1201" i="3"/>
  <c r="K1201" i="3" s="1"/>
  <c r="G1201" i="3"/>
  <c r="F1201" i="3"/>
  <c r="E1201" i="3"/>
  <c r="I1201" i="3" s="1"/>
  <c r="D1201" i="3"/>
  <c r="J1201" i="3" s="1"/>
  <c r="C1201" i="3"/>
  <c r="B1201" i="3"/>
  <c r="A1201" i="3"/>
  <c r="L1200" i="3"/>
  <c r="H1200" i="3"/>
  <c r="K1200" i="3" s="1"/>
  <c r="G1200" i="3"/>
  <c r="F1200" i="3"/>
  <c r="E1200" i="3"/>
  <c r="I1200" i="3" s="1"/>
  <c r="D1200" i="3"/>
  <c r="J1200" i="3" s="1"/>
  <c r="C1200" i="3"/>
  <c r="B1200" i="3"/>
  <c r="A1200" i="3"/>
  <c r="L1199" i="3"/>
  <c r="H1199" i="3"/>
  <c r="K1199" i="3" s="1"/>
  <c r="G1199" i="3"/>
  <c r="F1199" i="3"/>
  <c r="E1199" i="3"/>
  <c r="I1199" i="3" s="1"/>
  <c r="D1199" i="3"/>
  <c r="J1199" i="3" s="1"/>
  <c r="C1199" i="3"/>
  <c r="B1199" i="3"/>
  <c r="A1199" i="3"/>
  <c r="L1198" i="3"/>
  <c r="H1198" i="3"/>
  <c r="K1198" i="3" s="1"/>
  <c r="G1198" i="3"/>
  <c r="F1198" i="3"/>
  <c r="E1198" i="3"/>
  <c r="I1198" i="3" s="1"/>
  <c r="D1198" i="3"/>
  <c r="J1198" i="3" s="1"/>
  <c r="C1198" i="3"/>
  <c r="B1198" i="3"/>
  <c r="A1198" i="3"/>
  <c r="L1197" i="3"/>
  <c r="H1197" i="3"/>
  <c r="K1197" i="3" s="1"/>
  <c r="G1197" i="3"/>
  <c r="F1197" i="3"/>
  <c r="E1197" i="3"/>
  <c r="I1197" i="3" s="1"/>
  <c r="D1197" i="3"/>
  <c r="J1197" i="3" s="1"/>
  <c r="C1197" i="3"/>
  <c r="B1197" i="3"/>
  <c r="A1197" i="3"/>
  <c r="L1196" i="3"/>
  <c r="H1196" i="3"/>
  <c r="K1196" i="3" s="1"/>
  <c r="G1196" i="3"/>
  <c r="F1196" i="3"/>
  <c r="E1196" i="3"/>
  <c r="I1196" i="3" s="1"/>
  <c r="D1196" i="3"/>
  <c r="J1196" i="3" s="1"/>
  <c r="C1196" i="3"/>
  <c r="B1196" i="3"/>
  <c r="A1196" i="3"/>
  <c r="L1195" i="3"/>
  <c r="H1195" i="3"/>
  <c r="K1195" i="3" s="1"/>
  <c r="G1195" i="3"/>
  <c r="F1195" i="3"/>
  <c r="E1195" i="3"/>
  <c r="D1195" i="3"/>
  <c r="J1195" i="3" s="1"/>
  <c r="C1195" i="3"/>
  <c r="B1195" i="3"/>
  <c r="A1195" i="3"/>
  <c r="L1194" i="3"/>
  <c r="H1194" i="3"/>
  <c r="K1194" i="3" s="1"/>
  <c r="G1194" i="3"/>
  <c r="F1194" i="3"/>
  <c r="E1194" i="3"/>
  <c r="I1194" i="3" s="1"/>
  <c r="D1194" i="3"/>
  <c r="J1194" i="3" s="1"/>
  <c r="C1194" i="3"/>
  <c r="B1194" i="3"/>
  <c r="A1194" i="3"/>
  <c r="L1193" i="3"/>
  <c r="H1193" i="3"/>
  <c r="K1193" i="3" s="1"/>
  <c r="G1193" i="3"/>
  <c r="F1193" i="3"/>
  <c r="E1193" i="3"/>
  <c r="D1193" i="3"/>
  <c r="J1193" i="3" s="1"/>
  <c r="C1193" i="3"/>
  <c r="B1193" i="3"/>
  <c r="A1193" i="3"/>
  <c r="L1192" i="3"/>
  <c r="H1192" i="3"/>
  <c r="K1192" i="3" s="1"/>
  <c r="G1192" i="3"/>
  <c r="F1192" i="3"/>
  <c r="E1192" i="3"/>
  <c r="I1192" i="3" s="1"/>
  <c r="D1192" i="3"/>
  <c r="J1192" i="3" s="1"/>
  <c r="C1192" i="3"/>
  <c r="B1192" i="3"/>
  <c r="A1192" i="3"/>
  <c r="L1191" i="3"/>
  <c r="H1191" i="3"/>
  <c r="K1191" i="3" s="1"/>
  <c r="G1191" i="3"/>
  <c r="F1191" i="3"/>
  <c r="E1191" i="3"/>
  <c r="D1191" i="3"/>
  <c r="J1191" i="3" s="1"/>
  <c r="C1191" i="3"/>
  <c r="B1191" i="3"/>
  <c r="A1191" i="3"/>
  <c r="L1190" i="3"/>
  <c r="H1190" i="3"/>
  <c r="K1190" i="3" s="1"/>
  <c r="G1190" i="3"/>
  <c r="F1190" i="3"/>
  <c r="E1190" i="3"/>
  <c r="I1190" i="3" s="1"/>
  <c r="D1190" i="3"/>
  <c r="J1190" i="3" s="1"/>
  <c r="C1190" i="3"/>
  <c r="B1190" i="3"/>
  <c r="A1190" i="3"/>
  <c r="L1189" i="3"/>
  <c r="H1189" i="3"/>
  <c r="K1189" i="3" s="1"/>
  <c r="G1189" i="3"/>
  <c r="F1189" i="3"/>
  <c r="E1189" i="3"/>
  <c r="D1189" i="3"/>
  <c r="J1189" i="3" s="1"/>
  <c r="C1189" i="3"/>
  <c r="B1189" i="3"/>
  <c r="A1189" i="3"/>
  <c r="L1188" i="3"/>
  <c r="H1188" i="3"/>
  <c r="K1188" i="3" s="1"/>
  <c r="G1188" i="3"/>
  <c r="F1188" i="3"/>
  <c r="E1188" i="3"/>
  <c r="I1188" i="3" s="1"/>
  <c r="D1188" i="3"/>
  <c r="J1188" i="3" s="1"/>
  <c r="C1188" i="3"/>
  <c r="B1188" i="3"/>
  <c r="A1188" i="3"/>
  <c r="L1187" i="3"/>
  <c r="H1187" i="3"/>
  <c r="K1187" i="3" s="1"/>
  <c r="G1187" i="3"/>
  <c r="F1187" i="3"/>
  <c r="E1187" i="3"/>
  <c r="D1187" i="3"/>
  <c r="J1187" i="3" s="1"/>
  <c r="C1187" i="3"/>
  <c r="B1187" i="3"/>
  <c r="A1187" i="3"/>
  <c r="L1186" i="3"/>
  <c r="H1186" i="3"/>
  <c r="K1186" i="3" s="1"/>
  <c r="G1186" i="3"/>
  <c r="F1186" i="3"/>
  <c r="E1186" i="3"/>
  <c r="I1186" i="3" s="1"/>
  <c r="D1186" i="3"/>
  <c r="J1186" i="3" s="1"/>
  <c r="C1186" i="3"/>
  <c r="B1186" i="3"/>
  <c r="A1186" i="3"/>
  <c r="L1185" i="3"/>
  <c r="H1185" i="3"/>
  <c r="K1185" i="3" s="1"/>
  <c r="G1185" i="3"/>
  <c r="F1185" i="3"/>
  <c r="E1185" i="3"/>
  <c r="D1185" i="3"/>
  <c r="J1185" i="3" s="1"/>
  <c r="C1185" i="3"/>
  <c r="B1185" i="3"/>
  <c r="A1185" i="3"/>
  <c r="L1184" i="3"/>
  <c r="H1184" i="3"/>
  <c r="K1184" i="3" s="1"/>
  <c r="G1184" i="3"/>
  <c r="F1184" i="3"/>
  <c r="E1184" i="3"/>
  <c r="I1184" i="3" s="1"/>
  <c r="D1184" i="3"/>
  <c r="J1184" i="3" s="1"/>
  <c r="C1184" i="3"/>
  <c r="B1184" i="3"/>
  <c r="A1184" i="3"/>
  <c r="L1183" i="3"/>
  <c r="H1183" i="3"/>
  <c r="K1183" i="3" s="1"/>
  <c r="G1183" i="3"/>
  <c r="F1183" i="3"/>
  <c r="E1183" i="3"/>
  <c r="D1183" i="3"/>
  <c r="J1183" i="3" s="1"/>
  <c r="C1183" i="3"/>
  <c r="B1183" i="3"/>
  <c r="A1183" i="3"/>
  <c r="L1182" i="3"/>
  <c r="H1182" i="3"/>
  <c r="K1182" i="3" s="1"/>
  <c r="G1182" i="3"/>
  <c r="F1182" i="3"/>
  <c r="E1182" i="3"/>
  <c r="I1182" i="3" s="1"/>
  <c r="D1182" i="3"/>
  <c r="J1182" i="3" s="1"/>
  <c r="C1182" i="3"/>
  <c r="B1182" i="3"/>
  <c r="A1182" i="3"/>
  <c r="L1181" i="3"/>
  <c r="H1181" i="3"/>
  <c r="K1181" i="3" s="1"/>
  <c r="G1181" i="3"/>
  <c r="F1181" i="3"/>
  <c r="E1181" i="3"/>
  <c r="D1181" i="3"/>
  <c r="J1181" i="3" s="1"/>
  <c r="C1181" i="3"/>
  <c r="B1181" i="3"/>
  <c r="A1181" i="3"/>
  <c r="L1180" i="3"/>
  <c r="H1180" i="3"/>
  <c r="K1180" i="3" s="1"/>
  <c r="G1180" i="3"/>
  <c r="F1180" i="3"/>
  <c r="E1180" i="3"/>
  <c r="I1180" i="3" s="1"/>
  <c r="D1180" i="3"/>
  <c r="J1180" i="3" s="1"/>
  <c r="C1180" i="3"/>
  <c r="B1180" i="3"/>
  <c r="A1180" i="3"/>
  <c r="L1179" i="3"/>
  <c r="H1179" i="3"/>
  <c r="K1179" i="3" s="1"/>
  <c r="G1179" i="3"/>
  <c r="F1179" i="3"/>
  <c r="E1179" i="3"/>
  <c r="D1179" i="3"/>
  <c r="J1179" i="3" s="1"/>
  <c r="C1179" i="3"/>
  <c r="B1179" i="3"/>
  <c r="A1179" i="3"/>
  <c r="L1178" i="3"/>
  <c r="H1178" i="3"/>
  <c r="K1178" i="3" s="1"/>
  <c r="G1178" i="3"/>
  <c r="F1178" i="3"/>
  <c r="E1178" i="3"/>
  <c r="I1178" i="3" s="1"/>
  <c r="D1178" i="3"/>
  <c r="J1178" i="3" s="1"/>
  <c r="C1178" i="3"/>
  <c r="B1178" i="3"/>
  <c r="A1178" i="3"/>
  <c r="L1177" i="3"/>
  <c r="H1177" i="3"/>
  <c r="K1177" i="3" s="1"/>
  <c r="G1177" i="3"/>
  <c r="F1177" i="3"/>
  <c r="E1177" i="3"/>
  <c r="D1177" i="3"/>
  <c r="J1177" i="3" s="1"/>
  <c r="C1177" i="3"/>
  <c r="B1177" i="3"/>
  <c r="A1177" i="3"/>
  <c r="L1176" i="3"/>
  <c r="H1176" i="3"/>
  <c r="K1176" i="3" s="1"/>
  <c r="G1176" i="3"/>
  <c r="F1176" i="3"/>
  <c r="E1176" i="3"/>
  <c r="I1176" i="3" s="1"/>
  <c r="D1176" i="3"/>
  <c r="J1176" i="3" s="1"/>
  <c r="C1176" i="3"/>
  <c r="B1176" i="3"/>
  <c r="A1176" i="3"/>
  <c r="L1175" i="3"/>
  <c r="H1175" i="3"/>
  <c r="K1175" i="3" s="1"/>
  <c r="G1175" i="3"/>
  <c r="F1175" i="3"/>
  <c r="E1175" i="3"/>
  <c r="D1175" i="3"/>
  <c r="J1175" i="3" s="1"/>
  <c r="C1175" i="3"/>
  <c r="B1175" i="3"/>
  <c r="A1175" i="3"/>
  <c r="L1174" i="3"/>
  <c r="H1174" i="3"/>
  <c r="K1174" i="3" s="1"/>
  <c r="G1174" i="3"/>
  <c r="F1174" i="3"/>
  <c r="E1174" i="3"/>
  <c r="I1174" i="3" s="1"/>
  <c r="D1174" i="3"/>
  <c r="J1174" i="3" s="1"/>
  <c r="C1174" i="3"/>
  <c r="B1174" i="3"/>
  <c r="A1174" i="3"/>
  <c r="L1173" i="3"/>
  <c r="H1173" i="3"/>
  <c r="K1173" i="3" s="1"/>
  <c r="G1173" i="3"/>
  <c r="F1173" i="3"/>
  <c r="E1173" i="3"/>
  <c r="D1173" i="3"/>
  <c r="J1173" i="3" s="1"/>
  <c r="C1173" i="3"/>
  <c r="B1173" i="3"/>
  <c r="A1173" i="3"/>
  <c r="L1172" i="3"/>
  <c r="H1172" i="3"/>
  <c r="K1172" i="3" s="1"/>
  <c r="G1172" i="3"/>
  <c r="F1172" i="3"/>
  <c r="E1172" i="3"/>
  <c r="I1172" i="3" s="1"/>
  <c r="D1172" i="3"/>
  <c r="J1172" i="3" s="1"/>
  <c r="C1172" i="3"/>
  <c r="B1172" i="3"/>
  <c r="A1172" i="3"/>
  <c r="L1171" i="3"/>
  <c r="H1171" i="3"/>
  <c r="K1171" i="3" s="1"/>
  <c r="G1171" i="3"/>
  <c r="F1171" i="3"/>
  <c r="E1171" i="3"/>
  <c r="D1171" i="3"/>
  <c r="J1171" i="3" s="1"/>
  <c r="C1171" i="3"/>
  <c r="B1171" i="3"/>
  <c r="A1171" i="3"/>
  <c r="H1170" i="3"/>
  <c r="K1170" i="3" s="1"/>
  <c r="G1170" i="3"/>
  <c r="F1170" i="3"/>
  <c r="L1170" i="3" s="1"/>
  <c r="E1170" i="3"/>
  <c r="D1170" i="3"/>
  <c r="J1170" i="3" s="1"/>
  <c r="C1170" i="3"/>
  <c r="B1170" i="3"/>
  <c r="A1170" i="3"/>
  <c r="H1169" i="3"/>
  <c r="K1169" i="3" s="1"/>
  <c r="G1169" i="3"/>
  <c r="F1169" i="3"/>
  <c r="L1169" i="3" s="1"/>
  <c r="E1169" i="3"/>
  <c r="D1169" i="3"/>
  <c r="J1169" i="3" s="1"/>
  <c r="C1169" i="3"/>
  <c r="B1169" i="3"/>
  <c r="A1169" i="3"/>
  <c r="H1168" i="3"/>
  <c r="K1168" i="3" s="1"/>
  <c r="G1168" i="3"/>
  <c r="F1168" i="3"/>
  <c r="L1168" i="3" s="1"/>
  <c r="E1168" i="3"/>
  <c r="D1168" i="3"/>
  <c r="J1168" i="3" s="1"/>
  <c r="C1168" i="3"/>
  <c r="B1168" i="3"/>
  <c r="A1168" i="3"/>
  <c r="H1167" i="3"/>
  <c r="K1167" i="3" s="1"/>
  <c r="G1167" i="3"/>
  <c r="F1167" i="3"/>
  <c r="L1167" i="3" s="1"/>
  <c r="E1167" i="3"/>
  <c r="D1167" i="3"/>
  <c r="J1167" i="3" s="1"/>
  <c r="C1167" i="3"/>
  <c r="B1167" i="3"/>
  <c r="A1167" i="3"/>
  <c r="H1166" i="3"/>
  <c r="K1166" i="3" s="1"/>
  <c r="G1166" i="3"/>
  <c r="F1166" i="3"/>
  <c r="L1166" i="3" s="1"/>
  <c r="E1166" i="3"/>
  <c r="D1166" i="3"/>
  <c r="J1166" i="3" s="1"/>
  <c r="C1166" i="3"/>
  <c r="B1166" i="3"/>
  <c r="A1166" i="3"/>
  <c r="H1165" i="3"/>
  <c r="K1165" i="3" s="1"/>
  <c r="G1165" i="3"/>
  <c r="F1165" i="3"/>
  <c r="L1165" i="3" s="1"/>
  <c r="E1165" i="3"/>
  <c r="D1165" i="3"/>
  <c r="J1165" i="3" s="1"/>
  <c r="C1165" i="3"/>
  <c r="B1165" i="3"/>
  <c r="A1165" i="3"/>
  <c r="H1164" i="3"/>
  <c r="K1164" i="3" s="1"/>
  <c r="G1164" i="3"/>
  <c r="F1164" i="3"/>
  <c r="L1164" i="3" s="1"/>
  <c r="E1164" i="3"/>
  <c r="D1164" i="3"/>
  <c r="J1164" i="3" s="1"/>
  <c r="C1164" i="3"/>
  <c r="B1164" i="3"/>
  <c r="A1164" i="3"/>
  <c r="H1163" i="3"/>
  <c r="K1163" i="3" s="1"/>
  <c r="G1163" i="3"/>
  <c r="F1163" i="3"/>
  <c r="L1163" i="3" s="1"/>
  <c r="E1163" i="3"/>
  <c r="D1163" i="3"/>
  <c r="J1163" i="3" s="1"/>
  <c r="C1163" i="3"/>
  <c r="B1163" i="3"/>
  <c r="A1163" i="3"/>
  <c r="H1162" i="3"/>
  <c r="K1162" i="3" s="1"/>
  <c r="G1162" i="3"/>
  <c r="F1162" i="3"/>
  <c r="L1162" i="3" s="1"/>
  <c r="E1162" i="3"/>
  <c r="D1162" i="3"/>
  <c r="J1162" i="3" s="1"/>
  <c r="C1162" i="3"/>
  <c r="B1162" i="3"/>
  <c r="A1162" i="3"/>
  <c r="H1161" i="3"/>
  <c r="K1161" i="3" s="1"/>
  <c r="G1161" i="3"/>
  <c r="F1161" i="3"/>
  <c r="L1161" i="3" s="1"/>
  <c r="E1161" i="3"/>
  <c r="D1161" i="3"/>
  <c r="J1161" i="3" s="1"/>
  <c r="C1161" i="3"/>
  <c r="B1161" i="3"/>
  <c r="A1161" i="3"/>
  <c r="H1160" i="3"/>
  <c r="K1160" i="3" s="1"/>
  <c r="G1160" i="3"/>
  <c r="F1160" i="3"/>
  <c r="L1160" i="3" s="1"/>
  <c r="E1160" i="3"/>
  <c r="D1160" i="3"/>
  <c r="J1160" i="3" s="1"/>
  <c r="C1160" i="3"/>
  <c r="B1160" i="3"/>
  <c r="A1160" i="3"/>
  <c r="H1159" i="3"/>
  <c r="K1159" i="3" s="1"/>
  <c r="G1159" i="3"/>
  <c r="F1159" i="3"/>
  <c r="L1159" i="3" s="1"/>
  <c r="E1159" i="3"/>
  <c r="D1159" i="3"/>
  <c r="J1159" i="3" s="1"/>
  <c r="C1159" i="3"/>
  <c r="B1159" i="3"/>
  <c r="A1159" i="3"/>
  <c r="H1158" i="3"/>
  <c r="K1158" i="3" s="1"/>
  <c r="G1158" i="3"/>
  <c r="F1158" i="3"/>
  <c r="L1158" i="3" s="1"/>
  <c r="E1158" i="3"/>
  <c r="D1158" i="3"/>
  <c r="J1158" i="3" s="1"/>
  <c r="C1158" i="3"/>
  <c r="B1158" i="3"/>
  <c r="A1158" i="3"/>
  <c r="H1157" i="3"/>
  <c r="K1157" i="3" s="1"/>
  <c r="G1157" i="3"/>
  <c r="F1157" i="3"/>
  <c r="L1157" i="3" s="1"/>
  <c r="E1157" i="3"/>
  <c r="D1157" i="3"/>
  <c r="J1157" i="3" s="1"/>
  <c r="C1157" i="3"/>
  <c r="B1157" i="3"/>
  <c r="A1157" i="3"/>
  <c r="H1156" i="3"/>
  <c r="K1156" i="3" s="1"/>
  <c r="G1156" i="3"/>
  <c r="F1156" i="3"/>
  <c r="L1156" i="3" s="1"/>
  <c r="E1156" i="3"/>
  <c r="D1156" i="3"/>
  <c r="J1156" i="3" s="1"/>
  <c r="C1156" i="3"/>
  <c r="B1156" i="3"/>
  <c r="A1156" i="3"/>
  <c r="H1155" i="3"/>
  <c r="K1155" i="3" s="1"/>
  <c r="G1155" i="3"/>
  <c r="F1155" i="3"/>
  <c r="L1155" i="3" s="1"/>
  <c r="E1155" i="3"/>
  <c r="D1155" i="3"/>
  <c r="J1155" i="3" s="1"/>
  <c r="C1155" i="3"/>
  <c r="B1155" i="3"/>
  <c r="A1155" i="3"/>
  <c r="H1154" i="3"/>
  <c r="K1154" i="3" s="1"/>
  <c r="G1154" i="3"/>
  <c r="F1154" i="3"/>
  <c r="L1154" i="3" s="1"/>
  <c r="E1154" i="3"/>
  <c r="D1154" i="3"/>
  <c r="J1154" i="3" s="1"/>
  <c r="C1154" i="3"/>
  <c r="B1154" i="3"/>
  <c r="A1154" i="3"/>
  <c r="H1153" i="3"/>
  <c r="K1153" i="3" s="1"/>
  <c r="G1153" i="3"/>
  <c r="F1153" i="3"/>
  <c r="L1153" i="3" s="1"/>
  <c r="E1153" i="3"/>
  <c r="D1153" i="3"/>
  <c r="J1153" i="3" s="1"/>
  <c r="C1153" i="3"/>
  <c r="B1153" i="3"/>
  <c r="A1153" i="3"/>
  <c r="H1152" i="3"/>
  <c r="K1152" i="3" s="1"/>
  <c r="G1152" i="3"/>
  <c r="F1152" i="3"/>
  <c r="L1152" i="3" s="1"/>
  <c r="E1152" i="3"/>
  <c r="D1152" i="3"/>
  <c r="J1152" i="3" s="1"/>
  <c r="C1152" i="3"/>
  <c r="B1152" i="3"/>
  <c r="A1152" i="3"/>
  <c r="H1151" i="3"/>
  <c r="K1151" i="3" s="1"/>
  <c r="G1151" i="3"/>
  <c r="F1151" i="3"/>
  <c r="L1151" i="3" s="1"/>
  <c r="E1151" i="3"/>
  <c r="D1151" i="3"/>
  <c r="J1151" i="3" s="1"/>
  <c r="C1151" i="3"/>
  <c r="B1151" i="3"/>
  <c r="A1151" i="3"/>
  <c r="H1150" i="3"/>
  <c r="K1150" i="3" s="1"/>
  <c r="G1150" i="3"/>
  <c r="F1150" i="3"/>
  <c r="L1150" i="3" s="1"/>
  <c r="E1150" i="3"/>
  <c r="D1150" i="3"/>
  <c r="J1150" i="3" s="1"/>
  <c r="C1150" i="3"/>
  <c r="B1150" i="3"/>
  <c r="A1150" i="3"/>
  <c r="H1149" i="3"/>
  <c r="K1149" i="3" s="1"/>
  <c r="G1149" i="3"/>
  <c r="F1149" i="3"/>
  <c r="L1149" i="3" s="1"/>
  <c r="E1149" i="3"/>
  <c r="D1149" i="3"/>
  <c r="J1149" i="3" s="1"/>
  <c r="C1149" i="3"/>
  <c r="B1149" i="3"/>
  <c r="A1149" i="3"/>
  <c r="H1148" i="3"/>
  <c r="K1148" i="3" s="1"/>
  <c r="G1148" i="3"/>
  <c r="F1148" i="3"/>
  <c r="L1148" i="3" s="1"/>
  <c r="E1148" i="3"/>
  <c r="D1148" i="3"/>
  <c r="J1148" i="3" s="1"/>
  <c r="C1148" i="3"/>
  <c r="B1148" i="3"/>
  <c r="A1148" i="3"/>
  <c r="H1147" i="3"/>
  <c r="K1147" i="3" s="1"/>
  <c r="G1147" i="3"/>
  <c r="F1147" i="3"/>
  <c r="L1147" i="3" s="1"/>
  <c r="E1147" i="3"/>
  <c r="D1147" i="3"/>
  <c r="J1147" i="3" s="1"/>
  <c r="C1147" i="3"/>
  <c r="B1147" i="3"/>
  <c r="A1147" i="3"/>
  <c r="H1146" i="3"/>
  <c r="K1146" i="3" s="1"/>
  <c r="G1146" i="3"/>
  <c r="F1146" i="3"/>
  <c r="L1146" i="3" s="1"/>
  <c r="E1146" i="3"/>
  <c r="D1146" i="3"/>
  <c r="J1146" i="3" s="1"/>
  <c r="C1146" i="3"/>
  <c r="B1146" i="3"/>
  <c r="A1146" i="3"/>
  <c r="H1145" i="3"/>
  <c r="K1145" i="3" s="1"/>
  <c r="G1145" i="3"/>
  <c r="F1145" i="3"/>
  <c r="L1145" i="3" s="1"/>
  <c r="E1145" i="3"/>
  <c r="D1145" i="3"/>
  <c r="J1145" i="3" s="1"/>
  <c r="C1145" i="3"/>
  <c r="B1145" i="3"/>
  <c r="A1145" i="3"/>
  <c r="L1144" i="3"/>
  <c r="H1144" i="3"/>
  <c r="K1144" i="3" s="1"/>
  <c r="G1144" i="3"/>
  <c r="F1144" i="3"/>
  <c r="E1144" i="3"/>
  <c r="I1144" i="3" s="1"/>
  <c r="D1144" i="3"/>
  <c r="J1144" i="3" s="1"/>
  <c r="C1144" i="3"/>
  <c r="B1144" i="3"/>
  <c r="A1144" i="3"/>
  <c r="H1143" i="3"/>
  <c r="K1143" i="3" s="1"/>
  <c r="G1143" i="3"/>
  <c r="F1143" i="3"/>
  <c r="L1143" i="3" s="1"/>
  <c r="E1143" i="3"/>
  <c r="I1143" i="3" s="1"/>
  <c r="D1143" i="3"/>
  <c r="J1143" i="3" s="1"/>
  <c r="C1143" i="3"/>
  <c r="B1143" i="3"/>
  <c r="A1143" i="3"/>
  <c r="L1142" i="3"/>
  <c r="H1142" i="3"/>
  <c r="K1142" i="3" s="1"/>
  <c r="G1142" i="3"/>
  <c r="F1142" i="3"/>
  <c r="E1142" i="3"/>
  <c r="I1142" i="3" s="1"/>
  <c r="D1142" i="3"/>
  <c r="J1142" i="3" s="1"/>
  <c r="C1142" i="3"/>
  <c r="B1142" i="3"/>
  <c r="A1142" i="3"/>
  <c r="H1141" i="3"/>
  <c r="K1141" i="3" s="1"/>
  <c r="G1141" i="3"/>
  <c r="F1141" i="3"/>
  <c r="L1141" i="3" s="1"/>
  <c r="E1141" i="3"/>
  <c r="I1141" i="3" s="1"/>
  <c r="D1141" i="3"/>
  <c r="J1141" i="3" s="1"/>
  <c r="C1141" i="3"/>
  <c r="B1141" i="3"/>
  <c r="A1141" i="3"/>
  <c r="L1140" i="3"/>
  <c r="H1140" i="3"/>
  <c r="K1140" i="3" s="1"/>
  <c r="G1140" i="3"/>
  <c r="F1140" i="3"/>
  <c r="E1140" i="3"/>
  <c r="I1140" i="3" s="1"/>
  <c r="D1140" i="3"/>
  <c r="J1140" i="3" s="1"/>
  <c r="C1140" i="3"/>
  <c r="B1140" i="3"/>
  <c r="A1140" i="3"/>
  <c r="H1139" i="3"/>
  <c r="K1139" i="3" s="1"/>
  <c r="G1139" i="3"/>
  <c r="F1139" i="3"/>
  <c r="L1139" i="3" s="1"/>
  <c r="E1139" i="3"/>
  <c r="I1139" i="3" s="1"/>
  <c r="D1139" i="3"/>
  <c r="J1139" i="3" s="1"/>
  <c r="C1139" i="3"/>
  <c r="B1139" i="3"/>
  <c r="A1139" i="3"/>
  <c r="L1138" i="3"/>
  <c r="H1138" i="3"/>
  <c r="K1138" i="3" s="1"/>
  <c r="G1138" i="3"/>
  <c r="F1138" i="3"/>
  <c r="E1138" i="3"/>
  <c r="I1138" i="3" s="1"/>
  <c r="D1138" i="3"/>
  <c r="J1138" i="3" s="1"/>
  <c r="C1138" i="3"/>
  <c r="B1138" i="3"/>
  <c r="A1138" i="3"/>
  <c r="H1137" i="3"/>
  <c r="K1137" i="3" s="1"/>
  <c r="G1137" i="3"/>
  <c r="F1137" i="3"/>
  <c r="L1137" i="3" s="1"/>
  <c r="E1137" i="3"/>
  <c r="I1137" i="3" s="1"/>
  <c r="D1137" i="3"/>
  <c r="J1137" i="3" s="1"/>
  <c r="C1137" i="3"/>
  <c r="B1137" i="3"/>
  <c r="A1137" i="3"/>
  <c r="L1136" i="3"/>
  <c r="H1136" i="3"/>
  <c r="K1136" i="3" s="1"/>
  <c r="G1136" i="3"/>
  <c r="F1136" i="3"/>
  <c r="E1136" i="3"/>
  <c r="I1136" i="3" s="1"/>
  <c r="D1136" i="3"/>
  <c r="J1136" i="3" s="1"/>
  <c r="C1136" i="3"/>
  <c r="B1136" i="3"/>
  <c r="A1136" i="3"/>
  <c r="H1135" i="3"/>
  <c r="K1135" i="3" s="1"/>
  <c r="G1135" i="3"/>
  <c r="F1135" i="3"/>
  <c r="L1135" i="3" s="1"/>
  <c r="E1135" i="3"/>
  <c r="I1135" i="3" s="1"/>
  <c r="D1135" i="3"/>
  <c r="J1135" i="3" s="1"/>
  <c r="C1135" i="3"/>
  <c r="B1135" i="3"/>
  <c r="A1135" i="3"/>
  <c r="L1134" i="3"/>
  <c r="J1134" i="3"/>
  <c r="H1134" i="3"/>
  <c r="K1134" i="3" s="1"/>
  <c r="G1134" i="3"/>
  <c r="F1134" i="3"/>
  <c r="E1134" i="3"/>
  <c r="I1134" i="3" s="1"/>
  <c r="D1134" i="3"/>
  <c r="C1134" i="3"/>
  <c r="B1134" i="3"/>
  <c r="A1134" i="3"/>
  <c r="H1133" i="3"/>
  <c r="K1133" i="3" s="1"/>
  <c r="G1133" i="3"/>
  <c r="F1133" i="3"/>
  <c r="L1133" i="3" s="1"/>
  <c r="E1133" i="3"/>
  <c r="I1133" i="3" s="1"/>
  <c r="D1133" i="3"/>
  <c r="J1133" i="3" s="1"/>
  <c r="C1133" i="3"/>
  <c r="B1133" i="3"/>
  <c r="A1133" i="3"/>
  <c r="L1132" i="3"/>
  <c r="H1132" i="3"/>
  <c r="K1132" i="3" s="1"/>
  <c r="G1132" i="3"/>
  <c r="F1132" i="3"/>
  <c r="E1132" i="3"/>
  <c r="I1132" i="3" s="1"/>
  <c r="D1132" i="3"/>
  <c r="J1132" i="3" s="1"/>
  <c r="C1132" i="3"/>
  <c r="B1132" i="3"/>
  <c r="A1132" i="3"/>
  <c r="H1131" i="3"/>
  <c r="K1131" i="3" s="1"/>
  <c r="G1131" i="3"/>
  <c r="F1131" i="3"/>
  <c r="L1131" i="3" s="1"/>
  <c r="E1131" i="3"/>
  <c r="D1131" i="3"/>
  <c r="J1131" i="3" s="1"/>
  <c r="C1131" i="3"/>
  <c r="B1131" i="3"/>
  <c r="A1131" i="3"/>
  <c r="L1130" i="3"/>
  <c r="J1130" i="3"/>
  <c r="H1130" i="3"/>
  <c r="K1130" i="3" s="1"/>
  <c r="G1130" i="3"/>
  <c r="F1130" i="3"/>
  <c r="E1130" i="3"/>
  <c r="I1130" i="3" s="1"/>
  <c r="D1130" i="3"/>
  <c r="C1130" i="3"/>
  <c r="B1130" i="3"/>
  <c r="A1130" i="3"/>
  <c r="H1129" i="3"/>
  <c r="K1129" i="3" s="1"/>
  <c r="G1129" i="3"/>
  <c r="F1129" i="3"/>
  <c r="L1129" i="3" s="1"/>
  <c r="E1129" i="3"/>
  <c r="D1129" i="3"/>
  <c r="J1129" i="3" s="1"/>
  <c r="C1129" i="3"/>
  <c r="B1129" i="3"/>
  <c r="A1129" i="3"/>
  <c r="L1128" i="3"/>
  <c r="H1128" i="3"/>
  <c r="K1128" i="3" s="1"/>
  <c r="G1128" i="3"/>
  <c r="F1128" i="3"/>
  <c r="E1128" i="3"/>
  <c r="I1128" i="3" s="1"/>
  <c r="D1128" i="3"/>
  <c r="J1128" i="3" s="1"/>
  <c r="C1128" i="3"/>
  <c r="B1128" i="3"/>
  <c r="A1128" i="3"/>
  <c r="J1127" i="3"/>
  <c r="H1127" i="3"/>
  <c r="K1127" i="3" s="1"/>
  <c r="G1127" i="3"/>
  <c r="F1127" i="3"/>
  <c r="L1127" i="3" s="1"/>
  <c r="E1127" i="3"/>
  <c r="I1127" i="3" s="1"/>
  <c r="D1127" i="3"/>
  <c r="C1127" i="3"/>
  <c r="B1127" i="3"/>
  <c r="A1127" i="3"/>
  <c r="L1126" i="3"/>
  <c r="H1126" i="3"/>
  <c r="K1126" i="3" s="1"/>
  <c r="G1126" i="3"/>
  <c r="F1126" i="3"/>
  <c r="E1126" i="3"/>
  <c r="I1126" i="3" s="1"/>
  <c r="D1126" i="3"/>
  <c r="J1126" i="3" s="1"/>
  <c r="C1126" i="3"/>
  <c r="B1126" i="3"/>
  <c r="A1126" i="3"/>
  <c r="H1125" i="3"/>
  <c r="K1125" i="3" s="1"/>
  <c r="G1125" i="3"/>
  <c r="F1125" i="3"/>
  <c r="L1125" i="3" s="1"/>
  <c r="E1125" i="3"/>
  <c r="D1125" i="3"/>
  <c r="J1125" i="3" s="1"/>
  <c r="C1125" i="3"/>
  <c r="B1125" i="3"/>
  <c r="A1125" i="3"/>
  <c r="L1124" i="3"/>
  <c r="H1124" i="3"/>
  <c r="K1124" i="3" s="1"/>
  <c r="G1124" i="3"/>
  <c r="F1124" i="3"/>
  <c r="E1124" i="3"/>
  <c r="I1124" i="3" s="1"/>
  <c r="D1124" i="3"/>
  <c r="J1124" i="3" s="1"/>
  <c r="C1124" i="3"/>
  <c r="B1124" i="3"/>
  <c r="A1124" i="3"/>
  <c r="J1123" i="3"/>
  <c r="H1123" i="3"/>
  <c r="K1123" i="3" s="1"/>
  <c r="G1123" i="3"/>
  <c r="F1123" i="3"/>
  <c r="L1123" i="3" s="1"/>
  <c r="E1123" i="3"/>
  <c r="I1123" i="3" s="1"/>
  <c r="D1123" i="3"/>
  <c r="C1123" i="3"/>
  <c r="B1123" i="3"/>
  <c r="A1123" i="3"/>
  <c r="L1122" i="3"/>
  <c r="H1122" i="3"/>
  <c r="K1122" i="3" s="1"/>
  <c r="G1122" i="3"/>
  <c r="F1122" i="3"/>
  <c r="E1122" i="3"/>
  <c r="I1122" i="3" s="1"/>
  <c r="D1122" i="3"/>
  <c r="J1122" i="3" s="1"/>
  <c r="C1122" i="3"/>
  <c r="B1122" i="3"/>
  <c r="A1122" i="3"/>
  <c r="K1121" i="3"/>
  <c r="H1121" i="3"/>
  <c r="G1121" i="3"/>
  <c r="F1121" i="3"/>
  <c r="L1121" i="3" s="1"/>
  <c r="E1121" i="3"/>
  <c r="I1121" i="3" s="1"/>
  <c r="D1121" i="3"/>
  <c r="J1121" i="3" s="1"/>
  <c r="C1121" i="3"/>
  <c r="B1121" i="3"/>
  <c r="A1121" i="3"/>
  <c r="K1120" i="3"/>
  <c r="H1120" i="3"/>
  <c r="G1120" i="3"/>
  <c r="F1120" i="3"/>
  <c r="L1120" i="3" s="1"/>
  <c r="E1120" i="3"/>
  <c r="I1120" i="3" s="1"/>
  <c r="D1120" i="3"/>
  <c r="J1120" i="3" s="1"/>
  <c r="C1120" i="3"/>
  <c r="B1120" i="3"/>
  <c r="A1120" i="3"/>
  <c r="K1119" i="3"/>
  <c r="H1119" i="3"/>
  <c r="G1119" i="3"/>
  <c r="F1119" i="3"/>
  <c r="L1119" i="3" s="1"/>
  <c r="E1119" i="3"/>
  <c r="I1119" i="3" s="1"/>
  <c r="D1119" i="3"/>
  <c r="J1119" i="3" s="1"/>
  <c r="C1119" i="3"/>
  <c r="B1119" i="3"/>
  <c r="A1119" i="3"/>
  <c r="K1118" i="3"/>
  <c r="H1118" i="3"/>
  <c r="G1118" i="3"/>
  <c r="F1118" i="3"/>
  <c r="L1118" i="3" s="1"/>
  <c r="E1118" i="3"/>
  <c r="I1118" i="3" s="1"/>
  <c r="D1118" i="3"/>
  <c r="J1118" i="3" s="1"/>
  <c r="C1118" i="3"/>
  <c r="B1118" i="3"/>
  <c r="A1118" i="3"/>
  <c r="K1117" i="3"/>
  <c r="H1117" i="3"/>
  <c r="G1117" i="3"/>
  <c r="F1117" i="3"/>
  <c r="L1117" i="3" s="1"/>
  <c r="E1117" i="3"/>
  <c r="I1117" i="3" s="1"/>
  <c r="D1117" i="3"/>
  <c r="J1117" i="3" s="1"/>
  <c r="C1117" i="3"/>
  <c r="B1117" i="3"/>
  <c r="A1117" i="3"/>
  <c r="K1116" i="3"/>
  <c r="H1116" i="3"/>
  <c r="G1116" i="3"/>
  <c r="F1116" i="3"/>
  <c r="L1116" i="3" s="1"/>
  <c r="E1116" i="3"/>
  <c r="I1116" i="3" s="1"/>
  <c r="D1116" i="3"/>
  <c r="J1116" i="3" s="1"/>
  <c r="C1116" i="3"/>
  <c r="B1116" i="3"/>
  <c r="A1116" i="3"/>
  <c r="K1115" i="3"/>
  <c r="H1115" i="3"/>
  <c r="G1115" i="3"/>
  <c r="F1115" i="3"/>
  <c r="L1115" i="3" s="1"/>
  <c r="E1115" i="3"/>
  <c r="I1115" i="3" s="1"/>
  <c r="D1115" i="3"/>
  <c r="J1115" i="3" s="1"/>
  <c r="C1115" i="3"/>
  <c r="B1115" i="3"/>
  <c r="A1115" i="3"/>
  <c r="L1114" i="3"/>
  <c r="K1114" i="3"/>
  <c r="H1114" i="3"/>
  <c r="G1114" i="3"/>
  <c r="F1114" i="3"/>
  <c r="E1114" i="3"/>
  <c r="I1114" i="3" s="1"/>
  <c r="D1114" i="3"/>
  <c r="J1114" i="3" s="1"/>
  <c r="C1114" i="3"/>
  <c r="B1114" i="3"/>
  <c r="A1114" i="3"/>
  <c r="L1113" i="3"/>
  <c r="K1113" i="3"/>
  <c r="H1113" i="3"/>
  <c r="G1113" i="3"/>
  <c r="F1113" i="3"/>
  <c r="E1113" i="3"/>
  <c r="I1113" i="3" s="1"/>
  <c r="D1113" i="3"/>
  <c r="J1113" i="3" s="1"/>
  <c r="C1113" i="3"/>
  <c r="B1113" i="3"/>
  <c r="A1113" i="3"/>
  <c r="L1112" i="3"/>
  <c r="K1112" i="3"/>
  <c r="H1112" i="3"/>
  <c r="G1112" i="3"/>
  <c r="F1112" i="3"/>
  <c r="E1112" i="3"/>
  <c r="I1112" i="3" s="1"/>
  <c r="D1112" i="3"/>
  <c r="J1112" i="3" s="1"/>
  <c r="C1112" i="3"/>
  <c r="B1112" i="3"/>
  <c r="A1112" i="3"/>
  <c r="L1111" i="3"/>
  <c r="K1111" i="3"/>
  <c r="H1111" i="3"/>
  <c r="G1111" i="3"/>
  <c r="F1111" i="3"/>
  <c r="E1111" i="3"/>
  <c r="I1111" i="3" s="1"/>
  <c r="D1111" i="3"/>
  <c r="J1111" i="3" s="1"/>
  <c r="C1111" i="3"/>
  <c r="B1111" i="3"/>
  <c r="A1111" i="3"/>
  <c r="L1110" i="3"/>
  <c r="K1110" i="3"/>
  <c r="H1110" i="3"/>
  <c r="G1110" i="3"/>
  <c r="F1110" i="3"/>
  <c r="E1110" i="3"/>
  <c r="I1110" i="3" s="1"/>
  <c r="D1110" i="3"/>
  <c r="J1110" i="3" s="1"/>
  <c r="C1110" i="3"/>
  <c r="B1110" i="3"/>
  <c r="A1110" i="3"/>
  <c r="L1109" i="3"/>
  <c r="K1109" i="3"/>
  <c r="H1109" i="3"/>
  <c r="G1109" i="3"/>
  <c r="F1109" i="3"/>
  <c r="E1109" i="3"/>
  <c r="I1109" i="3" s="1"/>
  <c r="D1109" i="3"/>
  <c r="J1109" i="3" s="1"/>
  <c r="C1109" i="3"/>
  <c r="B1109" i="3"/>
  <c r="A1109" i="3"/>
  <c r="L1108" i="3"/>
  <c r="K1108" i="3"/>
  <c r="H1108" i="3"/>
  <c r="G1108" i="3"/>
  <c r="F1108" i="3"/>
  <c r="E1108" i="3"/>
  <c r="I1108" i="3" s="1"/>
  <c r="D1108" i="3"/>
  <c r="J1108" i="3" s="1"/>
  <c r="C1108" i="3"/>
  <c r="B1108" i="3"/>
  <c r="A1108" i="3"/>
  <c r="L1107" i="3"/>
  <c r="K1107" i="3"/>
  <c r="H1107" i="3"/>
  <c r="G1107" i="3"/>
  <c r="F1107" i="3"/>
  <c r="E1107" i="3"/>
  <c r="I1107" i="3" s="1"/>
  <c r="D1107" i="3"/>
  <c r="J1107" i="3" s="1"/>
  <c r="C1107" i="3"/>
  <c r="B1107" i="3"/>
  <c r="A1107" i="3"/>
  <c r="L1106" i="3"/>
  <c r="K1106" i="3"/>
  <c r="H1106" i="3"/>
  <c r="G1106" i="3"/>
  <c r="F1106" i="3"/>
  <c r="E1106" i="3"/>
  <c r="I1106" i="3" s="1"/>
  <c r="D1106" i="3"/>
  <c r="J1106" i="3" s="1"/>
  <c r="C1106" i="3"/>
  <c r="B1106" i="3"/>
  <c r="A1106" i="3"/>
  <c r="L1105" i="3"/>
  <c r="K1105" i="3"/>
  <c r="H1105" i="3"/>
  <c r="G1105" i="3"/>
  <c r="F1105" i="3"/>
  <c r="E1105" i="3"/>
  <c r="I1105" i="3" s="1"/>
  <c r="D1105" i="3"/>
  <c r="J1105" i="3" s="1"/>
  <c r="C1105" i="3"/>
  <c r="B1105" i="3"/>
  <c r="A1105" i="3"/>
  <c r="L1104" i="3"/>
  <c r="K1104" i="3"/>
  <c r="H1104" i="3"/>
  <c r="G1104" i="3"/>
  <c r="F1104" i="3"/>
  <c r="E1104" i="3"/>
  <c r="I1104" i="3" s="1"/>
  <c r="D1104" i="3"/>
  <c r="J1104" i="3" s="1"/>
  <c r="C1104" i="3"/>
  <c r="B1104" i="3"/>
  <c r="A1104" i="3"/>
  <c r="L1103" i="3"/>
  <c r="K1103" i="3"/>
  <c r="H1103" i="3"/>
  <c r="G1103" i="3"/>
  <c r="F1103" i="3"/>
  <c r="E1103" i="3"/>
  <c r="I1103" i="3" s="1"/>
  <c r="D1103" i="3"/>
  <c r="J1103" i="3" s="1"/>
  <c r="C1103" i="3"/>
  <c r="B1103" i="3"/>
  <c r="A1103" i="3"/>
  <c r="L1102" i="3"/>
  <c r="K1102" i="3"/>
  <c r="H1102" i="3"/>
  <c r="G1102" i="3"/>
  <c r="F1102" i="3"/>
  <c r="E1102" i="3"/>
  <c r="I1102" i="3" s="1"/>
  <c r="D1102" i="3"/>
  <c r="J1102" i="3" s="1"/>
  <c r="C1102" i="3"/>
  <c r="B1102" i="3"/>
  <c r="A1102" i="3"/>
  <c r="L1101" i="3"/>
  <c r="K1101" i="3"/>
  <c r="H1101" i="3"/>
  <c r="G1101" i="3"/>
  <c r="F1101" i="3"/>
  <c r="E1101" i="3"/>
  <c r="I1101" i="3" s="1"/>
  <c r="D1101" i="3"/>
  <c r="J1101" i="3" s="1"/>
  <c r="C1101" i="3"/>
  <c r="B1101" i="3"/>
  <c r="A1101" i="3"/>
  <c r="L1100" i="3"/>
  <c r="K1100" i="3"/>
  <c r="H1100" i="3"/>
  <c r="G1100" i="3"/>
  <c r="F1100" i="3"/>
  <c r="E1100" i="3"/>
  <c r="I1100" i="3" s="1"/>
  <c r="D1100" i="3"/>
  <c r="J1100" i="3" s="1"/>
  <c r="C1100" i="3"/>
  <c r="B1100" i="3"/>
  <c r="A1100" i="3"/>
  <c r="L1099" i="3"/>
  <c r="K1099" i="3"/>
  <c r="H1099" i="3"/>
  <c r="G1099" i="3"/>
  <c r="F1099" i="3"/>
  <c r="E1099" i="3"/>
  <c r="I1099" i="3" s="1"/>
  <c r="D1099" i="3"/>
  <c r="J1099" i="3" s="1"/>
  <c r="C1099" i="3"/>
  <c r="B1099" i="3"/>
  <c r="A1099" i="3"/>
  <c r="L1098" i="3"/>
  <c r="K1098" i="3"/>
  <c r="H1098" i="3"/>
  <c r="G1098" i="3"/>
  <c r="F1098" i="3"/>
  <c r="E1098" i="3"/>
  <c r="I1098" i="3" s="1"/>
  <c r="D1098" i="3"/>
  <c r="J1098" i="3" s="1"/>
  <c r="C1098" i="3"/>
  <c r="B1098" i="3"/>
  <c r="A1098" i="3"/>
  <c r="L1097" i="3"/>
  <c r="K1097" i="3"/>
  <c r="H1097" i="3"/>
  <c r="G1097" i="3"/>
  <c r="F1097" i="3"/>
  <c r="E1097" i="3"/>
  <c r="I1097" i="3" s="1"/>
  <c r="D1097" i="3"/>
  <c r="J1097" i="3" s="1"/>
  <c r="C1097" i="3"/>
  <c r="B1097" i="3"/>
  <c r="A1097" i="3"/>
  <c r="L1096" i="3"/>
  <c r="K1096" i="3"/>
  <c r="H1096" i="3"/>
  <c r="G1096" i="3"/>
  <c r="F1096" i="3"/>
  <c r="E1096" i="3"/>
  <c r="I1096" i="3" s="1"/>
  <c r="D1096" i="3"/>
  <c r="J1096" i="3" s="1"/>
  <c r="C1096" i="3"/>
  <c r="B1096" i="3"/>
  <c r="A1096" i="3"/>
  <c r="L1095" i="3"/>
  <c r="K1095" i="3"/>
  <c r="H1095" i="3"/>
  <c r="G1095" i="3"/>
  <c r="F1095" i="3"/>
  <c r="E1095" i="3"/>
  <c r="I1095" i="3" s="1"/>
  <c r="D1095" i="3"/>
  <c r="J1095" i="3" s="1"/>
  <c r="C1095" i="3"/>
  <c r="B1095" i="3"/>
  <c r="A1095" i="3"/>
  <c r="L1094" i="3"/>
  <c r="K1094" i="3"/>
  <c r="H1094" i="3"/>
  <c r="G1094" i="3"/>
  <c r="F1094" i="3"/>
  <c r="E1094" i="3"/>
  <c r="I1094" i="3" s="1"/>
  <c r="D1094" i="3"/>
  <c r="J1094" i="3" s="1"/>
  <c r="C1094" i="3"/>
  <c r="B1094" i="3"/>
  <c r="A1094" i="3"/>
  <c r="L1093" i="3"/>
  <c r="K1093" i="3"/>
  <c r="H1093" i="3"/>
  <c r="G1093" i="3"/>
  <c r="F1093" i="3"/>
  <c r="E1093" i="3"/>
  <c r="I1093" i="3" s="1"/>
  <c r="D1093" i="3"/>
  <c r="J1093" i="3" s="1"/>
  <c r="C1093" i="3"/>
  <c r="B1093" i="3"/>
  <c r="A1093" i="3"/>
  <c r="L1092" i="3"/>
  <c r="K1092" i="3"/>
  <c r="H1092" i="3"/>
  <c r="G1092" i="3"/>
  <c r="F1092" i="3"/>
  <c r="E1092" i="3"/>
  <c r="I1092" i="3" s="1"/>
  <c r="D1092" i="3"/>
  <c r="J1092" i="3" s="1"/>
  <c r="C1092" i="3"/>
  <c r="B1092" i="3"/>
  <c r="A1092" i="3"/>
  <c r="L1091" i="3"/>
  <c r="K1091" i="3"/>
  <c r="H1091" i="3"/>
  <c r="G1091" i="3"/>
  <c r="F1091" i="3"/>
  <c r="E1091" i="3"/>
  <c r="I1091" i="3" s="1"/>
  <c r="D1091" i="3"/>
  <c r="J1091" i="3" s="1"/>
  <c r="C1091" i="3"/>
  <c r="B1091" i="3"/>
  <c r="A1091" i="3"/>
  <c r="L1090" i="3"/>
  <c r="K1090" i="3"/>
  <c r="H1090" i="3"/>
  <c r="G1090" i="3"/>
  <c r="F1090" i="3"/>
  <c r="E1090" i="3"/>
  <c r="I1090" i="3" s="1"/>
  <c r="D1090" i="3"/>
  <c r="J1090" i="3" s="1"/>
  <c r="C1090" i="3"/>
  <c r="B1090" i="3"/>
  <c r="A1090" i="3"/>
  <c r="L1089" i="3"/>
  <c r="H1089" i="3"/>
  <c r="K1089" i="3" s="1"/>
  <c r="G1089" i="3"/>
  <c r="F1089" i="3"/>
  <c r="E1089" i="3"/>
  <c r="I1089" i="3" s="1"/>
  <c r="D1089" i="3"/>
  <c r="J1089" i="3" s="1"/>
  <c r="C1089" i="3"/>
  <c r="B1089" i="3"/>
  <c r="A1089" i="3"/>
  <c r="L1088" i="3"/>
  <c r="K1088" i="3"/>
  <c r="H1088" i="3"/>
  <c r="G1088" i="3"/>
  <c r="F1088" i="3"/>
  <c r="E1088" i="3"/>
  <c r="I1088" i="3" s="1"/>
  <c r="D1088" i="3"/>
  <c r="J1088" i="3" s="1"/>
  <c r="C1088" i="3"/>
  <c r="B1088" i="3"/>
  <c r="A1088" i="3"/>
  <c r="L1087" i="3"/>
  <c r="K1087" i="3"/>
  <c r="H1087" i="3"/>
  <c r="G1087" i="3"/>
  <c r="F1087" i="3"/>
  <c r="E1087" i="3"/>
  <c r="I1087" i="3" s="1"/>
  <c r="D1087" i="3"/>
  <c r="J1087" i="3" s="1"/>
  <c r="C1087" i="3"/>
  <c r="B1087" i="3"/>
  <c r="A1087" i="3"/>
  <c r="L1086" i="3"/>
  <c r="H1086" i="3"/>
  <c r="K1086" i="3" s="1"/>
  <c r="G1086" i="3"/>
  <c r="F1086" i="3"/>
  <c r="E1086" i="3"/>
  <c r="I1086" i="3" s="1"/>
  <c r="D1086" i="3"/>
  <c r="J1086" i="3" s="1"/>
  <c r="C1086" i="3"/>
  <c r="B1086" i="3"/>
  <c r="A1086" i="3"/>
  <c r="L1085" i="3"/>
  <c r="H1085" i="3"/>
  <c r="K1085" i="3" s="1"/>
  <c r="G1085" i="3"/>
  <c r="F1085" i="3"/>
  <c r="E1085" i="3"/>
  <c r="I1085" i="3" s="1"/>
  <c r="D1085" i="3"/>
  <c r="J1085" i="3" s="1"/>
  <c r="C1085" i="3"/>
  <c r="B1085" i="3"/>
  <c r="A1085" i="3"/>
  <c r="K1084" i="3"/>
  <c r="H1084" i="3"/>
  <c r="G1084" i="3"/>
  <c r="F1084" i="3"/>
  <c r="L1084" i="3" s="1"/>
  <c r="E1084" i="3"/>
  <c r="I1084" i="3" s="1"/>
  <c r="D1084" i="3"/>
  <c r="J1084" i="3" s="1"/>
  <c r="C1084" i="3"/>
  <c r="B1084" i="3"/>
  <c r="A1084" i="3"/>
  <c r="L1083" i="3"/>
  <c r="K1083" i="3"/>
  <c r="H1083" i="3"/>
  <c r="G1083" i="3"/>
  <c r="F1083" i="3"/>
  <c r="E1083" i="3"/>
  <c r="I1083" i="3" s="1"/>
  <c r="D1083" i="3"/>
  <c r="J1083" i="3" s="1"/>
  <c r="C1083" i="3"/>
  <c r="B1083" i="3"/>
  <c r="A1083" i="3"/>
  <c r="L1082" i="3"/>
  <c r="K1082" i="3"/>
  <c r="H1082" i="3"/>
  <c r="G1082" i="3"/>
  <c r="F1082" i="3"/>
  <c r="E1082" i="3"/>
  <c r="I1082" i="3" s="1"/>
  <c r="D1082" i="3"/>
  <c r="J1082" i="3" s="1"/>
  <c r="C1082" i="3"/>
  <c r="B1082" i="3"/>
  <c r="A1082" i="3"/>
  <c r="L1081" i="3"/>
  <c r="K1081" i="3"/>
  <c r="H1081" i="3"/>
  <c r="G1081" i="3"/>
  <c r="F1081" i="3"/>
  <c r="E1081" i="3"/>
  <c r="I1081" i="3" s="1"/>
  <c r="D1081" i="3"/>
  <c r="J1081" i="3" s="1"/>
  <c r="C1081" i="3"/>
  <c r="B1081" i="3"/>
  <c r="A1081" i="3"/>
  <c r="L1080" i="3"/>
  <c r="K1080" i="3"/>
  <c r="H1080" i="3"/>
  <c r="G1080" i="3"/>
  <c r="F1080" i="3"/>
  <c r="E1080" i="3"/>
  <c r="I1080" i="3" s="1"/>
  <c r="D1080" i="3"/>
  <c r="J1080" i="3" s="1"/>
  <c r="C1080" i="3"/>
  <c r="B1080" i="3"/>
  <c r="A1080" i="3"/>
  <c r="L1079" i="3"/>
  <c r="K1079" i="3"/>
  <c r="H1079" i="3"/>
  <c r="G1079" i="3"/>
  <c r="F1079" i="3"/>
  <c r="E1079" i="3"/>
  <c r="I1079" i="3" s="1"/>
  <c r="D1079" i="3"/>
  <c r="J1079" i="3" s="1"/>
  <c r="C1079" i="3"/>
  <c r="B1079" i="3"/>
  <c r="A1079" i="3"/>
  <c r="L1078" i="3"/>
  <c r="K1078" i="3"/>
  <c r="H1078" i="3"/>
  <c r="G1078" i="3"/>
  <c r="F1078" i="3"/>
  <c r="E1078" i="3"/>
  <c r="I1078" i="3" s="1"/>
  <c r="D1078" i="3"/>
  <c r="J1078" i="3" s="1"/>
  <c r="C1078" i="3"/>
  <c r="B1078" i="3"/>
  <c r="A1078" i="3"/>
  <c r="L1077" i="3"/>
  <c r="K1077" i="3"/>
  <c r="H1077" i="3"/>
  <c r="G1077" i="3"/>
  <c r="F1077" i="3"/>
  <c r="E1077" i="3"/>
  <c r="I1077" i="3" s="1"/>
  <c r="D1077" i="3"/>
  <c r="J1077" i="3" s="1"/>
  <c r="C1077" i="3"/>
  <c r="B1077" i="3"/>
  <c r="A1077" i="3"/>
  <c r="L1076" i="3"/>
  <c r="K1076" i="3"/>
  <c r="H1076" i="3"/>
  <c r="G1076" i="3"/>
  <c r="F1076" i="3"/>
  <c r="E1076" i="3"/>
  <c r="I1076" i="3" s="1"/>
  <c r="D1076" i="3"/>
  <c r="J1076" i="3" s="1"/>
  <c r="C1076" i="3"/>
  <c r="B1076" i="3"/>
  <c r="A1076" i="3"/>
  <c r="L1075" i="3"/>
  <c r="K1075" i="3"/>
  <c r="H1075" i="3"/>
  <c r="G1075" i="3"/>
  <c r="F1075" i="3"/>
  <c r="E1075" i="3"/>
  <c r="I1075" i="3" s="1"/>
  <c r="D1075" i="3"/>
  <c r="J1075" i="3" s="1"/>
  <c r="C1075" i="3"/>
  <c r="B1075" i="3"/>
  <c r="A1075" i="3"/>
  <c r="L1074" i="3"/>
  <c r="K1074" i="3"/>
  <c r="H1074" i="3"/>
  <c r="G1074" i="3"/>
  <c r="F1074" i="3"/>
  <c r="E1074" i="3"/>
  <c r="I1074" i="3" s="1"/>
  <c r="D1074" i="3"/>
  <c r="J1074" i="3" s="1"/>
  <c r="C1074" i="3"/>
  <c r="B1074" i="3"/>
  <c r="A1074" i="3"/>
  <c r="L1073" i="3"/>
  <c r="K1073" i="3"/>
  <c r="H1073" i="3"/>
  <c r="G1073" i="3"/>
  <c r="F1073" i="3"/>
  <c r="E1073" i="3"/>
  <c r="I1073" i="3" s="1"/>
  <c r="D1073" i="3"/>
  <c r="J1073" i="3" s="1"/>
  <c r="C1073" i="3"/>
  <c r="B1073" i="3"/>
  <c r="A1073" i="3"/>
  <c r="L1072" i="3"/>
  <c r="K1072" i="3"/>
  <c r="H1072" i="3"/>
  <c r="G1072" i="3"/>
  <c r="F1072" i="3"/>
  <c r="E1072" i="3"/>
  <c r="I1072" i="3" s="1"/>
  <c r="D1072" i="3"/>
  <c r="J1072" i="3" s="1"/>
  <c r="C1072" i="3"/>
  <c r="B1072" i="3"/>
  <c r="A1072" i="3"/>
  <c r="L1071" i="3"/>
  <c r="K1071" i="3"/>
  <c r="H1071" i="3"/>
  <c r="G1071" i="3"/>
  <c r="F1071" i="3"/>
  <c r="E1071" i="3"/>
  <c r="I1071" i="3" s="1"/>
  <c r="D1071" i="3"/>
  <c r="J1071" i="3" s="1"/>
  <c r="C1071" i="3"/>
  <c r="B1071" i="3"/>
  <c r="A1071" i="3"/>
  <c r="L1070" i="3"/>
  <c r="K1070" i="3"/>
  <c r="H1070" i="3"/>
  <c r="G1070" i="3"/>
  <c r="F1070" i="3"/>
  <c r="E1070" i="3"/>
  <c r="I1070" i="3" s="1"/>
  <c r="D1070" i="3"/>
  <c r="J1070" i="3" s="1"/>
  <c r="C1070" i="3"/>
  <c r="B1070" i="3"/>
  <c r="A1070" i="3"/>
  <c r="L1069" i="3"/>
  <c r="K1069" i="3"/>
  <c r="H1069" i="3"/>
  <c r="G1069" i="3"/>
  <c r="F1069" i="3"/>
  <c r="E1069" i="3"/>
  <c r="I1069" i="3" s="1"/>
  <c r="D1069" i="3"/>
  <c r="J1069" i="3" s="1"/>
  <c r="C1069" i="3"/>
  <c r="B1069" i="3"/>
  <c r="A1069" i="3"/>
  <c r="L1068" i="3"/>
  <c r="K1068" i="3"/>
  <c r="H1068" i="3"/>
  <c r="G1068" i="3"/>
  <c r="F1068" i="3"/>
  <c r="E1068" i="3"/>
  <c r="I1068" i="3" s="1"/>
  <c r="D1068" i="3"/>
  <c r="J1068" i="3" s="1"/>
  <c r="C1068" i="3"/>
  <c r="B1068" i="3"/>
  <c r="A1068" i="3"/>
  <c r="L1067" i="3"/>
  <c r="K1067" i="3"/>
  <c r="H1067" i="3"/>
  <c r="G1067" i="3"/>
  <c r="F1067" i="3"/>
  <c r="E1067" i="3"/>
  <c r="I1067" i="3" s="1"/>
  <c r="D1067" i="3"/>
  <c r="J1067" i="3" s="1"/>
  <c r="C1067" i="3"/>
  <c r="B1067" i="3"/>
  <c r="A1067" i="3"/>
  <c r="L1066" i="3"/>
  <c r="K1066" i="3"/>
  <c r="H1066" i="3"/>
  <c r="G1066" i="3"/>
  <c r="F1066" i="3"/>
  <c r="E1066" i="3"/>
  <c r="I1066" i="3" s="1"/>
  <c r="D1066" i="3"/>
  <c r="J1066" i="3" s="1"/>
  <c r="C1066" i="3"/>
  <c r="B1066" i="3"/>
  <c r="A1066" i="3"/>
  <c r="L1065" i="3"/>
  <c r="K1065" i="3"/>
  <c r="H1065" i="3"/>
  <c r="G1065" i="3"/>
  <c r="F1065" i="3"/>
  <c r="E1065" i="3"/>
  <c r="I1065" i="3" s="1"/>
  <c r="D1065" i="3"/>
  <c r="J1065" i="3" s="1"/>
  <c r="C1065" i="3"/>
  <c r="B1065" i="3"/>
  <c r="A1065" i="3"/>
  <c r="L1064" i="3"/>
  <c r="K1064" i="3"/>
  <c r="H1064" i="3"/>
  <c r="G1064" i="3"/>
  <c r="F1064" i="3"/>
  <c r="E1064" i="3"/>
  <c r="I1064" i="3" s="1"/>
  <c r="D1064" i="3"/>
  <c r="J1064" i="3" s="1"/>
  <c r="C1064" i="3"/>
  <c r="B1064" i="3"/>
  <c r="A1064" i="3"/>
  <c r="L1063" i="3"/>
  <c r="K1063" i="3"/>
  <c r="H1063" i="3"/>
  <c r="G1063" i="3"/>
  <c r="F1063" i="3"/>
  <c r="E1063" i="3"/>
  <c r="I1063" i="3" s="1"/>
  <c r="D1063" i="3"/>
  <c r="J1063" i="3" s="1"/>
  <c r="C1063" i="3"/>
  <c r="B1063" i="3"/>
  <c r="A1063" i="3"/>
  <c r="L1062" i="3"/>
  <c r="K1062" i="3"/>
  <c r="H1062" i="3"/>
  <c r="G1062" i="3"/>
  <c r="F1062" i="3"/>
  <c r="E1062" i="3"/>
  <c r="I1062" i="3" s="1"/>
  <c r="D1062" i="3"/>
  <c r="J1062" i="3" s="1"/>
  <c r="C1062" i="3"/>
  <c r="B1062" i="3"/>
  <c r="A1062" i="3"/>
  <c r="L1061" i="3"/>
  <c r="K1061" i="3"/>
  <c r="H1061" i="3"/>
  <c r="G1061" i="3"/>
  <c r="F1061" i="3"/>
  <c r="E1061" i="3"/>
  <c r="I1061" i="3" s="1"/>
  <c r="D1061" i="3"/>
  <c r="J1061" i="3" s="1"/>
  <c r="C1061" i="3"/>
  <c r="B1061" i="3"/>
  <c r="A1061" i="3"/>
  <c r="L1060" i="3"/>
  <c r="K1060" i="3"/>
  <c r="H1060" i="3"/>
  <c r="G1060" i="3"/>
  <c r="F1060" i="3"/>
  <c r="E1060" i="3"/>
  <c r="I1060" i="3" s="1"/>
  <c r="D1060" i="3"/>
  <c r="J1060" i="3" s="1"/>
  <c r="C1060" i="3"/>
  <c r="B1060" i="3"/>
  <c r="A1060" i="3"/>
  <c r="L1059" i="3"/>
  <c r="K1059" i="3"/>
  <c r="H1059" i="3"/>
  <c r="G1059" i="3"/>
  <c r="F1059" i="3"/>
  <c r="E1059" i="3"/>
  <c r="I1059" i="3" s="1"/>
  <c r="D1059" i="3"/>
  <c r="J1059" i="3" s="1"/>
  <c r="C1059" i="3"/>
  <c r="B1059" i="3"/>
  <c r="A1059" i="3"/>
  <c r="L1058" i="3"/>
  <c r="K1058" i="3"/>
  <c r="H1058" i="3"/>
  <c r="G1058" i="3"/>
  <c r="F1058" i="3"/>
  <c r="E1058" i="3"/>
  <c r="I1058" i="3" s="1"/>
  <c r="D1058" i="3"/>
  <c r="J1058" i="3" s="1"/>
  <c r="C1058" i="3"/>
  <c r="B1058" i="3"/>
  <c r="A1058" i="3"/>
  <c r="L1057" i="3"/>
  <c r="K1057" i="3"/>
  <c r="H1057" i="3"/>
  <c r="G1057" i="3"/>
  <c r="F1057" i="3"/>
  <c r="E1057" i="3"/>
  <c r="I1057" i="3" s="1"/>
  <c r="D1057" i="3"/>
  <c r="J1057" i="3" s="1"/>
  <c r="C1057" i="3"/>
  <c r="B1057" i="3"/>
  <c r="A1057" i="3"/>
  <c r="L1056" i="3"/>
  <c r="K1056" i="3"/>
  <c r="H1056" i="3"/>
  <c r="G1056" i="3"/>
  <c r="F1056" i="3"/>
  <c r="E1056" i="3"/>
  <c r="I1056" i="3" s="1"/>
  <c r="D1056" i="3"/>
  <c r="J1056" i="3" s="1"/>
  <c r="C1056" i="3"/>
  <c r="B1056" i="3"/>
  <c r="A1056" i="3"/>
  <c r="L1055" i="3"/>
  <c r="K1055" i="3"/>
  <c r="H1055" i="3"/>
  <c r="G1055" i="3"/>
  <c r="F1055" i="3"/>
  <c r="E1055" i="3"/>
  <c r="I1055" i="3" s="1"/>
  <c r="D1055" i="3"/>
  <c r="J1055" i="3" s="1"/>
  <c r="C1055" i="3"/>
  <c r="B1055" i="3"/>
  <c r="A1055" i="3"/>
  <c r="L1054" i="3"/>
  <c r="K1054" i="3"/>
  <c r="H1054" i="3"/>
  <c r="G1054" i="3"/>
  <c r="F1054" i="3"/>
  <c r="E1054" i="3"/>
  <c r="I1054" i="3" s="1"/>
  <c r="D1054" i="3"/>
  <c r="J1054" i="3" s="1"/>
  <c r="C1054" i="3"/>
  <c r="B1054" i="3"/>
  <c r="A1054" i="3"/>
  <c r="L1053" i="3"/>
  <c r="K1053" i="3"/>
  <c r="H1053" i="3"/>
  <c r="G1053" i="3"/>
  <c r="F1053" i="3"/>
  <c r="E1053" i="3"/>
  <c r="I1053" i="3" s="1"/>
  <c r="D1053" i="3"/>
  <c r="J1053" i="3" s="1"/>
  <c r="C1053" i="3"/>
  <c r="B1053" i="3"/>
  <c r="A1053" i="3"/>
  <c r="L1052" i="3"/>
  <c r="K1052" i="3"/>
  <c r="H1052" i="3"/>
  <c r="G1052" i="3"/>
  <c r="F1052" i="3"/>
  <c r="E1052" i="3"/>
  <c r="I1052" i="3" s="1"/>
  <c r="D1052" i="3"/>
  <c r="J1052" i="3" s="1"/>
  <c r="C1052" i="3"/>
  <c r="B1052" i="3"/>
  <c r="A1052" i="3"/>
  <c r="L1051" i="3"/>
  <c r="K1051" i="3"/>
  <c r="H1051" i="3"/>
  <c r="G1051" i="3"/>
  <c r="F1051" i="3"/>
  <c r="E1051" i="3"/>
  <c r="I1051" i="3" s="1"/>
  <c r="D1051" i="3"/>
  <c r="J1051" i="3" s="1"/>
  <c r="C1051" i="3"/>
  <c r="B1051" i="3"/>
  <c r="A1051" i="3"/>
  <c r="L1050" i="3"/>
  <c r="K1050" i="3"/>
  <c r="H1050" i="3"/>
  <c r="G1050" i="3"/>
  <c r="F1050" i="3"/>
  <c r="E1050" i="3"/>
  <c r="I1050" i="3" s="1"/>
  <c r="D1050" i="3"/>
  <c r="J1050" i="3" s="1"/>
  <c r="C1050" i="3"/>
  <c r="B1050" i="3"/>
  <c r="A1050" i="3"/>
  <c r="L1049" i="3"/>
  <c r="K1049" i="3"/>
  <c r="H1049" i="3"/>
  <c r="G1049" i="3"/>
  <c r="F1049" i="3"/>
  <c r="E1049" i="3"/>
  <c r="I1049" i="3" s="1"/>
  <c r="D1049" i="3"/>
  <c r="J1049" i="3" s="1"/>
  <c r="C1049" i="3"/>
  <c r="B1049" i="3"/>
  <c r="A1049" i="3"/>
  <c r="L1048" i="3"/>
  <c r="K1048" i="3"/>
  <c r="H1048" i="3"/>
  <c r="G1048" i="3"/>
  <c r="F1048" i="3"/>
  <c r="E1048" i="3"/>
  <c r="I1048" i="3" s="1"/>
  <c r="D1048" i="3"/>
  <c r="J1048" i="3" s="1"/>
  <c r="C1048" i="3"/>
  <c r="B1048" i="3"/>
  <c r="A1048" i="3"/>
  <c r="L1047" i="3"/>
  <c r="K1047" i="3"/>
  <c r="H1047" i="3"/>
  <c r="G1047" i="3"/>
  <c r="F1047" i="3"/>
  <c r="E1047" i="3"/>
  <c r="I1047" i="3" s="1"/>
  <c r="D1047" i="3"/>
  <c r="J1047" i="3" s="1"/>
  <c r="C1047" i="3"/>
  <c r="B1047" i="3"/>
  <c r="A1047" i="3"/>
  <c r="L1046" i="3"/>
  <c r="K1046" i="3"/>
  <c r="H1046" i="3"/>
  <c r="G1046" i="3"/>
  <c r="F1046" i="3"/>
  <c r="E1046" i="3"/>
  <c r="I1046" i="3" s="1"/>
  <c r="D1046" i="3"/>
  <c r="J1046" i="3" s="1"/>
  <c r="C1046" i="3"/>
  <c r="B1046" i="3"/>
  <c r="A1046" i="3"/>
  <c r="L1045" i="3"/>
  <c r="K1045" i="3"/>
  <c r="H1045" i="3"/>
  <c r="G1045" i="3"/>
  <c r="F1045" i="3"/>
  <c r="E1045" i="3"/>
  <c r="I1045" i="3" s="1"/>
  <c r="D1045" i="3"/>
  <c r="J1045" i="3" s="1"/>
  <c r="C1045" i="3"/>
  <c r="B1045" i="3"/>
  <c r="A1045" i="3"/>
  <c r="L1044" i="3"/>
  <c r="K1044" i="3"/>
  <c r="H1044" i="3"/>
  <c r="G1044" i="3"/>
  <c r="F1044" i="3"/>
  <c r="E1044" i="3"/>
  <c r="I1044" i="3" s="1"/>
  <c r="D1044" i="3"/>
  <c r="J1044" i="3" s="1"/>
  <c r="C1044" i="3"/>
  <c r="B1044" i="3"/>
  <c r="A1044" i="3"/>
  <c r="L1043" i="3"/>
  <c r="K1043" i="3"/>
  <c r="H1043" i="3"/>
  <c r="G1043" i="3"/>
  <c r="F1043" i="3"/>
  <c r="E1043" i="3"/>
  <c r="I1043" i="3" s="1"/>
  <c r="D1043" i="3"/>
  <c r="J1043" i="3" s="1"/>
  <c r="C1043" i="3"/>
  <c r="B1043" i="3"/>
  <c r="A1043" i="3"/>
  <c r="L1042" i="3"/>
  <c r="K1042" i="3"/>
  <c r="H1042" i="3"/>
  <c r="G1042" i="3"/>
  <c r="F1042" i="3"/>
  <c r="E1042" i="3"/>
  <c r="I1042" i="3" s="1"/>
  <c r="D1042" i="3"/>
  <c r="J1042" i="3" s="1"/>
  <c r="C1042" i="3"/>
  <c r="B1042" i="3"/>
  <c r="A1042" i="3"/>
  <c r="L1041" i="3"/>
  <c r="K1041" i="3"/>
  <c r="H1041" i="3"/>
  <c r="G1041" i="3"/>
  <c r="F1041" i="3"/>
  <c r="E1041" i="3"/>
  <c r="I1041" i="3" s="1"/>
  <c r="D1041" i="3"/>
  <c r="J1041" i="3" s="1"/>
  <c r="C1041" i="3"/>
  <c r="B1041" i="3"/>
  <c r="A1041" i="3"/>
  <c r="L1040" i="3"/>
  <c r="K1040" i="3"/>
  <c r="H1040" i="3"/>
  <c r="G1040" i="3"/>
  <c r="F1040" i="3"/>
  <c r="E1040" i="3"/>
  <c r="I1040" i="3" s="1"/>
  <c r="D1040" i="3"/>
  <c r="J1040" i="3" s="1"/>
  <c r="C1040" i="3"/>
  <c r="B1040" i="3"/>
  <c r="A1040" i="3"/>
  <c r="L1039" i="3"/>
  <c r="K1039" i="3"/>
  <c r="H1039" i="3"/>
  <c r="G1039" i="3"/>
  <c r="F1039" i="3"/>
  <c r="E1039" i="3"/>
  <c r="I1039" i="3" s="1"/>
  <c r="D1039" i="3"/>
  <c r="J1039" i="3" s="1"/>
  <c r="C1039" i="3"/>
  <c r="B1039" i="3"/>
  <c r="A1039" i="3"/>
  <c r="L1038" i="3"/>
  <c r="K1038" i="3"/>
  <c r="H1038" i="3"/>
  <c r="G1038" i="3"/>
  <c r="F1038" i="3"/>
  <c r="E1038" i="3"/>
  <c r="I1038" i="3" s="1"/>
  <c r="D1038" i="3"/>
  <c r="J1038" i="3" s="1"/>
  <c r="C1038" i="3"/>
  <c r="B1038" i="3"/>
  <c r="A1038" i="3"/>
  <c r="L1037" i="3"/>
  <c r="K1037" i="3"/>
  <c r="H1037" i="3"/>
  <c r="G1037" i="3"/>
  <c r="F1037" i="3"/>
  <c r="E1037" i="3"/>
  <c r="I1037" i="3" s="1"/>
  <c r="D1037" i="3"/>
  <c r="J1037" i="3" s="1"/>
  <c r="C1037" i="3"/>
  <c r="B1037" i="3"/>
  <c r="A1037" i="3"/>
  <c r="L1036" i="3"/>
  <c r="K1036" i="3"/>
  <c r="H1036" i="3"/>
  <c r="G1036" i="3"/>
  <c r="F1036" i="3"/>
  <c r="E1036" i="3"/>
  <c r="I1036" i="3" s="1"/>
  <c r="D1036" i="3"/>
  <c r="J1036" i="3" s="1"/>
  <c r="C1036" i="3"/>
  <c r="B1036" i="3"/>
  <c r="A1036" i="3"/>
  <c r="L1035" i="3"/>
  <c r="K1035" i="3"/>
  <c r="H1035" i="3"/>
  <c r="G1035" i="3"/>
  <c r="F1035" i="3"/>
  <c r="E1035" i="3"/>
  <c r="I1035" i="3" s="1"/>
  <c r="D1035" i="3"/>
  <c r="J1035" i="3" s="1"/>
  <c r="C1035" i="3"/>
  <c r="B1035" i="3"/>
  <c r="A1035" i="3"/>
  <c r="L1034" i="3"/>
  <c r="K1034" i="3"/>
  <c r="H1034" i="3"/>
  <c r="G1034" i="3"/>
  <c r="F1034" i="3"/>
  <c r="E1034" i="3"/>
  <c r="I1034" i="3" s="1"/>
  <c r="D1034" i="3"/>
  <c r="J1034" i="3" s="1"/>
  <c r="C1034" i="3"/>
  <c r="B1034" i="3"/>
  <c r="A1034" i="3"/>
  <c r="L1033" i="3"/>
  <c r="K1033" i="3"/>
  <c r="H1033" i="3"/>
  <c r="G1033" i="3"/>
  <c r="F1033" i="3"/>
  <c r="E1033" i="3"/>
  <c r="I1033" i="3" s="1"/>
  <c r="D1033" i="3"/>
  <c r="J1033" i="3" s="1"/>
  <c r="C1033" i="3"/>
  <c r="B1033" i="3"/>
  <c r="A1033" i="3"/>
  <c r="L1032" i="3"/>
  <c r="K1032" i="3"/>
  <c r="H1032" i="3"/>
  <c r="G1032" i="3"/>
  <c r="F1032" i="3"/>
  <c r="E1032" i="3"/>
  <c r="I1032" i="3" s="1"/>
  <c r="D1032" i="3"/>
  <c r="J1032" i="3" s="1"/>
  <c r="C1032" i="3"/>
  <c r="B1032" i="3"/>
  <c r="A1032" i="3"/>
  <c r="L1031" i="3"/>
  <c r="K1031" i="3"/>
  <c r="H1031" i="3"/>
  <c r="G1031" i="3"/>
  <c r="F1031" i="3"/>
  <c r="E1031" i="3"/>
  <c r="I1031" i="3" s="1"/>
  <c r="D1031" i="3"/>
  <c r="J1031" i="3" s="1"/>
  <c r="C1031" i="3"/>
  <c r="B1031" i="3"/>
  <c r="A1031" i="3"/>
  <c r="L1030" i="3"/>
  <c r="K1030" i="3"/>
  <c r="H1030" i="3"/>
  <c r="G1030" i="3"/>
  <c r="F1030" i="3"/>
  <c r="E1030" i="3"/>
  <c r="I1030" i="3" s="1"/>
  <c r="D1030" i="3"/>
  <c r="J1030" i="3" s="1"/>
  <c r="C1030" i="3"/>
  <c r="B1030" i="3"/>
  <c r="A1030" i="3"/>
  <c r="L1029" i="3"/>
  <c r="K1029" i="3"/>
  <c r="H1029" i="3"/>
  <c r="G1029" i="3"/>
  <c r="F1029" i="3"/>
  <c r="E1029" i="3"/>
  <c r="I1029" i="3" s="1"/>
  <c r="D1029" i="3"/>
  <c r="J1029" i="3" s="1"/>
  <c r="C1029" i="3"/>
  <c r="B1029" i="3"/>
  <c r="A1029" i="3"/>
  <c r="L1028" i="3"/>
  <c r="K1028" i="3"/>
  <c r="H1028" i="3"/>
  <c r="G1028" i="3"/>
  <c r="F1028" i="3"/>
  <c r="E1028" i="3"/>
  <c r="I1028" i="3" s="1"/>
  <c r="D1028" i="3"/>
  <c r="J1028" i="3" s="1"/>
  <c r="C1028" i="3"/>
  <c r="B1028" i="3"/>
  <c r="A1028" i="3"/>
  <c r="L1027" i="3"/>
  <c r="K1027" i="3"/>
  <c r="H1027" i="3"/>
  <c r="G1027" i="3"/>
  <c r="F1027" i="3"/>
  <c r="E1027" i="3"/>
  <c r="I1027" i="3" s="1"/>
  <c r="D1027" i="3"/>
  <c r="J1027" i="3" s="1"/>
  <c r="C1027" i="3"/>
  <c r="B1027" i="3"/>
  <c r="A1027" i="3"/>
  <c r="L1026" i="3"/>
  <c r="K1026" i="3"/>
  <c r="H1026" i="3"/>
  <c r="G1026" i="3"/>
  <c r="F1026" i="3"/>
  <c r="E1026" i="3"/>
  <c r="I1026" i="3" s="1"/>
  <c r="D1026" i="3"/>
  <c r="J1026" i="3" s="1"/>
  <c r="C1026" i="3"/>
  <c r="B1026" i="3"/>
  <c r="A1026" i="3"/>
  <c r="L1025" i="3"/>
  <c r="K1025" i="3"/>
  <c r="H1025" i="3"/>
  <c r="G1025" i="3"/>
  <c r="F1025" i="3"/>
  <c r="E1025" i="3"/>
  <c r="I1025" i="3" s="1"/>
  <c r="D1025" i="3"/>
  <c r="J1025" i="3" s="1"/>
  <c r="C1025" i="3"/>
  <c r="B1025" i="3"/>
  <c r="A1025" i="3"/>
  <c r="L1024" i="3"/>
  <c r="K1024" i="3"/>
  <c r="H1024" i="3"/>
  <c r="G1024" i="3"/>
  <c r="F1024" i="3"/>
  <c r="E1024" i="3"/>
  <c r="I1024" i="3" s="1"/>
  <c r="D1024" i="3"/>
  <c r="J1024" i="3" s="1"/>
  <c r="C1024" i="3"/>
  <c r="B1024" i="3"/>
  <c r="A1024" i="3"/>
  <c r="L1023" i="3"/>
  <c r="K1023" i="3"/>
  <c r="H1023" i="3"/>
  <c r="G1023" i="3"/>
  <c r="F1023" i="3"/>
  <c r="E1023" i="3"/>
  <c r="I1023" i="3" s="1"/>
  <c r="D1023" i="3"/>
  <c r="J1023" i="3" s="1"/>
  <c r="C1023" i="3"/>
  <c r="B1023" i="3"/>
  <c r="A1023" i="3"/>
  <c r="L1022" i="3"/>
  <c r="K1022" i="3"/>
  <c r="H1022" i="3"/>
  <c r="G1022" i="3"/>
  <c r="F1022" i="3"/>
  <c r="E1022" i="3"/>
  <c r="I1022" i="3" s="1"/>
  <c r="D1022" i="3"/>
  <c r="J1022" i="3" s="1"/>
  <c r="C1022" i="3"/>
  <c r="B1022" i="3"/>
  <c r="A1022" i="3"/>
  <c r="L1021" i="3"/>
  <c r="K1021" i="3"/>
  <c r="H1021" i="3"/>
  <c r="G1021" i="3"/>
  <c r="F1021" i="3"/>
  <c r="E1021" i="3"/>
  <c r="I1021" i="3" s="1"/>
  <c r="D1021" i="3"/>
  <c r="J1021" i="3" s="1"/>
  <c r="C1021" i="3"/>
  <c r="B1021" i="3"/>
  <c r="A1021" i="3"/>
  <c r="L1020" i="3"/>
  <c r="K1020" i="3"/>
  <c r="H1020" i="3"/>
  <c r="G1020" i="3"/>
  <c r="F1020" i="3"/>
  <c r="E1020" i="3"/>
  <c r="I1020" i="3" s="1"/>
  <c r="D1020" i="3"/>
  <c r="J1020" i="3" s="1"/>
  <c r="C1020" i="3"/>
  <c r="B1020" i="3"/>
  <c r="A1020" i="3"/>
  <c r="L1019" i="3"/>
  <c r="K1019" i="3"/>
  <c r="H1019" i="3"/>
  <c r="G1019" i="3"/>
  <c r="F1019" i="3"/>
  <c r="E1019" i="3"/>
  <c r="I1019" i="3" s="1"/>
  <c r="D1019" i="3"/>
  <c r="J1019" i="3" s="1"/>
  <c r="C1019" i="3"/>
  <c r="B1019" i="3"/>
  <c r="A1019" i="3"/>
  <c r="L1018" i="3"/>
  <c r="K1018" i="3"/>
  <c r="H1018" i="3"/>
  <c r="G1018" i="3"/>
  <c r="F1018" i="3"/>
  <c r="E1018" i="3"/>
  <c r="I1018" i="3" s="1"/>
  <c r="D1018" i="3"/>
  <c r="J1018" i="3" s="1"/>
  <c r="C1018" i="3"/>
  <c r="B1018" i="3"/>
  <c r="A1018" i="3"/>
  <c r="L1017" i="3"/>
  <c r="K1017" i="3"/>
  <c r="H1017" i="3"/>
  <c r="G1017" i="3"/>
  <c r="F1017" i="3"/>
  <c r="E1017" i="3"/>
  <c r="I1017" i="3" s="1"/>
  <c r="D1017" i="3"/>
  <c r="J1017" i="3" s="1"/>
  <c r="C1017" i="3"/>
  <c r="B1017" i="3"/>
  <c r="A1017" i="3"/>
  <c r="L1016" i="3"/>
  <c r="K1016" i="3"/>
  <c r="H1016" i="3"/>
  <c r="G1016" i="3"/>
  <c r="F1016" i="3"/>
  <c r="E1016" i="3"/>
  <c r="I1016" i="3" s="1"/>
  <c r="D1016" i="3"/>
  <c r="J1016" i="3" s="1"/>
  <c r="C1016" i="3"/>
  <c r="B1016" i="3"/>
  <c r="A1016" i="3"/>
  <c r="L1015" i="3"/>
  <c r="K1015" i="3"/>
  <c r="H1015" i="3"/>
  <c r="G1015" i="3"/>
  <c r="F1015" i="3"/>
  <c r="E1015" i="3"/>
  <c r="I1015" i="3" s="1"/>
  <c r="D1015" i="3"/>
  <c r="J1015" i="3" s="1"/>
  <c r="C1015" i="3"/>
  <c r="B1015" i="3"/>
  <c r="A1015" i="3"/>
  <c r="L1014" i="3"/>
  <c r="K1014" i="3"/>
  <c r="H1014" i="3"/>
  <c r="G1014" i="3"/>
  <c r="F1014" i="3"/>
  <c r="E1014" i="3"/>
  <c r="I1014" i="3" s="1"/>
  <c r="D1014" i="3"/>
  <c r="J1014" i="3" s="1"/>
  <c r="C1014" i="3"/>
  <c r="B1014" i="3"/>
  <c r="A1014" i="3"/>
  <c r="L1013" i="3"/>
  <c r="K1013" i="3"/>
  <c r="H1013" i="3"/>
  <c r="G1013" i="3"/>
  <c r="F1013" i="3"/>
  <c r="E1013" i="3"/>
  <c r="I1013" i="3" s="1"/>
  <c r="D1013" i="3"/>
  <c r="J1013" i="3" s="1"/>
  <c r="C1013" i="3"/>
  <c r="B1013" i="3"/>
  <c r="A1013" i="3"/>
  <c r="L1012" i="3"/>
  <c r="H1012" i="3"/>
  <c r="K1012" i="3" s="1"/>
  <c r="G1012" i="3"/>
  <c r="F1012" i="3"/>
  <c r="E1012" i="3"/>
  <c r="I1012" i="3" s="1"/>
  <c r="D1012" i="3"/>
  <c r="J1012" i="3" s="1"/>
  <c r="C1012" i="3"/>
  <c r="B1012" i="3"/>
  <c r="A1012" i="3"/>
  <c r="L1011" i="3"/>
  <c r="H1011" i="3"/>
  <c r="K1011" i="3" s="1"/>
  <c r="G1011" i="3"/>
  <c r="F1011" i="3"/>
  <c r="E1011" i="3"/>
  <c r="I1011" i="3" s="1"/>
  <c r="D1011" i="3"/>
  <c r="J1011" i="3" s="1"/>
  <c r="C1011" i="3"/>
  <c r="B1011" i="3"/>
  <c r="A1011" i="3"/>
  <c r="L1010" i="3"/>
  <c r="H1010" i="3"/>
  <c r="K1010" i="3" s="1"/>
  <c r="G1010" i="3"/>
  <c r="F1010" i="3"/>
  <c r="E1010" i="3"/>
  <c r="I1010" i="3" s="1"/>
  <c r="D1010" i="3"/>
  <c r="J1010" i="3" s="1"/>
  <c r="C1010" i="3"/>
  <c r="B1010" i="3"/>
  <c r="A1010" i="3"/>
  <c r="L1009" i="3"/>
  <c r="H1009" i="3"/>
  <c r="K1009" i="3" s="1"/>
  <c r="G1009" i="3"/>
  <c r="F1009" i="3"/>
  <c r="E1009" i="3"/>
  <c r="I1009" i="3" s="1"/>
  <c r="D1009" i="3"/>
  <c r="J1009" i="3" s="1"/>
  <c r="C1009" i="3"/>
  <c r="B1009" i="3"/>
  <c r="A1009" i="3"/>
  <c r="L1008" i="3"/>
  <c r="H1008" i="3"/>
  <c r="K1008" i="3" s="1"/>
  <c r="G1008" i="3"/>
  <c r="F1008" i="3"/>
  <c r="E1008" i="3"/>
  <c r="I1008" i="3" s="1"/>
  <c r="D1008" i="3"/>
  <c r="J1008" i="3" s="1"/>
  <c r="C1008" i="3"/>
  <c r="B1008" i="3"/>
  <c r="A1008" i="3"/>
  <c r="L1007" i="3"/>
  <c r="H1007" i="3"/>
  <c r="K1007" i="3" s="1"/>
  <c r="G1007" i="3"/>
  <c r="F1007" i="3"/>
  <c r="E1007" i="3"/>
  <c r="I1007" i="3" s="1"/>
  <c r="D1007" i="3"/>
  <c r="J1007" i="3" s="1"/>
  <c r="C1007" i="3"/>
  <c r="B1007" i="3"/>
  <c r="A1007" i="3"/>
  <c r="L1006" i="3"/>
  <c r="H1006" i="3"/>
  <c r="K1006" i="3" s="1"/>
  <c r="G1006" i="3"/>
  <c r="F1006" i="3"/>
  <c r="E1006" i="3"/>
  <c r="I1006" i="3" s="1"/>
  <c r="D1006" i="3"/>
  <c r="J1006" i="3" s="1"/>
  <c r="C1006" i="3"/>
  <c r="B1006" i="3"/>
  <c r="A1006" i="3"/>
  <c r="L1005" i="3"/>
  <c r="H1005" i="3"/>
  <c r="K1005" i="3" s="1"/>
  <c r="G1005" i="3"/>
  <c r="F1005" i="3"/>
  <c r="E1005" i="3"/>
  <c r="I1005" i="3" s="1"/>
  <c r="D1005" i="3"/>
  <c r="J1005" i="3" s="1"/>
  <c r="C1005" i="3"/>
  <c r="B1005" i="3"/>
  <c r="A1005" i="3"/>
  <c r="L1004" i="3"/>
  <c r="H1004" i="3"/>
  <c r="K1004" i="3" s="1"/>
  <c r="G1004" i="3"/>
  <c r="F1004" i="3"/>
  <c r="E1004" i="3"/>
  <c r="I1004" i="3" s="1"/>
  <c r="D1004" i="3"/>
  <c r="J1004" i="3" s="1"/>
  <c r="C1004" i="3"/>
  <c r="B1004" i="3"/>
  <c r="A1004" i="3"/>
  <c r="L1003" i="3"/>
  <c r="H1003" i="3"/>
  <c r="K1003" i="3" s="1"/>
  <c r="G1003" i="3"/>
  <c r="F1003" i="3"/>
  <c r="E1003" i="3"/>
  <c r="I1003" i="3" s="1"/>
  <c r="D1003" i="3"/>
  <c r="J1003" i="3" s="1"/>
  <c r="C1003" i="3"/>
  <c r="B1003" i="3"/>
  <c r="A1003" i="3"/>
  <c r="L1002" i="3"/>
  <c r="H1002" i="3"/>
  <c r="K1002" i="3" s="1"/>
  <c r="G1002" i="3"/>
  <c r="F1002" i="3"/>
  <c r="E1002" i="3"/>
  <c r="I1002" i="3" s="1"/>
  <c r="D1002" i="3"/>
  <c r="J1002" i="3" s="1"/>
  <c r="C1002" i="3"/>
  <c r="B1002" i="3"/>
  <c r="A1002" i="3"/>
  <c r="L1001" i="3"/>
  <c r="H1001" i="3"/>
  <c r="K1001" i="3" s="1"/>
  <c r="G1001" i="3"/>
  <c r="F1001" i="3"/>
  <c r="E1001" i="3"/>
  <c r="I1001" i="3" s="1"/>
  <c r="D1001" i="3"/>
  <c r="J1001" i="3" s="1"/>
  <c r="C1001" i="3"/>
  <c r="B1001" i="3"/>
  <c r="A1001" i="3"/>
  <c r="L1000" i="3"/>
  <c r="H1000" i="3"/>
  <c r="K1000" i="3" s="1"/>
  <c r="G1000" i="3"/>
  <c r="F1000" i="3"/>
  <c r="E1000" i="3"/>
  <c r="I1000" i="3" s="1"/>
  <c r="D1000" i="3"/>
  <c r="J1000" i="3" s="1"/>
  <c r="C1000" i="3"/>
  <c r="B1000" i="3"/>
  <c r="A1000" i="3"/>
  <c r="L999" i="3"/>
  <c r="H999" i="3"/>
  <c r="K999" i="3" s="1"/>
  <c r="G999" i="3"/>
  <c r="F999" i="3"/>
  <c r="E999" i="3"/>
  <c r="I999" i="3" s="1"/>
  <c r="D999" i="3"/>
  <c r="J999" i="3" s="1"/>
  <c r="C999" i="3"/>
  <c r="B999" i="3"/>
  <c r="A999" i="3"/>
  <c r="L998" i="3"/>
  <c r="H998" i="3"/>
  <c r="K998" i="3" s="1"/>
  <c r="G998" i="3"/>
  <c r="F998" i="3"/>
  <c r="E998" i="3"/>
  <c r="I998" i="3" s="1"/>
  <c r="D998" i="3"/>
  <c r="J998" i="3" s="1"/>
  <c r="C998" i="3"/>
  <c r="B998" i="3"/>
  <c r="A998" i="3"/>
  <c r="L997" i="3"/>
  <c r="H997" i="3"/>
  <c r="K997" i="3" s="1"/>
  <c r="G997" i="3"/>
  <c r="F997" i="3"/>
  <c r="E997" i="3"/>
  <c r="I997" i="3" s="1"/>
  <c r="D997" i="3"/>
  <c r="J997" i="3" s="1"/>
  <c r="C997" i="3"/>
  <c r="B997" i="3"/>
  <c r="A997" i="3"/>
  <c r="L996" i="3"/>
  <c r="H996" i="3"/>
  <c r="K996" i="3" s="1"/>
  <c r="G996" i="3"/>
  <c r="F996" i="3"/>
  <c r="E996" i="3"/>
  <c r="I996" i="3" s="1"/>
  <c r="D996" i="3"/>
  <c r="J996" i="3" s="1"/>
  <c r="C996" i="3"/>
  <c r="B996" i="3"/>
  <c r="A996" i="3"/>
  <c r="L995" i="3"/>
  <c r="H995" i="3"/>
  <c r="K995" i="3" s="1"/>
  <c r="G995" i="3"/>
  <c r="F995" i="3"/>
  <c r="E995" i="3"/>
  <c r="I995" i="3" s="1"/>
  <c r="D995" i="3"/>
  <c r="J995" i="3" s="1"/>
  <c r="C995" i="3"/>
  <c r="B995" i="3"/>
  <c r="A995" i="3"/>
  <c r="L994" i="3"/>
  <c r="H994" i="3"/>
  <c r="K994" i="3" s="1"/>
  <c r="G994" i="3"/>
  <c r="F994" i="3"/>
  <c r="E994" i="3"/>
  <c r="I994" i="3" s="1"/>
  <c r="D994" i="3"/>
  <c r="J994" i="3" s="1"/>
  <c r="C994" i="3"/>
  <c r="B994" i="3"/>
  <c r="A994" i="3"/>
  <c r="L993" i="3"/>
  <c r="H993" i="3"/>
  <c r="K993" i="3" s="1"/>
  <c r="G993" i="3"/>
  <c r="F993" i="3"/>
  <c r="E993" i="3"/>
  <c r="I993" i="3" s="1"/>
  <c r="D993" i="3"/>
  <c r="J993" i="3" s="1"/>
  <c r="C993" i="3"/>
  <c r="B993" i="3"/>
  <c r="A993" i="3"/>
  <c r="L992" i="3"/>
  <c r="H992" i="3"/>
  <c r="K992" i="3" s="1"/>
  <c r="G992" i="3"/>
  <c r="F992" i="3"/>
  <c r="E992" i="3"/>
  <c r="I992" i="3" s="1"/>
  <c r="D992" i="3"/>
  <c r="J992" i="3" s="1"/>
  <c r="C992" i="3"/>
  <c r="B992" i="3"/>
  <c r="A992" i="3"/>
  <c r="L991" i="3"/>
  <c r="H991" i="3"/>
  <c r="K991" i="3" s="1"/>
  <c r="G991" i="3"/>
  <c r="F991" i="3"/>
  <c r="E991" i="3"/>
  <c r="I991" i="3" s="1"/>
  <c r="D991" i="3"/>
  <c r="J991" i="3" s="1"/>
  <c r="C991" i="3"/>
  <c r="B991" i="3"/>
  <c r="A991" i="3"/>
  <c r="L990" i="3"/>
  <c r="H990" i="3"/>
  <c r="K990" i="3" s="1"/>
  <c r="G990" i="3"/>
  <c r="F990" i="3"/>
  <c r="E990" i="3"/>
  <c r="I990" i="3" s="1"/>
  <c r="D990" i="3"/>
  <c r="J990" i="3" s="1"/>
  <c r="C990" i="3"/>
  <c r="B990" i="3"/>
  <c r="A990" i="3"/>
  <c r="L989" i="3"/>
  <c r="H989" i="3"/>
  <c r="K989" i="3" s="1"/>
  <c r="G989" i="3"/>
  <c r="F989" i="3"/>
  <c r="E989" i="3"/>
  <c r="I989" i="3" s="1"/>
  <c r="D989" i="3"/>
  <c r="J989" i="3" s="1"/>
  <c r="C989" i="3"/>
  <c r="B989" i="3"/>
  <c r="A989" i="3"/>
  <c r="L988" i="3"/>
  <c r="H988" i="3"/>
  <c r="K988" i="3" s="1"/>
  <c r="G988" i="3"/>
  <c r="F988" i="3"/>
  <c r="E988" i="3"/>
  <c r="I988" i="3" s="1"/>
  <c r="D988" i="3"/>
  <c r="J988" i="3" s="1"/>
  <c r="C988" i="3"/>
  <c r="B988" i="3"/>
  <c r="A988" i="3"/>
  <c r="L987" i="3"/>
  <c r="H987" i="3"/>
  <c r="K987" i="3" s="1"/>
  <c r="G987" i="3"/>
  <c r="F987" i="3"/>
  <c r="E987" i="3"/>
  <c r="I987" i="3" s="1"/>
  <c r="D987" i="3"/>
  <c r="J987" i="3" s="1"/>
  <c r="C987" i="3"/>
  <c r="B987" i="3"/>
  <c r="A987" i="3"/>
  <c r="L986" i="3"/>
  <c r="H986" i="3"/>
  <c r="K986" i="3" s="1"/>
  <c r="G986" i="3"/>
  <c r="F986" i="3"/>
  <c r="E986" i="3"/>
  <c r="I986" i="3" s="1"/>
  <c r="D986" i="3"/>
  <c r="J986" i="3" s="1"/>
  <c r="C986" i="3"/>
  <c r="B986" i="3"/>
  <c r="A986" i="3"/>
  <c r="L985" i="3"/>
  <c r="H985" i="3"/>
  <c r="K985" i="3" s="1"/>
  <c r="G985" i="3"/>
  <c r="F985" i="3"/>
  <c r="E985" i="3"/>
  <c r="I985" i="3" s="1"/>
  <c r="D985" i="3"/>
  <c r="J985" i="3" s="1"/>
  <c r="C985" i="3"/>
  <c r="B985" i="3"/>
  <c r="A985" i="3"/>
  <c r="L984" i="3"/>
  <c r="H984" i="3"/>
  <c r="K984" i="3" s="1"/>
  <c r="G984" i="3"/>
  <c r="F984" i="3"/>
  <c r="E984" i="3"/>
  <c r="I984" i="3" s="1"/>
  <c r="D984" i="3"/>
  <c r="J984" i="3" s="1"/>
  <c r="C984" i="3"/>
  <c r="B984" i="3"/>
  <c r="A984" i="3"/>
  <c r="L983" i="3"/>
  <c r="H983" i="3"/>
  <c r="K983" i="3" s="1"/>
  <c r="G983" i="3"/>
  <c r="F983" i="3"/>
  <c r="E983" i="3"/>
  <c r="I983" i="3" s="1"/>
  <c r="D983" i="3"/>
  <c r="J983" i="3" s="1"/>
  <c r="C983" i="3"/>
  <c r="B983" i="3"/>
  <c r="A983" i="3"/>
  <c r="L982" i="3"/>
  <c r="H982" i="3"/>
  <c r="K982" i="3" s="1"/>
  <c r="G982" i="3"/>
  <c r="F982" i="3"/>
  <c r="E982" i="3"/>
  <c r="I982" i="3" s="1"/>
  <c r="D982" i="3"/>
  <c r="J982" i="3" s="1"/>
  <c r="C982" i="3"/>
  <c r="B982" i="3"/>
  <c r="A982" i="3"/>
  <c r="L981" i="3"/>
  <c r="H981" i="3"/>
  <c r="K981" i="3" s="1"/>
  <c r="G981" i="3"/>
  <c r="F981" i="3"/>
  <c r="E981" i="3"/>
  <c r="I981" i="3" s="1"/>
  <c r="D981" i="3"/>
  <c r="J981" i="3" s="1"/>
  <c r="C981" i="3"/>
  <c r="B981" i="3"/>
  <c r="A981" i="3"/>
  <c r="L980" i="3"/>
  <c r="H980" i="3"/>
  <c r="K980" i="3" s="1"/>
  <c r="G980" i="3"/>
  <c r="F980" i="3"/>
  <c r="E980" i="3"/>
  <c r="I980" i="3" s="1"/>
  <c r="D980" i="3"/>
  <c r="J980" i="3" s="1"/>
  <c r="C980" i="3"/>
  <c r="B980" i="3"/>
  <c r="A980" i="3"/>
  <c r="L979" i="3"/>
  <c r="H979" i="3"/>
  <c r="K979" i="3" s="1"/>
  <c r="G979" i="3"/>
  <c r="F979" i="3"/>
  <c r="E979" i="3"/>
  <c r="I979" i="3" s="1"/>
  <c r="D979" i="3"/>
  <c r="J979" i="3" s="1"/>
  <c r="C979" i="3"/>
  <c r="B979" i="3"/>
  <c r="A979" i="3"/>
  <c r="L978" i="3"/>
  <c r="H978" i="3"/>
  <c r="K978" i="3" s="1"/>
  <c r="G978" i="3"/>
  <c r="F978" i="3"/>
  <c r="E978" i="3"/>
  <c r="I978" i="3" s="1"/>
  <c r="D978" i="3"/>
  <c r="J978" i="3" s="1"/>
  <c r="C978" i="3"/>
  <c r="B978" i="3"/>
  <c r="A978" i="3"/>
  <c r="L977" i="3"/>
  <c r="H977" i="3"/>
  <c r="K977" i="3" s="1"/>
  <c r="G977" i="3"/>
  <c r="F977" i="3"/>
  <c r="E977" i="3"/>
  <c r="I977" i="3" s="1"/>
  <c r="D977" i="3"/>
  <c r="J977" i="3" s="1"/>
  <c r="C977" i="3"/>
  <c r="B977" i="3"/>
  <c r="A977" i="3"/>
  <c r="L976" i="3"/>
  <c r="H976" i="3"/>
  <c r="K976" i="3" s="1"/>
  <c r="G976" i="3"/>
  <c r="F976" i="3"/>
  <c r="E976" i="3"/>
  <c r="I976" i="3" s="1"/>
  <c r="D976" i="3"/>
  <c r="J976" i="3" s="1"/>
  <c r="C976" i="3"/>
  <c r="B976" i="3"/>
  <c r="A976" i="3"/>
  <c r="L975" i="3"/>
  <c r="H975" i="3"/>
  <c r="K975" i="3" s="1"/>
  <c r="G975" i="3"/>
  <c r="F975" i="3"/>
  <c r="E975" i="3"/>
  <c r="I975" i="3" s="1"/>
  <c r="D975" i="3"/>
  <c r="J975" i="3" s="1"/>
  <c r="C975" i="3"/>
  <c r="B975" i="3"/>
  <c r="A975" i="3"/>
  <c r="L974" i="3"/>
  <c r="H974" i="3"/>
  <c r="K974" i="3" s="1"/>
  <c r="G974" i="3"/>
  <c r="F974" i="3"/>
  <c r="E974" i="3"/>
  <c r="I974" i="3" s="1"/>
  <c r="D974" i="3"/>
  <c r="J974" i="3" s="1"/>
  <c r="C974" i="3"/>
  <c r="B974" i="3"/>
  <c r="A974" i="3"/>
  <c r="L973" i="3"/>
  <c r="H973" i="3"/>
  <c r="K973" i="3" s="1"/>
  <c r="G973" i="3"/>
  <c r="F973" i="3"/>
  <c r="E973" i="3"/>
  <c r="I973" i="3" s="1"/>
  <c r="D973" i="3"/>
  <c r="J973" i="3" s="1"/>
  <c r="C973" i="3"/>
  <c r="B973" i="3"/>
  <c r="A973" i="3"/>
  <c r="L972" i="3"/>
  <c r="H972" i="3"/>
  <c r="K972" i="3" s="1"/>
  <c r="G972" i="3"/>
  <c r="F972" i="3"/>
  <c r="E972" i="3"/>
  <c r="I972" i="3" s="1"/>
  <c r="D972" i="3"/>
  <c r="J972" i="3" s="1"/>
  <c r="C972" i="3"/>
  <c r="B972" i="3"/>
  <c r="A972" i="3"/>
  <c r="L971" i="3"/>
  <c r="H971" i="3"/>
  <c r="K971" i="3" s="1"/>
  <c r="G971" i="3"/>
  <c r="F971" i="3"/>
  <c r="E971" i="3"/>
  <c r="I971" i="3" s="1"/>
  <c r="D971" i="3"/>
  <c r="J971" i="3" s="1"/>
  <c r="C971" i="3"/>
  <c r="B971" i="3"/>
  <c r="A971" i="3"/>
  <c r="L970" i="3"/>
  <c r="H970" i="3"/>
  <c r="K970" i="3" s="1"/>
  <c r="G970" i="3"/>
  <c r="F970" i="3"/>
  <c r="E970" i="3"/>
  <c r="I970" i="3" s="1"/>
  <c r="D970" i="3"/>
  <c r="J970" i="3" s="1"/>
  <c r="C970" i="3"/>
  <c r="B970" i="3"/>
  <c r="A970" i="3"/>
  <c r="L969" i="3"/>
  <c r="H969" i="3"/>
  <c r="K969" i="3" s="1"/>
  <c r="G969" i="3"/>
  <c r="F969" i="3"/>
  <c r="E969" i="3"/>
  <c r="I969" i="3" s="1"/>
  <c r="D969" i="3"/>
  <c r="J969" i="3" s="1"/>
  <c r="C969" i="3"/>
  <c r="B969" i="3"/>
  <c r="A969" i="3"/>
  <c r="L968" i="3"/>
  <c r="H968" i="3"/>
  <c r="K968" i="3" s="1"/>
  <c r="G968" i="3"/>
  <c r="F968" i="3"/>
  <c r="E968" i="3"/>
  <c r="I968" i="3" s="1"/>
  <c r="D968" i="3"/>
  <c r="J968" i="3" s="1"/>
  <c r="C968" i="3"/>
  <c r="B968" i="3"/>
  <c r="A968" i="3"/>
  <c r="L967" i="3"/>
  <c r="H967" i="3"/>
  <c r="K967" i="3" s="1"/>
  <c r="G967" i="3"/>
  <c r="F967" i="3"/>
  <c r="E967" i="3"/>
  <c r="I967" i="3" s="1"/>
  <c r="D967" i="3"/>
  <c r="J967" i="3" s="1"/>
  <c r="C967" i="3"/>
  <c r="B967" i="3"/>
  <c r="A967" i="3"/>
  <c r="L966" i="3"/>
  <c r="H966" i="3"/>
  <c r="K966" i="3" s="1"/>
  <c r="G966" i="3"/>
  <c r="F966" i="3"/>
  <c r="E966" i="3"/>
  <c r="I966" i="3" s="1"/>
  <c r="D966" i="3"/>
  <c r="J966" i="3" s="1"/>
  <c r="C966" i="3"/>
  <c r="B966" i="3"/>
  <c r="A966" i="3"/>
  <c r="L965" i="3"/>
  <c r="H965" i="3"/>
  <c r="K965" i="3" s="1"/>
  <c r="G965" i="3"/>
  <c r="F965" i="3"/>
  <c r="E965" i="3"/>
  <c r="I965" i="3" s="1"/>
  <c r="D965" i="3"/>
  <c r="J965" i="3" s="1"/>
  <c r="C965" i="3"/>
  <c r="B965" i="3"/>
  <c r="A965" i="3"/>
  <c r="L964" i="3"/>
  <c r="H964" i="3"/>
  <c r="K964" i="3" s="1"/>
  <c r="G964" i="3"/>
  <c r="F964" i="3"/>
  <c r="E964" i="3"/>
  <c r="I964" i="3" s="1"/>
  <c r="D964" i="3"/>
  <c r="J964" i="3" s="1"/>
  <c r="C964" i="3"/>
  <c r="B964" i="3"/>
  <c r="A964" i="3"/>
  <c r="L963" i="3"/>
  <c r="H963" i="3"/>
  <c r="K963" i="3" s="1"/>
  <c r="G963" i="3"/>
  <c r="F963" i="3"/>
  <c r="E963" i="3"/>
  <c r="I963" i="3" s="1"/>
  <c r="D963" i="3"/>
  <c r="J963" i="3" s="1"/>
  <c r="C963" i="3"/>
  <c r="B963" i="3"/>
  <c r="A963" i="3"/>
  <c r="L962" i="3"/>
  <c r="H962" i="3"/>
  <c r="K962" i="3" s="1"/>
  <c r="G962" i="3"/>
  <c r="F962" i="3"/>
  <c r="E962" i="3"/>
  <c r="I962" i="3" s="1"/>
  <c r="D962" i="3"/>
  <c r="J962" i="3" s="1"/>
  <c r="C962" i="3"/>
  <c r="B962" i="3"/>
  <c r="A962" i="3"/>
  <c r="L961" i="3"/>
  <c r="H961" i="3"/>
  <c r="K961" i="3" s="1"/>
  <c r="G961" i="3"/>
  <c r="F961" i="3"/>
  <c r="E961" i="3"/>
  <c r="I961" i="3" s="1"/>
  <c r="D961" i="3"/>
  <c r="J961" i="3" s="1"/>
  <c r="C961" i="3"/>
  <c r="B961" i="3"/>
  <c r="A961" i="3"/>
  <c r="L960" i="3"/>
  <c r="H960" i="3"/>
  <c r="K960" i="3" s="1"/>
  <c r="G960" i="3"/>
  <c r="F960" i="3"/>
  <c r="E960" i="3"/>
  <c r="I960" i="3" s="1"/>
  <c r="D960" i="3"/>
  <c r="J960" i="3" s="1"/>
  <c r="C960" i="3"/>
  <c r="B960" i="3"/>
  <c r="A960" i="3"/>
  <c r="L959" i="3"/>
  <c r="H959" i="3"/>
  <c r="K959" i="3" s="1"/>
  <c r="G959" i="3"/>
  <c r="F959" i="3"/>
  <c r="E959" i="3"/>
  <c r="I959" i="3" s="1"/>
  <c r="D959" i="3"/>
  <c r="J959" i="3" s="1"/>
  <c r="C959" i="3"/>
  <c r="B959" i="3"/>
  <c r="A959" i="3"/>
  <c r="L958" i="3"/>
  <c r="H958" i="3"/>
  <c r="K958" i="3" s="1"/>
  <c r="G958" i="3"/>
  <c r="F958" i="3"/>
  <c r="E958" i="3"/>
  <c r="I958" i="3" s="1"/>
  <c r="D958" i="3"/>
  <c r="J958" i="3" s="1"/>
  <c r="C958" i="3"/>
  <c r="B958" i="3"/>
  <c r="A958" i="3"/>
  <c r="L957" i="3"/>
  <c r="H957" i="3"/>
  <c r="K957" i="3" s="1"/>
  <c r="G957" i="3"/>
  <c r="F957" i="3"/>
  <c r="E957" i="3"/>
  <c r="I957" i="3" s="1"/>
  <c r="D957" i="3"/>
  <c r="J957" i="3" s="1"/>
  <c r="C957" i="3"/>
  <c r="B957" i="3"/>
  <c r="A957" i="3"/>
  <c r="L956" i="3"/>
  <c r="H956" i="3"/>
  <c r="K956" i="3" s="1"/>
  <c r="G956" i="3"/>
  <c r="F956" i="3"/>
  <c r="E956" i="3"/>
  <c r="I956" i="3" s="1"/>
  <c r="D956" i="3"/>
  <c r="J956" i="3" s="1"/>
  <c r="C956" i="3"/>
  <c r="B956" i="3"/>
  <c r="A956" i="3"/>
  <c r="L955" i="3"/>
  <c r="H955" i="3"/>
  <c r="K955" i="3" s="1"/>
  <c r="G955" i="3"/>
  <c r="F955" i="3"/>
  <c r="E955" i="3"/>
  <c r="I955" i="3" s="1"/>
  <c r="D955" i="3"/>
  <c r="J955" i="3" s="1"/>
  <c r="C955" i="3"/>
  <c r="B955" i="3"/>
  <c r="A955" i="3"/>
  <c r="L954" i="3"/>
  <c r="H954" i="3"/>
  <c r="K954" i="3" s="1"/>
  <c r="G954" i="3"/>
  <c r="F954" i="3"/>
  <c r="E954" i="3"/>
  <c r="D954" i="3"/>
  <c r="J954" i="3" s="1"/>
  <c r="C954" i="3"/>
  <c r="B954" i="3"/>
  <c r="A954" i="3"/>
  <c r="L953" i="3"/>
  <c r="H953" i="3"/>
  <c r="K953" i="3" s="1"/>
  <c r="G953" i="3"/>
  <c r="F953" i="3"/>
  <c r="E953" i="3"/>
  <c r="I953" i="3" s="1"/>
  <c r="D953" i="3"/>
  <c r="J953" i="3" s="1"/>
  <c r="C953" i="3"/>
  <c r="B953" i="3"/>
  <c r="A953" i="3"/>
  <c r="L952" i="3"/>
  <c r="H952" i="3"/>
  <c r="K952" i="3" s="1"/>
  <c r="G952" i="3"/>
  <c r="F952" i="3"/>
  <c r="E952" i="3"/>
  <c r="D952" i="3"/>
  <c r="J952" i="3" s="1"/>
  <c r="C952" i="3"/>
  <c r="B952" i="3"/>
  <c r="A952" i="3"/>
  <c r="L951" i="3"/>
  <c r="H951" i="3"/>
  <c r="K951" i="3" s="1"/>
  <c r="G951" i="3"/>
  <c r="F951" i="3"/>
  <c r="E951" i="3"/>
  <c r="I951" i="3" s="1"/>
  <c r="D951" i="3"/>
  <c r="J951" i="3" s="1"/>
  <c r="C951" i="3"/>
  <c r="B951" i="3"/>
  <c r="A951" i="3"/>
  <c r="L950" i="3"/>
  <c r="H950" i="3"/>
  <c r="K950" i="3" s="1"/>
  <c r="G950" i="3"/>
  <c r="F950" i="3"/>
  <c r="E950" i="3"/>
  <c r="D950" i="3"/>
  <c r="J950" i="3" s="1"/>
  <c r="C950" i="3"/>
  <c r="B950" i="3"/>
  <c r="A950" i="3"/>
  <c r="L949" i="3"/>
  <c r="H949" i="3"/>
  <c r="K949" i="3" s="1"/>
  <c r="G949" i="3"/>
  <c r="F949" i="3"/>
  <c r="E949" i="3"/>
  <c r="I949" i="3" s="1"/>
  <c r="D949" i="3"/>
  <c r="J949" i="3" s="1"/>
  <c r="C949" i="3"/>
  <c r="B949" i="3"/>
  <c r="A949" i="3"/>
  <c r="L948" i="3"/>
  <c r="H948" i="3"/>
  <c r="K948" i="3" s="1"/>
  <c r="G948" i="3"/>
  <c r="F948" i="3"/>
  <c r="E948" i="3"/>
  <c r="D948" i="3"/>
  <c r="J948" i="3" s="1"/>
  <c r="C948" i="3"/>
  <c r="B948" i="3"/>
  <c r="A948" i="3"/>
  <c r="L947" i="3"/>
  <c r="H947" i="3"/>
  <c r="K947" i="3" s="1"/>
  <c r="G947" i="3"/>
  <c r="F947" i="3"/>
  <c r="E947" i="3"/>
  <c r="I947" i="3" s="1"/>
  <c r="D947" i="3"/>
  <c r="J947" i="3" s="1"/>
  <c r="C947" i="3"/>
  <c r="B947" i="3"/>
  <c r="A947" i="3"/>
  <c r="L946" i="3"/>
  <c r="H946" i="3"/>
  <c r="K946" i="3" s="1"/>
  <c r="G946" i="3"/>
  <c r="F946" i="3"/>
  <c r="E946" i="3"/>
  <c r="D946" i="3"/>
  <c r="J946" i="3" s="1"/>
  <c r="C946" i="3"/>
  <c r="B946" i="3"/>
  <c r="A946" i="3"/>
  <c r="L945" i="3"/>
  <c r="H945" i="3"/>
  <c r="K945" i="3" s="1"/>
  <c r="G945" i="3"/>
  <c r="F945" i="3"/>
  <c r="E945" i="3"/>
  <c r="I945" i="3" s="1"/>
  <c r="D945" i="3"/>
  <c r="J945" i="3" s="1"/>
  <c r="C945" i="3"/>
  <c r="B945" i="3"/>
  <c r="A945" i="3"/>
  <c r="L944" i="3"/>
  <c r="H944" i="3"/>
  <c r="K944" i="3" s="1"/>
  <c r="G944" i="3"/>
  <c r="F944" i="3"/>
  <c r="E944" i="3"/>
  <c r="D944" i="3"/>
  <c r="J944" i="3" s="1"/>
  <c r="C944" i="3"/>
  <c r="B944" i="3"/>
  <c r="A944" i="3"/>
  <c r="L943" i="3"/>
  <c r="H943" i="3"/>
  <c r="K943" i="3" s="1"/>
  <c r="G943" i="3"/>
  <c r="F943" i="3"/>
  <c r="E943" i="3"/>
  <c r="I943" i="3" s="1"/>
  <c r="D943" i="3"/>
  <c r="J943" i="3" s="1"/>
  <c r="C943" i="3"/>
  <c r="B943" i="3"/>
  <c r="A943" i="3"/>
  <c r="L942" i="3"/>
  <c r="H942" i="3"/>
  <c r="K942" i="3" s="1"/>
  <c r="G942" i="3"/>
  <c r="F942" i="3"/>
  <c r="E942" i="3"/>
  <c r="D942" i="3"/>
  <c r="J942" i="3" s="1"/>
  <c r="C942" i="3"/>
  <c r="B942" i="3"/>
  <c r="A942" i="3"/>
  <c r="L941" i="3"/>
  <c r="H941" i="3"/>
  <c r="K941" i="3" s="1"/>
  <c r="G941" i="3"/>
  <c r="F941" i="3"/>
  <c r="E941" i="3"/>
  <c r="I941" i="3" s="1"/>
  <c r="D941" i="3"/>
  <c r="J941" i="3" s="1"/>
  <c r="C941" i="3"/>
  <c r="B941" i="3"/>
  <c r="A941" i="3"/>
  <c r="L940" i="3"/>
  <c r="H940" i="3"/>
  <c r="K940" i="3" s="1"/>
  <c r="G940" i="3"/>
  <c r="F940" i="3"/>
  <c r="E940" i="3"/>
  <c r="D940" i="3"/>
  <c r="J940" i="3" s="1"/>
  <c r="C940" i="3"/>
  <c r="B940" i="3"/>
  <c r="A940" i="3"/>
  <c r="L939" i="3"/>
  <c r="H939" i="3"/>
  <c r="K939" i="3" s="1"/>
  <c r="G939" i="3"/>
  <c r="F939" i="3"/>
  <c r="E939" i="3"/>
  <c r="I939" i="3" s="1"/>
  <c r="D939" i="3"/>
  <c r="J939" i="3" s="1"/>
  <c r="C939" i="3"/>
  <c r="B939" i="3"/>
  <c r="A939" i="3"/>
  <c r="L938" i="3"/>
  <c r="H938" i="3"/>
  <c r="K938" i="3" s="1"/>
  <c r="G938" i="3"/>
  <c r="F938" i="3"/>
  <c r="E938" i="3"/>
  <c r="D938" i="3"/>
  <c r="J938" i="3" s="1"/>
  <c r="C938" i="3"/>
  <c r="B938" i="3"/>
  <c r="A938" i="3"/>
  <c r="L937" i="3"/>
  <c r="H937" i="3"/>
  <c r="K937" i="3" s="1"/>
  <c r="G937" i="3"/>
  <c r="F937" i="3"/>
  <c r="E937" i="3"/>
  <c r="I937" i="3" s="1"/>
  <c r="D937" i="3"/>
  <c r="J937" i="3" s="1"/>
  <c r="C937" i="3"/>
  <c r="B937" i="3"/>
  <c r="A937" i="3"/>
  <c r="L936" i="3"/>
  <c r="H936" i="3"/>
  <c r="K936" i="3" s="1"/>
  <c r="G936" i="3"/>
  <c r="F936" i="3"/>
  <c r="E936" i="3"/>
  <c r="D936" i="3"/>
  <c r="J936" i="3" s="1"/>
  <c r="C936" i="3"/>
  <c r="B936" i="3"/>
  <c r="A936" i="3"/>
  <c r="L935" i="3"/>
  <c r="H935" i="3"/>
  <c r="K935" i="3" s="1"/>
  <c r="G935" i="3"/>
  <c r="F935" i="3"/>
  <c r="E935" i="3"/>
  <c r="I935" i="3" s="1"/>
  <c r="D935" i="3"/>
  <c r="J935" i="3" s="1"/>
  <c r="C935" i="3"/>
  <c r="B935" i="3"/>
  <c r="A935" i="3"/>
  <c r="L934" i="3"/>
  <c r="H934" i="3"/>
  <c r="K934" i="3" s="1"/>
  <c r="G934" i="3"/>
  <c r="F934" i="3"/>
  <c r="E934" i="3"/>
  <c r="D934" i="3"/>
  <c r="J934" i="3" s="1"/>
  <c r="C934" i="3"/>
  <c r="B934" i="3"/>
  <c r="A934" i="3"/>
  <c r="L933" i="3"/>
  <c r="H933" i="3"/>
  <c r="K933" i="3" s="1"/>
  <c r="G933" i="3"/>
  <c r="F933" i="3"/>
  <c r="E933" i="3"/>
  <c r="D933" i="3"/>
  <c r="J933" i="3" s="1"/>
  <c r="C933" i="3"/>
  <c r="B933" i="3"/>
  <c r="A933" i="3"/>
  <c r="L932" i="3"/>
  <c r="H932" i="3"/>
  <c r="K932" i="3" s="1"/>
  <c r="G932" i="3"/>
  <c r="F932" i="3"/>
  <c r="E932" i="3"/>
  <c r="D932" i="3"/>
  <c r="J932" i="3" s="1"/>
  <c r="C932" i="3"/>
  <c r="B932" i="3"/>
  <c r="A932" i="3"/>
  <c r="L931" i="3"/>
  <c r="H931" i="3"/>
  <c r="K931" i="3" s="1"/>
  <c r="G931" i="3"/>
  <c r="F931" i="3"/>
  <c r="E931" i="3"/>
  <c r="D931" i="3"/>
  <c r="J931" i="3" s="1"/>
  <c r="C931" i="3"/>
  <c r="B931" i="3"/>
  <c r="A931" i="3"/>
  <c r="L930" i="3"/>
  <c r="K930" i="3"/>
  <c r="H930" i="3"/>
  <c r="G930" i="3"/>
  <c r="F930" i="3"/>
  <c r="E930" i="3"/>
  <c r="I930" i="3" s="1"/>
  <c r="D930" i="3"/>
  <c r="J930" i="3" s="1"/>
  <c r="C930" i="3"/>
  <c r="B930" i="3"/>
  <c r="A930" i="3"/>
  <c r="L929" i="3"/>
  <c r="K929" i="3"/>
  <c r="H929" i="3"/>
  <c r="G929" i="3"/>
  <c r="F929" i="3"/>
  <c r="E929" i="3"/>
  <c r="I929" i="3" s="1"/>
  <c r="D929" i="3"/>
  <c r="J929" i="3" s="1"/>
  <c r="C929" i="3"/>
  <c r="B929" i="3"/>
  <c r="A929" i="3"/>
  <c r="L928" i="3"/>
  <c r="H928" i="3"/>
  <c r="K928" i="3" s="1"/>
  <c r="G928" i="3"/>
  <c r="F928" i="3"/>
  <c r="E928" i="3"/>
  <c r="I928" i="3" s="1"/>
  <c r="D928" i="3"/>
  <c r="J928" i="3" s="1"/>
  <c r="C928" i="3"/>
  <c r="B928" i="3"/>
  <c r="A928" i="3"/>
  <c r="H927" i="3"/>
  <c r="K927" i="3" s="1"/>
  <c r="G927" i="3"/>
  <c r="F927" i="3"/>
  <c r="L927" i="3" s="1"/>
  <c r="E927" i="3"/>
  <c r="I927" i="3" s="1"/>
  <c r="D927" i="3"/>
  <c r="J927" i="3" s="1"/>
  <c r="C927" i="3"/>
  <c r="B927" i="3"/>
  <c r="A927" i="3"/>
  <c r="H926" i="3"/>
  <c r="K926" i="3" s="1"/>
  <c r="G926" i="3"/>
  <c r="F926" i="3"/>
  <c r="L926" i="3" s="1"/>
  <c r="E926" i="3"/>
  <c r="I926" i="3" s="1"/>
  <c r="D926" i="3"/>
  <c r="J926" i="3" s="1"/>
  <c r="C926" i="3"/>
  <c r="B926" i="3"/>
  <c r="A926" i="3"/>
  <c r="H925" i="3"/>
  <c r="K925" i="3" s="1"/>
  <c r="G925" i="3"/>
  <c r="F925" i="3"/>
  <c r="L925" i="3" s="1"/>
  <c r="E925" i="3"/>
  <c r="I925" i="3" s="1"/>
  <c r="D925" i="3"/>
  <c r="J925" i="3" s="1"/>
  <c r="C925" i="3"/>
  <c r="B925" i="3"/>
  <c r="A925" i="3"/>
  <c r="L924" i="3"/>
  <c r="H924" i="3"/>
  <c r="K924" i="3" s="1"/>
  <c r="G924" i="3"/>
  <c r="F924" i="3"/>
  <c r="E924" i="3"/>
  <c r="I924" i="3" s="1"/>
  <c r="D924" i="3"/>
  <c r="J924" i="3" s="1"/>
  <c r="C924" i="3"/>
  <c r="B924" i="3"/>
  <c r="A924" i="3"/>
  <c r="L923" i="3"/>
  <c r="H923" i="3"/>
  <c r="K923" i="3" s="1"/>
  <c r="G923" i="3"/>
  <c r="F923" i="3"/>
  <c r="E923" i="3"/>
  <c r="I923" i="3" s="1"/>
  <c r="D923" i="3"/>
  <c r="J923" i="3" s="1"/>
  <c r="C923" i="3"/>
  <c r="B923" i="3"/>
  <c r="A923" i="3"/>
  <c r="L922" i="3"/>
  <c r="H922" i="3"/>
  <c r="K922" i="3" s="1"/>
  <c r="G922" i="3"/>
  <c r="F922" i="3"/>
  <c r="E922" i="3"/>
  <c r="I922" i="3" s="1"/>
  <c r="D922" i="3"/>
  <c r="J922" i="3" s="1"/>
  <c r="C922" i="3"/>
  <c r="B922" i="3"/>
  <c r="A922" i="3"/>
  <c r="L921" i="3"/>
  <c r="H921" i="3"/>
  <c r="K921" i="3" s="1"/>
  <c r="G921" i="3"/>
  <c r="F921" i="3"/>
  <c r="E921" i="3"/>
  <c r="I921" i="3" s="1"/>
  <c r="D921" i="3"/>
  <c r="J921" i="3" s="1"/>
  <c r="C921" i="3"/>
  <c r="B921" i="3"/>
  <c r="A921" i="3"/>
  <c r="L920" i="3"/>
  <c r="H920" i="3"/>
  <c r="K920" i="3" s="1"/>
  <c r="G920" i="3"/>
  <c r="F920" i="3"/>
  <c r="E920" i="3"/>
  <c r="I920" i="3" s="1"/>
  <c r="D920" i="3"/>
  <c r="J920" i="3" s="1"/>
  <c r="C920" i="3"/>
  <c r="B920" i="3"/>
  <c r="A920" i="3"/>
  <c r="L919" i="3"/>
  <c r="H919" i="3"/>
  <c r="K919" i="3" s="1"/>
  <c r="G919" i="3"/>
  <c r="F919" i="3"/>
  <c r="E919" i="3"/>
  <c r="I919" i="3" s="1"/>
  <c r="D919" i="3"/>
  <c r="J919" i="3" s="1"/>
  <c r="C919" i="3"/>
  <c r="B919" i="3"/>
  <c r="A919" i="3"/>
  <c r="L918" i="3"/>
  <c r="H918" i="3"/>
  <c r="K918" i="3" s="1"/>
  <c r="G918" i="3"/>
  <c r="F918" i="3"/>
  <c r="E918" i="3"/>
  <c r="I918" i="3" s="1"/>
  <c r="D918" i="3"/>
  <c r="J918" i="3" s="1"/>
  <c r="C918" i="3"/>
  <c r="B918" i="3"/>
  <c r="A918" i="3"/>
  <c r="L917" i="3"/>
  <c r="H917" i="3"/>
  <c r="K917" i="3" s="1"/>
  <c r="G917" i="3"/>
  <c r="F917" i="3"/>
  <c r="E917" i="3"/>
  <c r="I917" i="3" s="1"/>
  <c r="D917" i="3"/>
  <c r="J917" i="3" s="1"/>
  <c r="C917" i="3"/>
  <c r="B917" i="3"/>
  <c r="A917" i="3"/>
  <c r="L916" i="3"/>
  <c r="H916" i="3"/>
  <c r="K916" i="3" s="1"/>
  <c r="G916" i="3"/>
  <c r="F916" i="3"/>
  <c r="E916" i="3"/>
  <c r="I916" i="3" s="1"/>
  <c r="D916" i="3"/>
  <c r="J916" i="3" s="1"/>
  <c r="C916" i="3"/>
  <c r="B916" i="3"/>
  <c r="A916" i="3"/>
  <c r="L915" i="3"/>
  <c r="H915" i="3"/>
  <c r="K915" i="3" s="1"/>
  <c r="G915" i="3"/>
  <c r="F915" i="3"/>
  <c r="E915" i="3"/>
  <c r="I915" i="3" s="1"/>
  <c r="D915" i="3"/>
  <c r="J915" i="3" s="1"/>
  <c r="C915" i="3"/>
  <c r="B915" i="3"/>
  <c r="A915" i="3"/>
  <c r="L914" i="3"/>
  <c r="H914" i="3"/>
  <c r="K914" i="3" s="1"/>
  <c r="G914" i="3"/>
  <c r="F914" i="3"/>
  <c r="E914" i="3"/>
  <c r="I914" i="3" s="1"/>
  <c r="D914" i="3"/>
  <c r="J914" i="3" s="1"/>
  <c r="C914" i="3"/>
  <c r="B914" i="3"/>
  <c r="A914" i="3"/>
  <c r="L913" i="3"/>
  <c r="H913" i="3"/>
  <c r="K913" i="3" s="1"/>
  <c r="G913" i="3"/>
  <c r="F913" i="3"/>
  <c r="E913" i="3"/>
  <c r="I913" i="3" s="1"/>
  <c r="D913" i="3"/>
  <c r="J913" i="3" s="1"/>
  <c r="C913" i="3"/>
  <c r="B913" i="3"/>
  <c r="A913" i="3"/>
  <c r="L912" i="3"/>
  <c r="H912" i="3"/>
  <c r="K912" i="3" s="1"/>
  <c r="G912" i="3"/>
  <c r="F912" i="3"/>
  <c r="E912" i="3"/>
  <c r="I912" i="3" s="1"/>
  <c r="D912" i="3"/>
  <c r="J912" i="3" s="1"/>
  <c r="C912" i="3"/>
  <c r="B912" i="3"/>
  <c r="A912" i="3"/>
  <c r="L911" i="3"/>
  <c r="H911" i="3"/>
  <c r="K911" i="3" s="1"/>
  <c r="G911" i="3"/>
  <c r="F911" i="3"/>
  <c r="E911" i="3"/>
  <c r="I911" i="3" s="1"/>
  <c r="D911" i="3"/>
  <c r="J911" i="3" s="1"/>
  <c r="C911" i="3"/>
  <c r="B911" i="3"/>
  <c r="A911" i="3"/>
  <c r="L910" i="3"/>
  <c r="H910" i="3"/>
  <c r="K910" i="3" s="1"/>
  <c r="G910" i="3"/>
  <c r="F910" i="3"/>
  <c r="E910" i="3"/>
  <c r="I910" i="3" s="1"/>
  <c r="D910" i="3"/>
  <c r="J910" i="3" s="1"/>
  <c r="C910" i="3"/>
  <c r="B910" i="3"/>
  <c r="A910" i="3"/>
  <c r="L909" i="3"/>
  <c r="H909" i="3"/>
  <c r="K909" i="3" s="1"/>
  <c r="G909" i="3"/>
  <c r="F909" i="3"/>
  <c r="E909" i="3"/>
  <c r="I909" i="3" s="1"/>
  <c r="D909" i="3"/>
  <c r="J909" i="3" s="1"/>
  <c r="C909" i="3"/>
  <c r="B909" i="3"/>
  <c r="A909" i="3"/>
  <c r="L908" i="3"/>
  <c r="H908" i="3"/>
  <c r="K908" i="3" s="1"/>
  <c r="G908" i="3"/>
  <c r="F908" i="3"/>
  <c r="E908" i="3"/>
  <c r="I908" i="3" s="1"/>
  <c r="D908" i="3"/>
  <c r="J908" i="3" s="1"/>
  <c r="C908" i="3"/>
  <c r="B908" i="3"/>
  <c r="A908" i="3"/>
  <c r="L907" i="3"/>
  <c r="H907" i="3"/>
  <c r="K907" i="3" s="1"/>
  <c r="G907" i="3"/>
  <c r="F907" i="3"/>
  <c r="E907" i="3"/>
  <c r="I907" i="3" s="1"/>
  <c r="D907" i="3"/>
  <c r="J907" i="3" s="1"/>
  <c r="C907" i="3"/>
  <c r="B907" i="3"/>
  <c r="A907" i="3"/>
  <c r="L906" i="3"/>
  <c r="H906" i="3"/>
  <c r="K906" i="3" s="1"/>
  <c r="G906" i="3"/>
  <c r="F906" i="3"/>
  <c r="E906" i="3"/>
  <c r="I906" i="3" s="1"/>
  <c r="D906" i="3"/>
  <c r="J906" i="3" s="1"/>
  <c r="C906" i="3"/>
  <c r="B906" i="3"/>
  <c r="A906" i="3"/>
  <c r="L905" i="3"/>
  <c r="H905" i="3"/>
  <c r="K905" i="3" s="1"/>
  <c r="G905" i="3"/>
  <c r="F905" i="3"/>
  <c r="E905" i="3"/>
  <c r="I905" i="3" s="1"/>
  <c r="D905" i="3"/>
  <c r="J905" i="3" s="1"/>
  <c r="C905" i="3"/>
  <c r="B905" i="3"/>
  <c r="A905" i="3"/>
  <c r="L904" i="3"/>
  <c r="H904" i="3"/>
  <c r="K904" i="3" s="1"/>
  <c r="G904" i="3"/>
  <c r="F904" i="3"/>
  <c r="E904" i="3"/>
  <c r="I904" i="3" s="1"/>
  <c r="D904" i="3"/>
  <c r="J904" i="3" s="1"/>
  <c r="C904" i="3"/>
  <c r="B904" i="3"/>
  <c r="A904" i="3"/>
  <c r="L903" i="3"/>
  <c r="H903" i="3"/>
  <c r="K903" i="3" s="1"/>
  <c r="G903" i="3"/>
  <c r="F903" i="3"/>
  <c r="E903" i="3"/>
  <c r="I903" i="3" s="1"/>
  <c r="D903" i="3"/>
  <c r="J903" i="3" s="1"/>
  <c r="C903" i="3"/>
  <c r="B903" i="3"/>
  <c r="A903" i="3"/>
  <c r="L902" i="3"/>
  <c r="H902" i="3"/>
  <c r="K902" i="3" s="1"/>
  <c r="G902" i="3"/>
  <c r="F902" i="3"/>
  <c r="E902" i="3"/>
  <c r="I902" i="3" s="1"/>
  <c r="D902" i="3"/>
  <c r="J902" i="3" s="1"/>
  <c r="C902" i="3"/>
  <c r="B902" i="3"/>
  <c r="A902" i="3"/>
  <c r="L901" i="3"/>
  <c r="H901" i="3"/>
  <c r="K901" i="3" s="1"/>
  <c r="G901" i="3"/>
  <c r="F901" i="3"/>
  <c r="E901" i="3"/>
  <c r="I901" i="3" s="1"/>
  <c r="D901" i="3"/>
  <c r="J901" i="3" s="1"/>
  <c r="C901" i="3"/>
  <c r="B901" i="3"/>
  <c r="A901" i="3"/>
  <c r="L900" i="3"/>
  <c r="H900" i="3"/>
  <c r="K900" i="3" s="1"/>
  <c r="G900" i="3"/>
  <c r="F900" i="3"/>
  <c r="E900" i="3"/>
  <c r="I900" i="3" s="1"/>
  <c r="D900" i="3"/>
  <c r="J900" i="3" s="1"/>
  <c r="C900" i="3"/>
  <c r="B900" i="3"/>
  <c r="A900" i="3"/>
  <c r="L899" i="3"/>
  <c r="H899" i="3"/>
  <c r="K899" i="3" s="1"/>
  <c r="G899" i="3"/>
  <c r="F899" i="3"/>
  <c r="E899" i="3"/>
  <c r="I899" i="3" s="1"/>
  <c r="D899" i="3"/>
  <c r="J899" i="3" s="1"/>
  <c r="C899" i="3"/>
  <c r="B899" i="3"/>
  <c r="A899" i="3"/>
  <c r="L898" i="3"/>
  <c r="H898" i="3"/>
  <c r="K898" i="3" s="1"/>
  <c r="G898" i="3"/>
  <c r="F898" i="3"/>
  <c r="E898" i="3"/>
  <c r="I898" i="3" s="1"/>
  <c r="D898" i="3"/>
  <c r="J898" i="3" s="1"/>
  <c r="C898" i="3"/>
  <c r="B898" i="3"/>
  <c r="A898" i="3"/>
  <c r="L897" i="3"/>
  <c r="H897" i="3"/>
  <c r="K897" i="3" s="1"/>
  <c r="G897" i="3"/>
  <c r="F897" i="3"/>
  <c r="E897" i="3"/>
  <c r="I897" i="3" s="1"/>
  <c r="D897" i="3"/>
  <c r="J897" i="3" s="1"/>
  <c r="C897" i="3"/>
  <c r="B897" i="3"/>
  <c r="A897" i="3"/>
  <c r="L896" i="3"/>
  <c r="H896" i="3"/>
  <c r="K896" i="3" s="1"/>
  <c r="G896" i="3"/>
  <c r="F896" i="3"/>
  <c r="E896" i="3"/>
  <c r="I896" i="3" s="1"/>
  <c r="D896" i="3"/>
  <c r="J896" i="3" s="1"/>
  <c r="C896" i="3"/>
  <c r="B896" i="3"/>
  <c r="A896" i="3"/>
  <c r="L895" i="3"/>
  <c r="H895" i="3"/>
  <c r="K895" i="3" s="1"/>
  <c r="G895" i="3"/>
  <c r="F895" i="3"/>
  <c r="E895" i="3"/>
  <c r="I895" i="3" s="1"/>
  <c r="D895" i="3"/>
  <c r="J895" i="3" s="1"/>
  <c r="C895" i="3"/>
  <c r="B895" i="3"/>
  <c r="A895" i="3"/>
  <c r="L894" i="3"/>
  <c r="H894" i="3"/>
  <c r="K894" i="3" s="1"/>
  <c r="G894" i="3"/>
  <c r="F894" i="3"/>
  <c r="E894" i="3"/>
  <c r="I894" i="3" s="1"/>
  <c r="D894" i="3"/>
  <c r="J894" i="3" s="1"/>
  <c r="C894" i="3"/>
  <c r="B894" i="3"/>
  <c r="A894" i="3"/>
  <c r="L893" i="3"/>
  <c r="H893" i="3"/>
  <c r="K893" i="3" s="1"/>
  <c r="G893" i="3"/>
  <c r="F893" i="3"/>
  <c r="E893" i="3"/>
  <c r="I893" i="3" s="1"/>
  <c r="D893" i="3"/>
  <c r="J893" i="3" s="1"/>
  <c r="C893" i="3"/>
  <c r="B893" i="3"/>
  <c r="A893" i="3"/>
  <c r="L892" i="3"/>
  <c r="H892" i="3"/>
  <c r="K892" i="3" s="1"/>
  <c r="G892" i="3"/>
  <c r="F892" i="3"/>
  <c r="E892" i="3"/>
  <c r="I892" i="3" s="1"/>
  <c r="D892" i="3"/>
  <c r="J892" i="3" s="1"/>
  <c r="C892" i="3"/>
  <c r="B892" i="3"/>
  <c r="A892" i="3"/>
  <c r="L891" i="3"/>
  <c r="H891" i="3"/>
  <c r="K891" i="3" s="1"/>
  <c r="G891" i="3"/>
  <c r="F891" i="3"/>
  <c r="E891" i="3"/>
  <c r="I891" i="3" s="1"/>
  <c r="D891" i="3"/>
  <c r="J891" i="3" s="1"/>
  <c r="C891" i="3"/>
  <c r="B891" i="3"/>
  <c r="A891" i="3"/>
  <c r="L890" i="3"/>
  <c r="H890" i="3"/>
  <c r="K890" i="3" s="1"/>
  <c r="G890" i="3"/>
  <c r="F890" i="3"/>
  <c r="E890" i="3"/>
  <c r="I890" i="3" s="1"/>
  <c r="D890" i="3"/>
  <c r="J890" i="3" s="1"/>
  <c r="C890" i="3"/>
  <c r="B890" i="3"/>
  <c r="A890" i="3"/>
  <c r="L889" i="3"/>
  <c r="H889" i="3"/>
  <c r="K889" i="3" s="1"/>
  <c r="G889" i="3"/>
  <c r="F889" i="3"/>
  <c r="E889" i="3"/>
  <c r="I889" i="3" s="1"/>
  <c r="D889" i="3"/>
  <c r="J889" i="3" s="1"/>
  <c r="C889" i="3"/>
  <c r="B889" i="3"/>
  <c r="A889" i="3"/>
  <c r="L888" i="3"/>
  <c r="H888" i="3"/>
  <c r="K888" i="3" s="1"/>
  <c r="G888" i="3"/>
  <c r="F888" i="3"/>
  <c r="E888" i="3"/>
  <c r="I888" i="3" s="1"/>
  <c r="D888" i="3"/>
  <c r="J888" i="3" s="1"/>
  <c r="C888" i="3"/>
  <c r="B888" i="3"/>
  <c r="A888" i="3"/>
  <c r="L887" i="3"/>
  <c r="H887" i="3"/>
  <c r="K887" i="3" s="1"/>
  <c r="G887" i="3"/>
  <c r="F887" i="3"/>
  <c r="E887" i="3"/>
  <c r="I887" i="3" s="1"/>
  <c r="D887" i="3"/>
  <c r="J887" i="3" s="1"/>
  <c r="C887" i="3"/>
  <c r="B887" i="3"/>
  <c r="A887" i="3"/>
  <c r="L886" i="3"/>
  <c r="H886" i="3"/>
  <c r="K886" i="3" s="1"/>
  <c r="G886" i="3"/>
  <c r="F886" i="3"/>
  <c r="E886" i="3"/>
  <c r="I886" i="3" s="1"/>
  <c r="D886" i="3"/>
  <c r="J886" i="3" s="1"/>
  <c r="C886" i="3"/>
  <c r="B886" i="3"/>
  <c r="A886" i="3"/>
  <c r="L885" i="3"/>
  <c r="H885" i="3"/>
  <c r="K885" i="3" s="1"/>
  <c r="G885" i="3"/>
  <c r="F885" i="3"/>
  <c r="E885" i="3"/>
  <c r="I885" i="3" s="1"/>
  <c r="D885" i="3"/>
  <c r="J885" i="3" s="1"/>
  <c r="C885" i="3"/>
  <c r="B885" i="3"/>
  <c r="A885" i="3"/>
  <c r="L884" i="3"/>
  <c r="H884" i="3"/>
  <c r="K884" i="3" s="1"/>
  <c r="G884" i="3"/>
  <c r="F884" i="3"/>
  <c r="E884" i="3"/>
  <c r="I884" i="3" s="1"/>
  <c r="D884" i="3"/>
  <c r="J884" i="3" s="1"/>
  <c r="C884" i="3"/>
  <c r="B884" i="3"/>
  <c r="A884" i="3"/>
  <c r="L883" i="3"/>
  <c r="H883" i="3"/>
  <c r="K883" i="3" s="1"/>
  <c r="G883" i="3"/>
  <c r="F883" i="3"/>
  <c r="E883" i="3"/>
  <c r="I883" i="3" s="1"/>
  <c r="D883" i="3"/>
  <c r="J883" i="3" s="1"/>
  <c r="C883" i="3"/>
  <c r="B883" i="3"/>
  <c r="A883" i="3"/>
  <c r="L882" i="3"/>
  <c r="H882" i="3"/>
  <c r="K882" i="3" s="1"/>
  <c r="G882" i="3"/>
  <c r="F882" i="3"/>
  <c r="E882" i="3"/>
  <c r="I882" i="3" s="1"/>
  <c r="D882" i="3"/>
  <c r="J882" i="3" s="1"/>
  <c r="C882" i="3"/>
  <c r="B882" i="3"/>
  <c r="A882" i="3"/>
  <c r="L881" i="3"/>
  <c r="H881" i="3"/>
  <c r="K881" i="3" s="1"/>
  <c r="G881" i="3"/>
  <c r="F881" i="3"/>
  <c r="E881" i="3"/>
  <c r="I881" i="3" s="1"/>
  <c r="D881" i="3"/>
  <c r="J881" i="3" s="1"/>
  <c r="C881" i="3"/>
  <c r="B881" i="3"/>
  <c r="A881" i="3"/>
  <c r="L880" i="3"/>
  <c r="H880" i="3"/>
  <c r="K880" i="3" s="1"/>
  <c r="G880" i="3"/>
  <c r="F880" i="3"/>
  <c r="E880" i="3"/>
  <c r="I880" i="3" s="1"/>
  <c r="D880" i="3"/>
  <c r="J880" i="3" s="1"/>
  <c r="C880" i="3"/>
  <c r="B880" i="3"/>
  <c r="A880" i="3"/>
  <c r="L879" i="3"/>
  <c r="H879" i="3"/>
  <c r="K879" i="3" s="1"/>
  <c r="G879" i="3"/>
  <c r="F879" i="3"/>
  <c r="E879" i="3"/>
  <c r="I879" i="3" s="1"/>
  <c r="D879" i="3"/>
  <c r="J879" i="3" s="1"/>
  <c r="C879" i="3"/>
  <c r="B879" i="3"/>
  <c r="A879" i="3"/>
  <c r="L878" i="3"/>
  <c r="H878" i="3"/>
  <c r="K878" i="3" s="1"/>
  <c r="G878" i="3"/>
  <c r="F878" i="3"/>
  <c r="E878" i="3"/>
  <c r="I878" i="3" s="1"/>
  <c r="D878" i="3"/>
  <c r="J878" i="3" s="1"/>
  <c r="C878" i="3"/>
  <c r="B878" i="3"/>
  <c r="A878" i="3"/>
  <c r="L877" i="3"/>
  <c r="H877" i="3"/>
  <c r="K877" i="3" s="1"/>
  <c r="G877" i="3"/>
  <c r="F877" i="3"/>
  <c r="E877" i="3"/>
  <c r="I877" i="3" s="1"/>
  <c r="D877" i="3"/>
  <c r="J877" i="3" s="1"/>
  <c r="C877" i="3"/>
  <c r="B877" i="3"/>
  <c r="A877" i="3"/>
  <c r="L876" i="3"/>
  <c r="H876" i="3"/>
  <c r="K876" i="3" s="1"/>
  <c r="G876" i="3"/>
  <c r="F876" i="3"/>
  <c r="E876" i="3"/>
  <c r="I876" i="3" s="1"/>
  <c r="D876" i="3"/>
  <c r="J876" i="3" s="1"/>
  <c r="C876" i="3"/>
  <c r="B876" i="3"/>
  <c r="A876" i="3"/>
  <c r="L875" i="3"/>
  <c r="H875" i="3"/>
  <c r="K875" i="3" s="1"/>
  <c r="G875" i="3"/>
  <c r="F875" i="3"/>
  <c r="E875" i="3"/>
  <c r="I875" i="3" s="1"/>
  <c r="D875" i="3"/>
  <c r="J875" i="3" s="1"/>
  <c r="C875" i="3"/>
  <c r="B875" i="3"/>
  <c r="A875" i="3"/>
  <c r="L874" i="3"/>
  <c r="H874" i="3"/>
  <c r="K874" i="3" s="1"/>
  <c r="G874" i="3"/>
  <c r="F874" i="3"/>
  <c r="E874" i="3"/>
  <c r="I874" i="3" s="1"/>
  <c r="D874" i="3"/>
  <c r="J874" i="3" s="1"/>
  <c r="C874" i="3"/>
  <c r="B874" i="3"/>
  <c r="A874" i="3"/>
  <c r="L873" i="3"/>
  <c r="H873" i="3"/>
  <c r="K873" i="3" s="1"/>
  <c r="G873" i="3"/>
  <c r="F873" i="3"/>
  <c r="E873" i="3"/>
  <c r="I873" i="3" s="1"/>
  <c r="D873" i="3"/>
  <c r="J873" i="3" s="1"/>
  <c r="C873" i="3"/>
  <c r="B873" i="3"/>
  <c r="A873" i="3"/>
  <c r="L872" i="3"/>
  <c r="H872" i="3"/>
  <c r="K872" i="3" s="1"/>
  <c r="G872" i="3"/>
  <c r="F872" i="3"/>
  <c r="E872" i="3"/>
  <c r="I872" i="3" s="1"/>
  <c r="D872" i="3"/>
  <c r="J872" i="3" s="1"/>
  <c r="C872" i="3"/>
  <c r="B872" i="3"/>
  <c r="A872" i="3"/>
  <c r="L871" i="3"/>
  <c r="H871" i="3"/>
  <c r="K871" i="3" s="1"/>
  <c r="G871" i="3"/>
  <c r="F871" i="3"/>
  <c r="E871" i="3"/>
  <c r="I871" i="3" s="1"/>
  <c r="D871" i="3"/>
  <c r="J871" i="3" s="1"/>
  <c r="C871" i="3"/>
  <c r="B871" i="3"/>
  <c r="A871" i="3"/>
  <c r="L870" i="3"/>
  <c r="H870" i="3"/>
  <c r="K870" i="3" s="1"/>
  <c r="G870" i="3"/>
  <c r="F870" i="3"/>
  <c r="E870" i="3"/>
  <c r="I870" i="3" s="1"/>
  <c r="D870" i="3"/>
  <c r="J870" i="3" s="1"/>
  <c r="C870" i="3"/>
  <c r="B870" i="3"/>
  <c r="A870" i="3"/>
  <c r="L869" i="3"/>
  <c r="H869" i="3"/>
  <c r="K869" i="3" s="1"/>
  <c r="G869" i="3"/>
  <c r="F869" i="3"/>
  <c r="E869" i="3"/>
  <c r="I869" i="3" s="1"/>
  <c r="D869" i="3"/>
  <c r="J869" i="3" s="1"/>
  <c r="C869" i="3"/>
  <c r="B869" i="3"/>
  <c r="A869" i="3"/>
  <c r="L868" i="3"/>
  <c r="H868" i="3"/>
  <c r="K868" i="3" s="1"/>
  <c r="G868" i="3"/>
  <c r="F868" i="3"/>
  <c r="E868" i="3"/>
  <c r="I868" i="3" s="1"/>
  <c r="D868" i="3"/>
  <c r="J868" i="3" s="1"/>
  <c r="C868" i="3"/>
  <c r="B868" i="3"/>
  <c r="A868" i="3"/>
  <c r="L867" i="3"/>
  <c r="H867" i="3"/>
  <c r="K867" i="3" s="1"/>
  <c r="G867" i="3"/>
  <c r="F867" i="3"/>
  <c r="E867" i="3"/>
  <c r="I867" i="3" s="1"/>
  <c r="D867" i="3"/>
  <c r="J867" i="3" s="1"/>
  <c r="C867" i="3"/>
  <c r="B867" i="3"/>
  <c r="A867" i="3"/>
  <c r="L866" i="3"/>
  <c r="H866" i="3"/>
  <c r="K866" i="3" s="1"/>
  <c r="G866" i="3"/>
  <c r="F866" i="3"/>
  <c r="E866" i="3"/>
  <c r="I866" i="3" s="1"/>
  <c r="D866" i="3"/>
  <c r="J866" i="3" s="1"/>
  <c r="C866" i="3"/>
  <c r="B866" i="3"/>
  <c r="A866" i="3"/>
  <c r="L865" i="3"/>
  <c r="H865" i="3"/>
  <c r="K865" i="3" s="1"/>
  <c r="G865" i="3"/>
  <c r="F865" i="3"/>
  <c r="E865" i="3"/>
  <c r="I865" i="3" s="1"/>
  <c r="D865" i="3"/>
  <c r="J865" i="3" s="1"/>
  <c r="C865" i="3"/>
  <c r="B865" i="3"/>
  <c r="A865" i="3"/>
  <c r="L864" i="3"/>
  <c r="H864" i="3"/>
  <c r="K864" i="3" s="1"/>
  <c r="G864" i="3"/>
  <c r="F864" i="3"/>
  <c r="E864" i="3"/>
  <c r="I864" i="3" s="1"/>
  <c r="D864" i="3"/>
  <c r="J864" i="3" s="1"/>
  <c r="C864" i="3"/>
  <c r="B864" i="3"/>
  <c r="A864" i="3"/>
  <c r="L863" i="3"/>
  <c r="H863" i="3"/>
  <c r="K863" i="3" s="1"/>
  <c r="G863" i="3"/>
  <c r="F863" i="3"/>
  <c r="E863" i="3"/>
  <c r="I863" i="3" s="1"/>
  <c r="D863" i="3"/>
  <c r="J863" i="3" s="1"/>
  <c r="C863" i="3"/>
  <c r="B863" i="3"/>
  <c r="A863" i="3"/>
  <c r="L862" i="3"/>
  <c r="H862" i="3"/>
  <c r="K862" i="3" s="1"/>
  <c r="G862" i="3"/>
  <c r="F862" i="3"/>
  <c r="E862" i="3"/>
  <c r="I862" i="3" s="1"/>
  <c r="D862" i="3"/>
  <c r="J862" i="3" s="1"/>
  <c r="C862" i="3"/>
  <c r="B862" i="3"/>
  <c r="A862" i="3"/>
  <c r="L861" i="3"/>
  <c r="H861" i="3"/>
  <c r="K861" i="3" s="1"/>
  <c r="G861" i="3"/>
  <c r="F861" i="3"/>
  <c r="E861" i="3"/>
  <c r="I861" i="3" s="1"/>
  <c r="D861" i="3"/>
  <c r="J861" i="3" s="1"/>
  <c r="C861" i="3"/>
  <c r="B861" i="3"/>
  <c r="A861" i="3"/>
  <c r="L860" i="3"/>
  <c r="H860" i="3"/>
  <c r="K860" i="3" s="1"/>
  <c r="G860" i="3"/>
  <c r="F860" i="3"/>
  <c r="E860" i="3"/>
  <c r="I860" i="3" s="1"/>
  <c r="D860" i="3"/>
  <c r="J860" i="3" s="1"/>
  <c r="C860" i="3"/>
  <c r="B860" i="3"/>
  <c r="A860" i="3"/>
  <c r="L859" i="3"/>
  <c r="H859" i="3"/>
  <c r="K859" i="3" s="1"/>
  <c r="G859" i="3"/>
  <c r="F859" i="3"/>
  <c r="E859" i="3"/>
  <c r="I859" i="3" s="1"/>
  <c r="D859" i="3"/>
  <c r="J859" i="3" s="1"/>
  <c r="C859" i="3"/>
  <c r="B859" i="3"/>
  <c r="A859" i="3"/>
  <c r="L858" i="3"/>
  <c r="H858" i="3"/>
  <c r="K858" i="3" s="1"/>
  <c r="G858" i="3"/>
  <c r="F858" i="3"/>
  <c r="E858" i="3"/>
  <c r="I858" i="3" s="1"/>
  <c r="D858" i="3"/>
  <c r="J858" i="3" s="1"/>
  <c r="C858" i="3"/>
  <c r="B858" i="3"/>
  <c r="A858" i="3"/>
  <c r="L857" i="3"/>
  <c r="H857" i="3"/>
  <c r="K857" i="3" s="1"/>
  <c r="G857" i="3"/>
  <c r="F857" i="3"/>
  <c r="E857" i="3"/>
  <c r="I857" i="3" s="1"/>
  <c r="D857" i="3"/>
  <c r="J857" i="3" s="1"/>
  <c r="C857" i="3"/>
  <c r="B857" i="3"/>
  <c r="A857" i="3"/>
  <c r="L856" i="3"/>
  <c r="H856" i="3"/>
  <c r="K856" i="3" s="1"/>
  <c r="G856" i="3"/>
  <c r="F856" i="3"/>
  <c r="E856" i="3"/>
  <c r="I856" i="3" s="1"/>
  <c r="D856" i="3"/>
  <c r="J856" i="3" s="1"/>
  <c r="C856" i="3"/>
  <c r="B856" i="3"/>
  <c r="A856" i="3"/>
  <c r="L855" i="3"/>
  <c r="H855" i="3"/>
  <c r="K855" i="3" s="1"/>
  <c r="G855" i="3"/>
  <c r="F855" i="3"/>
  <c r="E855" i="3"/>
  <c r="I855" i="3" s="1"/>
  <c r="D855" i="3"/>
  <c r="J855" i="3" s="1"/>
  <c r="C855" i="3"/>
  <c r="B855" i="3"/>
  <c r="A855" i="3"/>
  <c r="L854" i="3"/>
  <c r="H854" i="3"/>
  <c r="K854" i="3" s="1"/>
  <c r="G854" i="3"/>
  <c r="F854" i="3"/>
  <c r="E854" i="3"/>
  <c r="I854" i="3" s="1"/>
  <c r="D854" i="3"/>
  <c r="J854" i="3" s="1"/>
  <c r="C854" i="3"/>
  <c r="B854" i="3"/>
  <c r="A854" i="3"/>
  <c r="L853" i="3"/>
  <c r="H853" i="3"/>
  <c r="K853" i="3" s="1"/>
  <c r="G853" i="3"/>
  <c r="F853" i="3"/>
  <c r="E853" i="3"/>
  <c r="I853" i="3" s="1"/>
  <c r="D853" i="3"/>
  <c r="J853" i="3" s="1"/>
  <c r="C853" i="3"/>
  <c r="B853" i="3"/>
  <c r="A853" i="3"/>
  <c r="L852" i="3"/>
  <c r="H852" i="3"/>
  <c r="K852" i="3" s="1"/>
  <c r="G852" i="3"/>
  <c r="F852" i="3"/>
  <c r="E852" i="3"/>
  <c r="I852" i="3" s="1"/>
  <c r="D852" i="3"/>
  <c r="J852" i="3" s="1"/>
  <c r="C852" i="3"/>
  <c r="B852" i="3"/>
  <c r="A852" i="3"/>
  <c r="L851" i="3"/>
  <c r="H851" i="3"/>
  <c r="K851" i="3" s="1"/>
  <c r="G851" i="3"/>
  <c r="F851" i="3"/>
  <c r="E851" i="3"/>
  <c r="I851" i="3" s="1"/>
  <c r="D851" i="3"/>
  <c r="J851" i="3" s="1"/>
  <c r="C851" i="3"/>
  <c r="B851" i="3"/>
  <c r="A851" i="3"/>
  <c r="L850" i="3"/>
  <c r="H850" i="3"/>
  <c r="K850" i="3" s="1"/>
  <c r="G850" i="3"/>
  <c r="F850" i="3"/>
  <c r="E850" i="3"/>
  <c r="I850" i="3" s="1"/>
  <c r="D850" i="3"/>
  <c r="J850" i="3" s="1"/>
  <c r="C850" i="3"/>
  <c r="B850" i="3"/>
  <c r="A850" i="3"/>
  <c r="L849" i="3"/>
  <c r="H849" i="3"/>
  <c r="K849" i="3" s="1"/>
  <c r="G849" i="3"/>
  <c r="F849" i="3"/>
  <c r="E849" i="3"/>
  <c r="I849" i="3" s="1"/>
  <c r="D849" i="3"/>
  <c r="J849" i="3" s="1"/>
  <c r="C849" i="3"/>
  <c r="B849" i="3"/>
  <c r="A849" i="3"/>
  <c r="L848" i="3"/>
  <c r="H848" i="3"/>
  <c r="K848" i="3" s="1"/>
  <c r="G848" i="3"/>
  <c r="F848" i="3"/>
  <c r="E848" i="3"/>
  <c r="I848" i="3" s="1"/>
  <c r="D848" i="3"/>
  <c r="J848" i="3" s="1"/>
  <c r="C848" i="3"/>
  <c r="B848" i="3"/>
  <c r="A848" i="3"/>
  <c r="L847" i="3"/>
  <c r="H847" i="3"/>
  <c r="K847" i="3" s="1"/>
  <c r="G847" i="3"/>
  <c r="F847" i="3"/>
  <c r="E847" i="3"/>
  <c r="I847" i="3" s="1"/>
  <c r="D847" i="3"/>
  <c r="J847" i="3" s="1"/>
  <c r="C847" i="3"/>
  <c r="B847" i="3"/>
  <c r="A847" i="3"/>
  <c r="L846" i="3"/>
  <c r="H846" i="3"/>
  <c r="K846" i="3" s="1"/>
  <c r="G846" i="3"/>
  <c r="F846" i="3"/>
  <c r="E846" i="3"/>
  <c r="I846" i="3" s="1"/>
  <c r="D846" i="3"/>
  <c r="J846" i="3" s="1"/>
  <c r="C846" i="3"/>
  <c r="B846" i="3"/>
  <c r="A846" i="3"/>
  <c r="L845" i="3"/>
  <c r="H845" i="3"/>
  <c r="K845" i="3" s="1"/>
  <c r="G845" i="3"/>
  <c r="F845" i="3"/>
  <c r="E845" i="3"/>
  <c r="I845" i="3" s="1"/>
  <c r="D845" i="3"/>
  <c r="J845" i="3" s="1"/>
  <c r="C845" i="3"/>
  <c r="B845" i="3"/>
  <c r="A845" i="3"/>
  <c r="L844" i="3"/>
  <c r="H844" i="3"/>
  <c r="K844" i="3" s="1"/>
  <c r="G844" i="3"/>
  <c r="F844" i="3"/>
  <c r="E844" i="3"/>
  <c r="I844" i="3" s="1"/>
  <c r="D844" i="3"/>
  <c r="J844" i="3" s="1"/>
  <c r="C844" i="3"/>
  <c r="B844" i="3"/>
  <c r="A844" i="3"/>
  <c r="L843" i="3"/>
  <c r="H843" i="3"/>
  <c r="K843" i="3" s="1"/>
  <c r="G843" i="3"/>
  <c r="F843" i="3"/>
  <c r="E843" i="3"/>
  <c r="I843" i="3" s="1"/>
  <c r="D843" i="3"/>
  <c r="J843" i="3" s="1"/>
  <c r="C843" i="3"/>
  <c r="B843" i="3"/>
  <c r="A843" i="3"/>
  <c r="L842" i="3"/>
  <c r="H842" i="3"/>
  <c r="K842" i="3" s="1"/>
  <c r="G842" i="3"/>
  <c r="F842" i="3"/>
  <c r="E842" i="3"/>
  <c r="I842" i="3" s="1"/>
  <c r="D842" i="3"/>
  <c r="J842" i="3" s="1"/>
  <c r="C842" i="3"/>
  <c r="B842" i="3"/>
  <c r="A842" i="3"/>
  <c r="L841" i="3"/>
  <c r="H841" i="3"/>
  <c r="K841" i="3" s="1"/>
  <c r="G841" i="3"/>
  <c r="F841" i="3"/>
  <c r="E841" i="3"/>
  <c r="I841" i="3" s="1"/>
  <c r="D841" i="3"/>
  <c r="J841" i="3" s="1"/>
  <c r="C841" i="3"/>
  <c r="B841" i="3"/>
  <c r="A841" i="3"/>
  <c r="L840" i="3"/>
  <c r="H840" i="3"/>
  <c r="K840" i="3" s="1"/>
  <c r="G840" i="3"/>
  <c r="F840" i="3"/>
  <c r="E840" i="3"/>
  <c r="I840" i="3" s="1"/>
  <c r="D840" i="3"/>
  <c r="J840" i="3" s="1"/>
  <c r="C840" i="3"/>
  <c r="B840" i="3"/>
  <c r="A840" i="3"/>
  <c r="L839" i="3"/>
  <c r="H839" i="3"/>
  <c r="K839" i="3" s="1"/>
  <c r="G839" i="3"/>
  <c r="F839" i="3"/>
  <c r="E839" i="3"/>
  <c r="I839" i="3" s="1"/>
  <c r="D839" i="3"/>
  <c r="J839" i="3" s="1"/>
  <c r="C839" i="3"/>
  <c r="B839" i="3"/>
  <c r="A839" i="3"/>
  <c r="L838" i="3"/>
  <c r="H838" i="3"/>
  <c r="K838" i="3" s="1"/>
  <c r="G838" i="3"/>
  <c r="F838" i="3"/>
  <c r="E838" i="3"/>
  <c r="I838" i="3" s="1"/>
  <c r="D838" i="3"/>
  <c r="J838" i="3" s="1"/>
  <c r="C838" i="3"/>
  <c r="B838" i="3"/>
  <c r="A838" i="3"/>
  <c r="L837" i="3"/>
  <c r="H837" i="3"/>
  <c r="K837" i="3" s="1"/>
  <c r="G837" i="3"/>
  <c r="F837" i="3"/>
  <c r="E837" i="3"/>
  <c r="I837" i="3" s="1"/>
  <c r="D837" i="3"/>
  <c r="J837" i="3" s="1"/>
  <c r="C837" i="3"/>
  <c r="B837" i="3"/>
  <c r="A837" i="3"/>
  <c r="L836" i="3"/>
  <c r="H836" i="3"/>
  <c r="K836" i="3" s="1"/>
  <c r="G836" i="3"/>
  <c r="F836" i="3"/>
  <c r="E836" i="3"/>
  <c r="I836" i="3" s="1"/>
  <c r="D836" i="3"/>
  <c r="J836" i="3" s="1"/>
  <c r="C836" i="3"/>
  <c r="B836" i="3"/>
  <c r="A836" i="3"/>
  <c r="L835" i="3"/>
  <c r="H835" i="3"/>
  <c r="K835" i="3" s="1"/>
  <c r="G835" i="3"/>
  <c r="F835" i="3"/>
  <c r="E835" i="3"/>
  <c r="I835" i="3" s="1"/>
  <c r="D835" i="3"/>
  <c r="J835" i="3" s="1"/>
  <c r="C835" i="3"/>
  <c r="B835" i="3"/>
  <c r="A835" i="3"/>
  <c r="L834" i="3"/>
  <c r="H834" i="3"/>
  <c r="K834" i="3" s="1"/>
  <c r="G834" i="3"/>
  <c r="F834" i="3"/>
  <c r="E834" i="3"/>
  <c r="I834" i="3" s="1"/>
  <c r="D834" i="3"/>
  <c r="J834" i="3" s="1"/>
  <c r="C834" i="3"/>
  <c r="B834" i="3"/>
  <c r="A834" i="3"/>
  <c r="L833" i="3"/>
  <c r="H833" i="3"/>
  <c r="K833" i="3" s="1"/>
  <c r="G833" i="3"/>
  <c r="F833" i="3"/>
  <c r="E833" i="3"/>
  <c r="I833" i="3" s="1"/>
  <c r="D833" i="3"/>
  <c r="J833" i="3" s="1"/>
  <c r="C833" i="3"/>
  <c r="B833" i="3"/>
  <c r="A833" i="3"/>
  <c r="L832" i="3"/>
  <c r="H832" i="3"/>
  <c r="K832" i="3" s="1"/>
  <c r="G832" i="3"/>
  <c r="F832" i="3"/>
  <c r="E832" i="3"/>
  <c r="I832" i="3" s="1"/>
  <c r="D832" i="3"/>
  <c r="J832" i="3" s="1"/>
  <c r="C832" i="3"/>
  <c r="B832" i="3"/>
  <c r="A832" i="3"/>
  <c r="L831" i="3"/>
  <c r="H831" i="3"/>
  <c r="K831" i="3" s="1"/>
  <c r="G831" i="3"/>
  <c r="F831" i="3"/>
  <c r="E831" i="3"/>
  <c r="I831" i="3" s="1"/>
  <c r="D831" i="3"/>
  <c r="J831" i="3" s="1"/>
  <c r="C831" i="3"/>
  <c r="B831" i="3"/>
  <c r="A831" i="3"/>
  <c r="L830" i="3"/>
  <c r="H830" i="3"/>
  <c r="K830" i="3" s="1"/>
  <c r="G830" i="3"/>
  <c r="F830" i="3"/>
  <c r="E830" i="3"/>
  <c r="I830" i="3" s="1"/>
  <c r="D830" i="3"/>
  <c r="J830" i="3" s="1"/>
  <c r="C830" i="3"/>
  <c r="B830" i="3"/>
  <c r="A830" i="3"/>
  <c r="L829" i="3"/>
  <c r="H829" i="3"/>
  <c r="K829" i="3" s="1"/>
  <c r="G829" i="3"/>
  <c r="F829" i="3"/>
  <c r="E829" i="3"/>
  <c r="I829" i="3" s="1"/>
  <c r="D829" i="3"/>
  <c r="J829" i="3" s="1"/>
  <c r="C829" i="3"/>
  <c r="B829" i="3"/>
  <c r="A829" i="3"/>
  <c r="L828" i="3"/>
  <c r="H828" i="3"/>
  <c r="K828" i="3" s="1"/>
  <c r="G828" i="3"/>
  <c r="F828" i="3"/>
  <c r="E828" i="3"/>
  <c r="I828" i="3" s="1"/>
  <c r="D828" i="3"/>
  <c r="J828" i="3" s="1"/>
  <c r="C828" i="3"/>
  <c r="B828" i="3"/>
  <c r="A828" i="3"/>
  <c r="L827" i="3"/>
  <c r="H827" i="3"/>
  <c r="K827" i="3" s="1"/>
  <c r="G827" i="3"/>
  <c r="F827" i="3"/>
  <c r="E827" i="3"/>
  <c r="I827" i="3" s="1"/>
  <c r="D827" i="3"/>
  <c r="J827" i="3" s="1"/>
  <c r="C827" i="3"/>
  <c r="B827" i="3"/>
  <c r="A827" i="3"/>
  <c r="L826" i="3"/>
  <c r="H826" i="3"/>
  <c r="K826" i="3" s="1"/>
  <c r="G826" i="3"/>
  <c r="F826" i="3"/>
  <c r="E826" i="3"/>
  <c r="I826" i="3" s="1"/>
  <c r="D826" i="3"/>
  <c r="J826" i="3" s="1"/>
  <c r="C826" i="3"/>
  <c r="B826" i="3"/>
  <c r="A826" i="3"/>
  <c r="L825" i="3"/>
  <c r="H825" i="3"/>
  <c r="K825" i="3" s="1"/>
  <c r="G825" i="3"/>
  <c r="F825" i="3"/>
  <c r="E825" i="3"/>
  <c r="I825" i="3" s="1"/>
  <c r="D825" i="3"/>
  <c r="J825" i="3" s="1"/>
  <c r="C825" i="3"/>
  <c r="B825" i="3"/>
  <c r="A825" i="3"/>
  <c r="L824" i="3"/>
  <c r="H824" i="3"/>
  <c r="K824" i="3" s="1"/>
  <c r="G824" i="3"/>
  <c r="F824" i="3"/>
  <c r="E824" i="3"/>
  <c r="I824" i="3" s="1"/>
  <c r="D824" i="3"/>
  <c r="J824" i="3" s="1"/>
  <c r="C824" i="3"/>
  <c r="B824" i="3"/>
  <c r="A824" i="3"/>
  <c r="L823" i="3"/>
  <c r="H823" i="3"/>
  <c r="K823" i="3" s="1"/>
  <c r="G823" i="3"/>
  <c r="F823" i="3"/>
  <c r="E823" i="3"/>
  <c r="I823" i="3" s="1"/>
  <c r="D823" i="3"/>
  <c r="J823" i="3" s="1"/>
  <c r="C823" i="3"/>
  <c r="B823" i="3"/>
  <c r="A823" i="3"/>
  <c r="L822" i="3"/>
  <c r="H822" i="3"/>
  <c r="K822" i="3" s="1"/>
  <c r="G822" i="3"/>
  <c r="F822" i="3"/>
  <c r="E822" i="3"/>
  <c r="I822" i="3" s="1"/>
  <c r="D822" i="3"/>
  <c r="J822" i="3" s="1"/>
  <c r="C822" i="3"/>
  <c r="B822" i="3"/>
  <c r="A822" i="3"/>
  <c r="L821" i="3"/>
  <c r="H821" i="3"/>
  <c r="K821" i="3" s="1"/>
  <c r="G821" i="3"/>
  <c r="F821" i="3"/>
  <c r="E821" i="3"/>
  <c r="D821" i="3"/>
  <c r="J821" i="3" s="1"/>
  <c r="C821" i="3"/>
  <c r="B821" i="3"/>
  <c r="A821" i="3"/>
  <c r="L820" i="3"/>
  <c r="H820" i="3"/>
  <c r="K820" i="3" s="1"/>
  <c r="G820" i="3"/>
  <c r="F820" i="3"/>
  <c r="E820" i="3"/>
  <c r="I820" i="3" s="1"/>
  <c r="D820" i="3"/>
  <c r="J820" i="3" s="1"/>
  <c r="C820" i="3"/>
  <c r="B820" i="3"/>
  <c r="A820" i="3"/>
  <c r="L819" i="3"/>
  <c r="H819" i="3"/>
  <c r="K819" i="3" s="1"/>
  <c r="G819" i="3"/>
  <c r="F819" i="3"/>
  <c r="E819" i="3"/>
  <c r="D819" i="3"/>
  <c r="J819" i="3" s="1"/>
  <c r="C819" i="3"/>
  <c r="B819" i="3"/>
  <c r="A819" i="3"/>
  <c r="L818" i="3"/>
  <c r="H818" i="3"/>
  <c r="K818" i="3" s="1"/>
  <c r="G818" i="3"/>
  <c r="F818" i="3"/>
  <c r="E818" i="3"/>
  <c r="I818" i="3" s="1"/>
  <c r="D818" i="3"/>
  <c r="J818" i="3" s="1"/>
  <c r="C818" i="3"/>
  <c r="B818" i="3"/>
  <c r="A818" i="3"/>
  <c r="L817" i="3"/>
  <c r="H817" i="3"/>
  <c r="K817" i="3" s="1"/>
  <c r="G817" i="3"/>
  <c r="F817" i="3"/>
  <c r="E817" i="3"/>
  <c r="D817" i="3"/>
  <c r="J817" i="3" s="1"/>
  <c r="C817" i="3"/>
  <c r="B817" i="3"/>
  <c r="A817" i="3"/>
  <c r="L816" i="3"/>
  <c r="H816" i="3"/>
  <c r="K816" i="3" s="1"/>
  <c r="G816" i="3"/>
  <c r="F816" i="3"/>
  <c r="E816" i="3"/>
  <c r="I816" i="3" s="1"/>
  <c r="D816" i="3"/>
  <c r="J816" i="3" s="1"/>
  <c r="C816" i="3"/>
  <c r="B816" i="3"/>
  <c r="A816" i="3"/>
  <c r="L815" i="3"/>
  <c r="H815" i="3"/>
  <c r="K815" i="3" s="1"/>
  <c r="G815" i="3"/>
  <c r="F815" i="3"/>
  <c r="E815" i="3"/>
  <c r="D815" i="3"/>
  <c r="J815" i="3" s="1"/>
  <c r="C815" i="3"/>
  <c r="B815" i="3"/>
  <c r="A815" i="3"/>
  <c r="L814" i="3"/>
  <c r="H814" i="3"/>
  <c r="K814" i="3" s="1"/>
  <c r="G814" i="3"/>
  <c r="F814" i="3"/>
  <c r="E814" i="3"/>
  <c r="I814" i="3" s="1"/>
  <c r="D814" i="3"/>
  <c r="J814" i="3" s="1"/>
  <c r="C814" i="3"/>
  <c r="B814" i="3"/>
  <c r="A814" i="3"/>
  <c r="L813" i="3"/>
  <c r="H813" i="3"/>
  <c r="K813" i="3" s="1"/>
  <c r="G813" i="3"/>
  <c r="F813" i="3"/>
  <c r="E813" i="3"/>
  <c r="D813" i="3"/>
  <c r="J813" i="3" s="1"/>
  <c r="C813" i="3"/>
  <c r="B813" i="3"/>
  <c r="A813" i="3"/>
  <c r="L812" i="3"/>
  <c r="H812" i="3"/>
  <c r="K812" i="3" s="1"/>
  <c r="G812" i="3"/>
  <c r="F812" i="3"/>
  <c r="E812" i="3"/>
  <c r="I812" i="3" s="1"/>
  <c r="D812" i="3"/>
  <c r="J812" i="3" s="1"/>
  <c r="C812" i="3"/>
  <c r="B812" i="3"/>
  <c r="A812" i="3"/>
  <c r="L811" i="3"/>
  <c r="H811" i="3"/>
  <c r="K811" i="3" s="1"/>
  <c r="G811" i="3"/>
  <c r="F811" i="3"/>
  <c r="E811" i="3"/>
  <c r="D811" i="3"/>
  <c r="J811" i="3" s="1"/>
  <c r="C811" i="3"/>
  <c r="B811" i="3"/>
  <c r="A811" i="3"/>
  <c r="L810" i="3"/>
  <c r="H810" i="3"/>
  <c r="K810" i="3" s="1"/>
  <c r="G810" i="3"/>
  <c r="F810" i="3"/>
  <c r="E810" i="3"/>
  <c r="I810" i="3" s="1"/>
  <c r="D810" i="3"/>
  <c r="J810" i="3" s="1"/>
  <c r="C810" i="3"/>
  <c r="B810" i="3"/>
  <c r="A810" i="3"/>
  <c r="L809" i="3"/>
  <c r="H809" i="3"/>
  <c r="K809" i="3" s="1"/>
  <c r="G809" i="3"/>
  <c r="F809" i="3"/>
  <c r="E809" i="3"/>
  <c r="D809" i="3"/>
  <c r="J809" i="3" s="1"/>
  <c r="C809" i="3"/>
  <c r="B809" i="3"/>
  <c r="A809" i="3"/>
  <c r="L808" i="3"/>
  <c r="H808" i="3"/>
  <c r="K808" i="3" s="1"/>
  <c r="G808" i="3"/>
  <c r="F808" i="3"/>
  <c r="E808" i="3"/>
  <c r="I808" i="3" s="1"/>
  <c r="D808" i="3"/>
  <c r="J808" i="3" s="1"/>
  <c r="C808" i="3"/>
  <c r="B808" i="3"/>
  <c r="A808" i="3"/>
  <c r="L807" i="3"/>
  <c r="H807" i="3"/>
  <c r="K807" i="3" s="1"/>
  <c r="G807" i="3"/>
  <c r="F807" i="3"/>
  <c r="E807" i="3"/>
  <c r="D807" i="3"/>
  <c r="J807" i="3" s="1"/>
  <c r="C807" i="3"/>
  <c r="B807" i="3"/>
  <c r="A807" i="3"/>
  <c r="L806" i="3"/>
  <c r="H806" i="3"/>
  <c r="K806" i="3" s="1"/>
  <c r="G806" i="3"/>
  <c r="F806" i="3"/>
  <c r="E806" i="3"/>
  <c r="I806" i="3" s="1"/>
  <c r="D806" i="3"/>
  <c r="J806" i="3" s="1"/>
  <c r="C806" i="3"/>
  <c r="B806" i="3"/>
  <c r="A806" i="3"/>
  <c r="L805" i="3"/>
  <c r="H805" i="3"/>
  <c r="K805" i="3" s="1"/>
  <c r="G805" i="3"/>
  <c r="F805" i="3"/>
  <c r="E805" i="3"/>
  <c r="D805" i="3"/>
  <c r="J805" i="3" s="1"/>
  <c r="C805" i="3"/>
  <c r="B805" i="3"/>
  <c r="A805" i="3"/>
  <c r="L804" i="3"/>
  <c r="H804" i="3"/>
  <c r="K804" i="3" s="1"/>
  <c r="G804" i="3"/>
  <c r="F804" i="3"/>
  <c r="E804" i="3"/>
  <c r="I804" i="3" s="1"/>
  <c r="D804" i="3"/>
  <c r="J804" i="3" s="1"/>
  <c r="C804" i="3"/>
  <c r="B804" i="3"/>
  <c r="A804" i="3"/>
  <c r="L803" i="3"/>
  <c r="H803" i="3"/>
  <c r="K803" i="3" s="1"/>
  <c r="G803" i="3"/>
  <c r="F803" i="3"/>
  <c r="E803" i="3"/>
  <c r="D803" i="3"/>
  <c r="J803" i="3" s="1"/>
  <c r="C803" i="3"/>
  <c r="B803" i="3"/>
  <c r="A803" i="3"/>
  <c r="L802" i="3"/>
  <c r="H802" i="3"/>
  <c r="K802" i="3" s="1"/>
  <c r="G802" i="3"/>
  <c r="F802" i="3"/>
  <c r="E802" i="3"/>
  <c r="I802" i="3" s="1"/>
  <c r="D802" i="3"/>
  <c r="J802" i="3" s="1"/>
  <c r="C802" i="3"/>
  <c r="B802" i="3"/>
  <c r="A802" i="3"/>
  <c r="L801" i="3"/>
  <c r="H801" i="3"/>
  <c r="K801" i="3" s="1"/>
  <c r="G801" i="3"/>
  <c r="F801" i="3"/>
  <c r="E801" i="3"/>
  <c r="D801" i="3"/>
  <c r="J801" i="3" s="1"/>
  <c r="C801" i="3"/>
  <c r="B801" i="3"/>
  <c r="A801" i="3"/>
  <c r="L800" i="3"/>
  <c r="H800" i="3"/>
  <c r="K800" i="3" s="1"/>
  <c r="G800" i="3"/>
  <c r="F800" i="3"/>
  <c r="E800" i="3"/>
  <c r="I800" i="3" s="1"/>
  <c r="D800" i="3"/>
  <c r="J800" i="3" s="1"/>
  <c r="C800" i="3"/>
  <c r="B800" i="3"/>
  <c r="A800" i="3"/>
  <c r="L799" i="3"/>
  <c r="H799" i="3"/>
  <c r="K799" i="3" s="1"/>
  <c r="G799" i="3"/>
  <c r="F799" i="3"/>
  <c r="E799" i="3"/>
  <c r="D799" i="3"/>
  <c r="J799" i="3" s="1"/>
  <c r="C799" i="3"/>
  <c r="B799" i="3"/>
  <c r="A799" i="3"/>
  <c r="L798" i="3"/>
  <c r="H798" i="3"/>
  <c r="K798" i="3" s="1"/>
  <c r="G798" i="3"/>
  <c r="F798" i="3"/>
  <c r="E798" i="3"/>
  <c r="I798" i="3" s="1"/>
  <c r="D798" i="3"/>
  <c r="J798" i="3" s="1"/>
  <c r="C798" i="3"/>
  <c r="B798" i="3"/>
  <c r="A798" i="3"/>
  <c r="L797" i="3"/>
  <c r="H797" i="3"/>
  <c r="K797" i="3" s="1"/>
  <c r="G797" i="3"/>
  <c r="F797" i="3"/>
  <c r="E797" i="3"/>
  <c r="D797" i="3"/>
  <c r="J797" i="3" s="1"/>
  <c r="C797" i="3"/>
  <c r="B797" i="3"/>
  <c r="A797" i="3"/>
  <c r="L796" i="3"/>
  <c r="H796" i="3"/>
  <c r="K796" i="3" s="1"/>
  <c r="G796" i="3"/>
  <c r="F796" i="3"/>
  <c r="E796" i="3"/>
  <c r="I796" i="3" s="1"/>
  <c r="D796" i="3"/>
  <c r="J796" i="3" s="1"/>
  <c r="C796" i="3"/>
  <c r="B796" i="3"/>
  <c r="A796" i="3"/>
  <c r="L795" i="3"/>
  <c r="H795" i="3"/>
  <c r="K795" i="3" s="1"/>
  <c r="G795" i="3"/>
  <c r="F795" i="3"/>
  <c r="E795" i="3"/>
  <c r="D795" i="3"/>
  <c r="J795" i="3" s="1"/>
  <c r="C795" i="3"/>
  <c r="B795" i="3"/>
  <c r="A795" i="3"/>
  <c r="L794" i="3"/>
  <c r="H794" i="3"/>
  <c r="K794" i="3" s="1"/>
  <c r="G794" i="3"/>
  <c r="F794" i="3"/>
  <c r="E794" i="3"/>
  <c r="I794" i="3" s="1"/>
  <c r="D794" i="3"/>
  <c r="J794" i="3" s="1"/>
  <c r="C794" i="3"/>
  <c r="B794" i="3"/>
  <c r="A794" i="3"/>
  <c r="L793" i="3"/>
  <c r="H793" i="3"/>
  <c r="K793" i="3" s="1"/>
  <c r="G793" i="3"/>
  <c r="F793" i="3"/>
  <c r="E793" i="3"/>
  <c r="D793" i="3"/>
  <c r="J793" i="3" s="1"/>
  <c r="C793" i="3"/>
  <c r="B793" i="3"/>
  <c r="A793" i="3"/>
  <c r="L792" i="3"/>
  <c r="H792" i="3"/>
  <c r="K792" i="3" s="1"/>
  <c r="G792" i="3"/>
  <c r="F792" i="3"/>
  <c r="E792" i="3"/>
  <c r="I792" i="3" s="1"/>
  <c r="D792" i="3"/>
  <c r="J792" i="3" s="1"/>
  <c r="C792" i="3"/>
  <c r="B792" i="3"/>
  <c r="A792" i="3"/>
  <c r="L791" i="3"/>
  <c r="H791" i="3"/>
  <c r="K791" i="3" s="1"/>
  <c r="G791" i="3"/>
  <c r="F791" i="3"/>
  <c r="E791" i="3"/>
  <c r="D791" i="3"/>
  <c r="J791" i="3" s="1"/>
  <c r="C791" i="3"/>
  <c r="B791" i="3"/>
  <c r="A791" i="3"/>
  <c r="L790" i="3"/>
  <c r="H790" i="3"/>
  <c r="K790" i="3" s="1"/>
  <c r="G790" i="3"/>
  <c r="F790" i="3"/>
  <c r="E790" i="3"/>
  <c r="I790" i="3" s="1"/>
  <c r="D790" i="3"/>
  <c r="J790" i="3" s="1"/>
  <c r="C790" i="3"/>
  <c r="B790" i="3"/>
  <c r="A790" i="3"/>
  <c r="J789" i="3"/>
  <c r="H789" i="3"/>
  <c r="K789" i="3" s="1"/>
  <c r="G789" i="3"/>
  <c r="F789" i="3"/>
  <c r="L789" i="3" s="1"/>
  <c r="E789" i="3"/>
  <c r="I789" i="3" s="1"/>
  <c r="D789" i="3"/>
  <c r="C789" i="3"/>
  <c r="B789" i="3"/>
  <c r="A789" i="3"/>
  <c r="J788" i="3"/>
  <c r="H788" i="3"/>
  <c r="K788" i="3" s="1"/>
  <c r="G788" i="3"/>
  <c r="F788" i="3"/>
  <c r="L788" i="3" s="1"/>
  <c r="E788" i="3"/>
  <c r="I788" i="3" s="1"/>
  <c r="D788" i="3"/>
  <c r="C788" i="3"/>
  <c r="B788" i="3"/>
  <c r="A788" i="3"/>
  <c r="J787" i="3"/>
  <c r="H787" i="3"/>
  <c r="K787" i="3" s="1"/>
  <c r="G787" i="3"/>
  <c r="F787" i="3"/>
  <c r="L787" i="3" s="1"/>
  <c r="E787" i="3"/>
  <c r="I787" i="3" s="1"/>
  <c r="D787" i="3"/>
  <c r="C787" i="3"/>
  <c r="B787" i="3"/>
  <c r="A787" i="3"/>
  <c r="J786" i="3"/>
  <c r="H786" i="3"/>
  <c r="K786" i="3" s="1"/>
  <c r="G786" i="3"/>
  <c r="F786" i="3"/>
  <c r="L786" i="3" s="1"/>
  <c r="E786" i="3"/>
  <c r="I786" i="3" s="1"/>
  <c r="D786" i="3"/>
  <c r="C786" i="3"/>
  <c r="B786" i="3"/>
  <c r="A786" i="3"/>
  <c r="H785" i="3"/>
  <c r="K785" i="3" s="1"/>
  <c r="G785" i="3"/>
  <c r="F785" i="3"/>
  <c r="L785" i="3" s="1"/>
  <c r="E785" i="3"/>
  <c r="D785" i="3"/>
  <c r="J785" i="3" s="1"/>
  <c r="C785" i="3"/>
  <c r="B785" i="3"/>
  <c r="A785" i="3"/>
  <c r="J784" i="3"/>
  <c r="H784" i="3"/>
  <c r="K784" i="3" s="1"/>
  <c r="G784" i="3"/>
  <c r="F784" i="3"/>
  <c r="L784" i="3" s="1"/>
  <c r="E784" i="3"/>
  <c r="I784" i="3" s="1"/>
  <c r="D784" i="3"/>
  <c r="C784" i="3"/>
  <c r="B784" i="3"/>
  <c r="A784" i="3"/>
  <c r="H783" i="3"/>
  <c r="K783" i="3" s="1"/>
  <c r="G783" i="3"/>
  <c r="F783" i="3"/>
  <c r="L783" i="3" s="1"/>
  <c r="E783" i="3"/>
  <c r="D783" i="3"/>
  <c r="J783" i="3" s="1"/>
  <c r="C783" i="3"/>
  <c r="B783" i="3"/>
  <c r="A783" i="3"/>
  <c r="J782" i="3"/>
  <c r="H782" i="3"/>
  <c r="K782" i="3" s="1"/>
  <c r="G782" i="3"/>
  <c r="F782" i="3"/>
  <c r="L782" i="3" s="1"/>
  <c r="E782" i="3"/>
  <c r="I782" i="3" s="1"/>
  <c r="D782" i="3"/>
  <c r="C782" i="3"/>
  <c r="B782" i="3"/>
  <c r="A782" i="3"/>
  <c r="H781" i="3"/>
  <c r="K781" i="3" s="1"/>
  <c r="G781" i="3"/>
  <c r="F781" i="3"/>
  <c r="L781" i="3" s="1"/>
  <c r="E781" i="3"/>
  <c r="D781" i="3"/>
  <c r="J781" i="3" s="1"/>
  <c r="C781" i="3"/>
  <c r="B781" i="3"/>
  <c r="A781" i="3"/>
  <c r="J780" i="3"/>
  <c r="H780" i="3"/>
  <c r="K780" i="3" s="1"/>
  <c r="G780" i="3"/>
  <c r="F780" i="3"/>
  <c r="L780" i="3" s="1"/>
  <c r="E780" i="3"/>
  <c r="I780" i="3" s="1"/>
  <c r="D780" i="3"/>
  <c r="C780" i="3"/>
  <c r="B780" i="3"/>
  <c r="A780" i="3"/>
  <c r="H779" i="3"/>
  <c r="K779" i="3" s="1"/>
  <c r="G779" i="3"/>
  <c r="F779" i="3"/>
  <c r="L779" i="3" s="1"/>
  <c r="E779" i="3"/>
  <c r="D779" i="3"/>
  <c r="J779" i="3" s="1"/>
  <c r="C779" i="3"/>
  <c r="B779" i="3"/>
  <c r="A779" i="3"/>
  <c r="J778" i="3"/>
  <c r="H778" i="3"/>
  <c r="K778" i="3" s="1"/>
  <c r="G778" i="3"/>
  <c r="F778" i="3"/>
  <c r="L778" i="3" s="1"/>
  <c r="E778" i="3"/>
  <c r="I778" i="3" s="1"/>
  <c r="D778" i="3"/>
  <c r="C778" i="3"/>
  <c r="B778" i="3"/>
  <c r="A778" i="3"/>
  <c r="H777" i="3"/>
  <c r="K777" i="3" s="1"/>
  <c r="G777" i="3"/>
  <c r="F777" i="3"/>
  <c r="L777" i="3" s="1"/>
  <c r="E777" i="3"/>
  <c r="D777" i="3"/>
  <c r="J777" i="3" s="1"/>
  <c r="C777" i="3"/>
  <c r="B777" i="3"/>
  <c r="A777" i="3"/>
  <c r="J776" i="3"/>
  <c r="H776" i="3"/>
  <c r="K776" i="3" s="1"/>
  <c r="G776" i="3"/>
  <c r="F776" i="3"/>
  <c r="L776" i="3" s="1"/>
  <c r="E776" i="3"/>
  <c r="I776" i="3" s="1"/>
  <c r="D776" i="3"/>
  <c r="C776" i="3"/>
  <c r="B776" i="3"/>
  <c r="A776" i="3"/>
  <c r="H775" i="3"/>
  <c r="K775" i="3" s="1"/>
  <c r="G775" i="3"/>
  <c r="F775" i="3"/>
  <c r="L775" i="3" s="1"/>
  <c r="E775" i="3"/>
  <c r="D775" i="3"/>
  <c r="J775" i="3" s="1"/>
  <c r="C775" i="3"/>
  <c r="B775" i="3"/>
  <c r="A775" i="3"/>
  <c r="J774" i="3"/>
  <c r="H774" i="3"/>
  <c r="K774" i="3" s="1"/>
  <c r="G774" i="3"/>
  <c r="F774" i="3"/>
  <c r="L774" i="3" s="1"/>
  <c r="E774" i="3"/>
  <c r="I774" i="3" s="1"/>
  <c r="D774" i="3"/>
  <c r="C774" i="3"/>
  <c r="B774" i="3"/>
  <c r="A774" i="3"/>
  <c r="H773" i="3"/>
  <c r="K773" i="3" s="1"/>
  <c r="G773" i="3"/>
  <c r="F773" i="3"/>
  <c r="L773" i="3" s="1"/>
  <c r="E773" i="3"/>
  <c r="D773" i="3"/>
  <c r="J773" i="3" s="1"/>
  <c r="C773" i="3"/>
  <c r="B773" i="3"/>
  <c r="A773" i="3"/>
  <c r="H772" i="3"/>
  <c r="K772" i="3" s="1"/>
  <c r="G772" i="3"/>
  <c r="F772" i="3"/>
  <c r="L772" i="3" s="1"/>
  <c r="E772" i="3"/>
  <c r="D772" i="3"/>
  <c r="J772" i="3" s="1"/>
  <c r="C772" i="3"/>
  <c r="B772" i="3"/>
  <c r="A772" i="3"/>
  <c r="H771" i="3"/>
  <c r="K771" i="3" s="1"/>
  <c r="G771" i="3"/>
  <c r="F771" i="3"/>
  <c r="L771" i="3" s="1"/>
  <c r="E771" i="3"/>
  <c r="D771" i="3"/>
  <c r="J771" i="3" s="1"/>
  <c r="C771" i="3"/>
  <c r="B771" i="3"/>
  <c r="A771" i="3"/>
  <c r="H770" i="3"/>
  <c r="K770" i="3" s="1"/>
  <c r="G770" i="3"/>
  <c r="F770" i="3"/>
  <c r="L770" i="3" s="1"/>
  <c r="E770" i="3"/>
  <c r="D770" i="3"/>
  <c r="J770" i="3" s="1"/>
  <c r="C770" i="3"/>
  <c r="B770" i="3"/>
  <c r="A770" i="3"/>
  <c r="H769" i="3"/>
  <c r="K769" i="3" s="1"/>
  <c r="G769" i="3"/>
  <c r="F769" i="3"/>
  <c r="L769" i="3" s="1"/>
  <c r="E769" i="3"/>
  <c r="D769" i="3"/>
  <c r="J769" i="3" s="1"/>
  <c r="C769" i="3"/>
  <c r="B769" i="3"/>
  <c r="A769" i="3"/>
  <c r="H768" i="3"/>
  <c r="K768" i="3" s="1"/>
  <c r="G768" i="3"/>
  <c r="F768" i="3"/>
  <c r="L768" i="3" s="1"/>
  <c r="E768" i="3"/>
  <c r="D768" i="3"/>
  <c r="J768" i="3" s="1"/>
  <c r="C768" i="3"/>
  <c r="B768" i="3"/>
  <c r="A768" i="3"/>
  <c r="L767" i="3"/>
  <c r="H767" i="3"/>
  <c r="K767" i="3" s="1"/>
  <c r="G767" i="3"/>
  <c r="F767" i="3"/>
  <c r="E767" i="3"/>
  <c r="I767" i="3" s="1"/>
  <c r="D767" i="3"/>
  <c r="J767" i="3" s="1"/>
  <c r="C767" i="3"/>
  <c r="B767" i="3"/>
  <c r="A767" i="3"/>
  <c r="L766" i="3"/>
  <c r="K766" i="3"/>
  <c r="H766" i="3"/>
  <c r="G766" i="3"/>
  <c r="F766" i="3"/>
  <c r="E766" i="3"/>
  <c r="I766" i="3" s="1"/>
  <c r="D766" i="3"/>
  <c r="J766" i="3" s="1"/>
  <c r="C766" i="3"/>
  <c r="B766" i="3"/>
  <c r="A766" i="3"/>
  <c r="L765" i="3"/>
  <c r="K765" i="3"/>
  <c r="H765" i="3"/>
  <c r="G765" i="3"/>
  <c r="F765" i="3"/>
  <c r="E765" i="3"/>
  <c r="I765" i="3" s="1"/>
  <c r="D765" i="3"/>
  <c r="J765" i="3" s="1"/>
  <c r="C765" i="3"/>
  <c r="B765" i="3"/>
  <c r="A765" i="3"/>
  <c r="L764" i="3"/>
  <c r="K764" i="3"/>
  <c r="H764" i="3"/>
  <c r="G764" i="3"/>
  <c r="F764" i="3"/>
  <c r="E764" i="3"/>
  <c r="I764" i="3" s="1"/>
  <c r="D764" i="3"/>
  <c r="J764" i="3" s="1"/>
  <c r="C764" i="3"/>
  <c r="B764" i="3"/>
  <c r="A764" i="3"/>
  <c r="L763" i="3"/>
  <c r="K763" i="3"/>
  <c r="H763" i="3"/>
  <c r="G763" i="3"/>
  <c r="F763" i="3"/>
  <c r="E763" i="3"/>
  <c r="I763" i="3" s="1"/>
  <c r="D763" i="3"/>
  <c r="J763" i="3" s="1"/>
  <c r="C763" i="3"/>
  <c r="B763" i="3"/>
  <c r="A763" i="3"/>
  <c r="L762" i="3"/>
  <c r="K762" i="3"/>
  <c r="H762" i="3"/>
  <c r="G762" i="3"/>
  <c r="F762" i="3"/>
  <c r="E762" i="3"/>
  <c r="I762" i="3" s="1"/>
  <c r="D762" i="3"/>
  <c r="J762" i="3" s="1"/>
  <c r="C762" i="3"/>
  <c r="B762" i="3"/>
  <c r="A762" i="3"/>
  <c r="L761" i="3"/>
  <c r="K761" i="3"/>
  <c r="H761" i="3"/>
  <c r="G761" i="3"/>
  <c r="F761" i="3"/>
  <c r="E761" i="3"/>
  <c r="I761" i="3" s="1"/>
  <c r="D761" i="3"/>
  <c r="J761" i="3" s="1"/>
  <c r="C761" i="3"/>
  <c r="B761" i="3"/>
  <c r="A761" i="3"/>
  <c r="L760" i="3"/>
  <c r="K760" i="3"/>
  <c r="H760" i="3"/>
  <c r="G760" i="3"/>
  <c r="F760" i="3"/>
  <c r="E760" i="3"/>
  <c r="I760" i="3" s="1"/>
  <c r="D760" i="3"/>
  <c r="J760" i="3" s="1"/>
  <c r="C760" i="3"/>
  <c r="B760" i="3"/>
  <c r="A760" i="3"/>
  <c r="L759" i="3"/>
  <c r="K759" i="3"/>
  <c r="H759" i="3"/>
  <c r="G759" i="3"/>
  <c r="F759" i="3"/>
  <c r="E759" i="3"/>
  <c r="I759" i="3" s="1"/>
  <c r="D759" i="3"/>
  <c r="J759" i="3" s="1"/>
  <c r="C759" i="3"/>
  <c r="B759" i="3"/>
  <c r="A759" i="3"/>
  <c r="L758" i="3"/>
  <c r="K758" i="3"/>
  <c r="H758" i="3"/>
  <c r="G758" i="3"/>
  <c r="F758" i="3"/>
  <c r="E758" i="3"/>
  <c r="I758" i="3" s="1"/>
  <c r="D758" i="3"/>
  <c r="J758" i="3" s="1"/>
  <c r="C758" i="3"/>
  <c r="B758" i="3"/>
  <c r="A758" i="3"/>
  <c r="L757" i="3"/>
  <c r="K757" i="3"/>
  <c r="H757" i="3"/>
  <c r="G757" i="3"/>
  <c r="F757" i="3"/>
  <c r="E757" i="3"/>
  <c r="I757" i="3" s="1"/>
  <c r="D757" i="3"/>
  <c r="J757" i="3" s="1"/>
  <c r="C757" i="3"/>
  <c r="B757" i="3"/>
  <c r="A757" i="3"/>
  <c r="L756" i="3"/>
  <c r="K756" i="3"/>
  <c r="H756" i="3"/>
  <c r="G756" i="3"/>
  <c r="F756" i="3"/>
  <c r="E756" i="3"/>
  <c r="I756" i="3" s="1"/>
  <c r="D756" i="3"/>
  <c r="J756" i="3" s="1"/>
  <c r="C756" i="3"/>
  <c r="B756" i="3"/>
  <c r="A756" i="3"/>
  <c r="L755" i="3"/>
  <c r="K755" i="3"/>
  <c r="H755" i="3"/>
  <c r="G755" i="3"/>
  <c r="F755" i="3"/>
  <c r="E755" i="3"/>
  <c r="I755" i="3" s="1"/>
  <c r="D755" i="3"/>
  <c r="J755" i="3" s="1"/>
  <c r="C755" i="3"/>
  <c r="B755" i="3"/>
  <c r="A755" i="3"/>
  <c r="L754" i="3"/>
  <c r="K754" i="3"/>
  <c r="H754" i="3"/>
  <c r="G754" i="3"/>
  <c r="F754" i="3"/>
  <c r="E754" i="3"/>
  <c r="I754" i="3" s="1"/>
  <c r="D754" i="3"/>
  <c r="J754" i="3" s="1"/>
  <c r="C754" i="3"/>
  <c r="B754" i="3"/>
  <c r="A754" i="3"/>
  <c r="L753" i="3"/>
  <c r="K753" i="3"/>
  <c r="H753" i="3"/>
  <c r="G753" i="3"/>
  <c r="F753" i="3"/>
  <c r="E753" i="3"/>
  <c r="I753" i="3" s="1"/>
  <c r="D753" i="3"/>
  <c r="J753" i="3" s="1"/>
  <c r="C753" i="3"/>
  <c r="B753" i="3"/>
  <c r="A753" i="3"/>
  <c r="L752" i="3"/>
  <c r="K752" i="3"/>
  <c r="H752" i="3"/>
  <c r="G752" i="3"/>
  <c r="F752" i="3"/>
  <c r="E752" i="3"/>
  <c r="I752" i="3" s="1"/>
  <c r="D752" i="3"/>
  <c r="J752" i="3" s="1"/>
  <c r="C752" i="3"/>
  <c r="B752" i="3"/>
  <c r="A752" i="3"/>
  <c r="L751" i="3"/>
  <c r="K751" i="3"/>
  <c r="H751" i="3"/>
  <c r="G751" i="3"/>
  <c r="F751" i="3"/>
  <c r="E751" i="3"/>
  <c r="I751" i="3" s="1"/>
  <c r="D751" i="3"/>
  <c r="J751" i="3" s="1"/>
  <c r="C751" i="3"/>
  <c r="B751" i="3"/>
  <c r="A751" i="3"/>
  <c r="L750" i="3"/>
  <c r="K750" i="3"/>
  <c r="H750" i="3"/>
  <c r="G750" i="3"/>
  <c r="F750" i="3"/>
  <c r="E750" i="3"/>
  <c r="I750" i="3" s="1"/>
  <c r="D750" i="3"/>
  <c r="J750" i="3" s="1"/>
  <c r="C750" i="3"/>
  <c r="B750" i="3"/>
  <c r="A750" i="3"/>
  <c r="L749" i="3"/>
  <c r="K749" i="3"/>
  <c r="H749" i="3"/>
  <c r="G749" i="3"/>
  <c r="F749" i="3"/>
  <c r="E749" i="3"/>
  <c r="I749" i="3" s="1"/>
  <c r="D749" i="3"/>
  <c r="J749" i="3" s="1"/>
  <c r="C749" i="3"/>
  <c r="B749" i="3"/>
  <c r="A749" i="3"/>
  <c r="L748" i="3"/>
  <c r="K748" i="3"/>
  <c r="H748" i="3"/>
  <c r="G748" i="3"/>
  <c r="F748" i="3"/>
  <c r="E748" i="3"/>
  <c r="I748" i="3" s="1"/>
  <c r="D748" i="3"/>
  <c r="J748" i="3" s="1"/>
  <c r="C748" i="3"/>
  <c r="B748" i="3"/>
  <c r="A748" i="3"/>
  <c r="L747" i="3"/>
  <c r="K747" i="3"/>
  <c r="H747" i="3"/>
  <c r="G747" i="3"/>
  <c r="F747" i="3"/>
  <c r="E747" i="3"/>
  <c r="I747" i="3" s="1"/>
  <c r="D747" i="3"/>
  <c r="J747" i="3" s="1"/>
  <c r="C747" i="3"/>
  <c r="B747" i="3"/>
  <c r="A747" i="3"/>
  <c r="L746" i="3"/>
  <c r="K746" i="3"/>
  <c r="H746" i="3"/>
  <c r="G746" i="3"/>
  <c r="F746" i="3"/>
  <c r="E746" i="3"/>
  <c r="I746" i="3" s="1"/>
  <c r="D746" i="3"/>
  <c r="J746" i="3" s="1"/>
  <c r="C746" i="3"/>
  <c r="B746" i="3"/>
  <c r="A746" i="3"/>
  <c r="L745" i="3"/>
  <c r="K745" i="3"/>
  <c r="H745" i="3"/>
  <c r="G745" i="3"/>
  <c r="F745" i="3"/>
  <c r="E745" i="3"/>
  <c r="I745" i="3" s="1"/>
  <c r="D745" i="3"/>
  <c r="J745" i="3" s="1"/>
  <c r="C745" i="3"/>
  <c r="B745" i="3"/>
  <c r="A745" i="3"/>
  <c r="L744" i="3"/>
  <c r="K744" i="3"/>
  <c r="H744" i="3"/>
  <c r="G744" i="3"/>
  <c r="F744" i="3"/>
  <c r="E744" i="3"/>
  <c r="I744" i="3" s="1"/>
  <c r="D744" i="3"/>
  <c r="J744" i="3" s="1"/>
  <c r="C744" i="3"/>
  <c r="B744" i="3"/>
  <c r="A744" i="3"/>
  <c r="L743" i="3"/>
  <c r="K743" i="3"/>
  <c r="H743" i="3"/>
  <c r="G743" i="3"/>
  <c r="F743" i="3"/>
  <c r="E743" i="3"/>
  <c r="I743" i="3" s="1"/>
  <c r="D743" i="3"/>
  <c r="J743" i="3" s="1"/>
  <c r="C743" i="3"/>
  <c r="B743" i="3"/>
  <c r="A743" i="3"/>
  <c r="L742" i="3"/>
  <c r="K742" i="3"/>
  <c r="H742" i="3"/>
  <c r="G742" i="3"/>
  <c r="F742" i="3"/>
  <c r="E742" i="3"/>
  <c r="I742" i="3" s="1"/>
  <c r="D742" i="3"/>
  <c r="J742" i="3" s="1"/>
  <c r="C742" i="3"/>
  <c r="B742" i="3"/>
  <c r="A742" i="3"/>
  <c r="L741" i="3"/>
  <c r="K741" i="3"/>
  <c r="H741" i="3"/>
  <c r="G741" i="3"/>
  <c r="F741" i="3"/>
  <c r="E741" i="3"/>
  <c r="I741" i="3" s="1"/>
  <c r="D741" i="3"/>
  <c r="J741" i="3" s="1"/>
  <c r="C741" i="3"/>
  <c r="B741" i="3"/>
  <c r="A741" i="3"/>
  <c r="L740" i="3"/>
  <c r="K740" i="3"/>
  <c r="H740" i="3"/>
  <c r="G740" i="3"/>
  <c r="F740" i="3"/>
  <c r="E740" i="3"/>
  <c r="I740" i="3" s="1"/>
  <c r="D740" i="3"/>
  <c r="J740" i="3" s="1"/>
  <c r="C740" i="3"/>
  <c r="B740" i="3"/>
  <c r="A740" i="3"/>
  <c r="L739" i="3"/>
  <c r="K739" i="3"/>
  <c r="H739" i="3"/>
  <c r="G739" i="3"/>
  <c r="F739" i="3"/>
  <c r="E739" i="3"/>
  <c r="I739" i="3" s="1"/>
  <c r="D739" i="3"/>
  <c r="J739" i="3" s="1"/>
  <c r="C739" i="3"/>
  <c r="B739" i="3"/>
  <c r="A739" i="3"/>
  <c r="L738" i="3"/>
  <c r="K738" i="3"/>
  <c r="H738" i="3"/>
  <c r="G738" i="3"/>
  <c r="F738" i="3"/>
  <c r="E738" i="3"/>
  <c r="I738" i="3" s="1"/>
  <c r="D738" i="3"/>
  <c r="J738" i="3" s="1"/>
  <c r="C738" i="3"/>
  <c r="B738" i="3"/>
  <c r="A738" i="3"/>
  <c r="L737" i="3"/>
  <c r="K737" i="3"/>
  <c r="H737" i="3"/>
  <c r="G737" i="3"/>
  <c r="F737" i="3"/>
  <c r="E737" i="3"/>
  <c r="I737" i="3" s="1"/>
  <c r="D737" i="3"/>
  <c r="J737" i="3" s="1"/>
  <c r="C737" i="3"/>
  <c r="B737" i="3"/>
  <c r="A737" i="3"/>
  <c r="L736" i="3"/>
  <c r="H736" i="3"/>
  <c r="K736" i="3" s="1"/>
  <c r="G736" i="3"/>
  <c r="F736" i="3"/>
  <c r="E736" i="3"/>
  <c r="I736" i="3" s="1"/>
  <c r="D736" i="3"/>
  <c r="J736" i="3" s="1"/>
  <c r="C736" i="3"/>
  <c r="B736" i="3"/>
  <c r="A736" i="3"/>
  <c r="L735" i="3"/>
  <c r="H735" i="3"/>
  <c r="K735" i="3" s="1"/>
  <c r="G735" i="3"/>
  <c r="F735" i="3"/>
  <c r="E735" i="3"/>
  <c r="I735" i="3" s="1"/>
  <c r="D735" i="3"/>
  <c r="J735" i="3" s="1"/>
  <c r="C735" i="3"/>
  <c r="B735" i="3"/>
  <c r="A735" i="3"/>
  <c r="L734" i="3"/>
  <c r="H734" i="3"/>
  <c r="K734" i="3" s="1"/>
  <c r="G734" i="3"/>
  <c r="F734" i="3"/>
  <c r="E734" i="3"/>
  <c r="I734" i="3" s="1"/>
  <c r="D734" i="3"/>
  <c r="J734" i="3" s="1"/>
  <c r="C734" i="3"/>
  <c r="B734" i="3"/>
  <c r="A734" i="3"/>
  <c r="L733" i="3"/>
  <c r="H733" i="3"/>
  <c r="K733" i="3" s="1"/>
  <c r="G733" i="3"/>
  <c r="F733" i="3"/>
  <c r="E733" i="3"/>
  <c r="I733" i="3" s="1"/>
  <c r="D733" i="3"/>
  <c r="J733" i="3" s="1"/>
  <c r="C733" i="3"/>
  <c r="B733" i="3"/>
  <c r="A733" i="3"/>
  <c r="L732" i="3"/>
  <c r="H732" i="3"/>
  <c r="K732" i="3" s="1"/>
  <c r="G732" i="3"/>
  <c r="F732" i="3"/>
  <c r="E732" i="3"/>
  <c r="I732" i="3" s="1"/>
  <c r="D732" i="3"/>
  <c r="J732" i="3" s="1"/>
  <c r="C732" i="3"/>
  <c r="B732" i="3"/>
  <c r="A732" i="3"/>
  <c r="L731" i="3"/>
  <c r="H731" i="3"/>
  <c r="K731" i="3" s="1"/>
  <c r="G731" i="3"/>
  <c r="F731" i="3"/>
  <c r="E731" i="3"/>
  <c r="I731" i="3" s="1"/>
  <c r="D731" i="3"/>
  <c r="J731" i="3" s="1"/>
  <c r="C731" i="3"/>
  <c r="B731" i="3"/>
  <c r="A731" i="3"/>
  <c r="L730" i="3"/>
  <c r="H730" i="3"/>
  <c r="K730" i="3" s="1"/>
  <c r="G730" i="3"/>
  <c r="F730" i="3"/>
  <c r="E730" i="3"/>
  <c r="I730" i="3" s="1"/>
  <c r="D730" i="3"/>
  <c r="J730" i="3" s="1"/>
  <c r="C730" i="3"/>
  <c r="B730" i="3"/>
  <c r="A730" i="3"/>
  <c r="L729" i="3"/>
  <c r="H729" i="3"/>
  <c r="K729" i="3" s="1"/>
  <c r="G729" i="3"/>
  <c r="F729" i="3"/>
  <c r="E729" i="3"/>
  <c r="I729" i="3" s="1"/>
  <c r="D729" i="3"/>
  <c r="J729" i="3" s="1"/>
  <c r="C729" i="3"/>
  <c r="B729" i="3"/>
  <c r="A729" i="3"/>
  <c r="L728" i="3"/>
  <c r="H728" i="3"/>
  <c r="K728" i="3" s="1"/>
  <c r="G728" i="3"/>
  <c r="F728" i="3"/>
  <c r="E728" i="3"/>
  <c r="I728" i="3" s="1"/>
  <c r="D728" i="3"/>
  <c r="J728" i="3" s="1"/>
  <c r="C728" i="3"/>
  <c r="B728" i="3"/>
  <c r="A728" i="3"/>
  <c r="L727" i="3"/>
  <c r="H727" i="3"/>
  <c r="K727" i="3" s="1"/>
  <c r="G727" i="3"/>
  <c r="F727" i="3"/>
  <c r="E727" i="3"/>
  <c r="I727" i="3" s="1"/>
  <c r="D727" i="3"/>
  <c r="J727" i="3" s="1"/>
  <c r="C727" i="3"/>
  <c r="B727" i="3"/>
  <c r="A727" i="3"/>
  <c r="L726" i="3"/>
  <c r="H726" i="3"/>
  <c r="K726" i="3" s="1"/>
  <c r="G726" i="3"/>
  <c r="F726" i="3"/>
  <c r="E726" i="3"/>
  <c r="I726" i="3" s="1"/>
  <c r="D726" i="3"/>
  <c r="J726" i="3" s="1"/>
  <c r="C726" i="3"/>
  <c r="B726" i="3"/>
  <c r="A726" i="3"/>
  <c r="L725" i="3"/>
  <c r="H725" i="3"/>
  <c r="K725" i="3" s="1"/>
  <c r="G725" i="3"/>
  <c r="F725" i="3"/>
  <c r="E725" i="3"/>
  <c r="I725" i="3" s="1"/>
  <c r="D725" i="3"/>
  <c r="J725" i="3" s="1"/>
  <c r="C725" i="3"/>
  <c r="B725" i="3"/>
  <c r="A725" i="3"/>
  <c r="L724" i="3"/>
  <c r="H724" i="3"/>
  <c r="K724" i="3" s="1"/>
  <c r="G724" i="3"/>
  <c r="F724" i="3"/>
  <c r="E724" i="3"/>
  <c r="I724" i="3" s="1"/>
  <c r="D724" i="3"/>
  <c r="J724" i="3" s="1"/>
  <c r="C724" i="3"/>
  <c r="B724" i="3"/>
  <c r="A724" i="3"/>
  <c r="L723" i="3"/>
  <c r="H723" i="3"/>
  <c r="K723" i="3" s="1"/>
  <c r="G723" i="3"/>
  <c r="F723" i="3"/>
  <c r="E723" i="3"/>
  <c r="I723" i="3" s="1"/>
  <c r="D723" i="3"/>
  <c r="J723" i="3" s="1"/>
  <c r="C723" i="3"/>
  <c r="B723" i="3"/>
  <c r="A723" i="3"/>
  <c r="L722" i="3"/>
  <c r="H722" i="3"/>
  <c r="K722" i="3" s="1"/>
  <c r="G722" i="3"/>
  <c r="F722" i="3"/>
  <c r="E722" i="3"/>
  <c r="I722" i="3" s="1"/>
  <c r="D722" i="3"/>
  <c r="J722" i="3" s="1"/>
  <c r="C722" i="3"/>
  <c r="B722" i="3"/>
  <c r="A722" i="3"/>
  <c r="L721" i="3"/>
  <c r="H721" i="3"/>
  <c r="K721" i="3" s="1"/>
  <c r="G721" i="3"/>
  <c r="F721" i="3"/>
  <c r="E721" i="3"/>
  <c r="I721" i="3" s="1"/>
  <c r="D721" i="3"/>
  <c r="J721" i="3" s="1"/>
  <c r="C721" i="3"/>
  <c r="B721" i="3"/>
  <c r="A721" i="3"/>
  <c r="L720" i="3"/>
  <c r="H720" i="3"/>
  <c r="K720" i="3" s="1"/>
  <c r="G720" i="3"/>
  <c r="F720" i="3"/>
  <c r="E720" i="3"/>
  <c r="I720" i="3" s="1"/>
  <c r="D720" i="3"/>
  <c r="J720" i="3" s="1"/>
  <c r="C720" i="3"/>
  <c r="B720" i="3"/>
  <c r="A720" i="3"/>
  <c r="L719" i="3"/>
  <c r="H719" i="3"/>
  <c r="K719" i="3" s="1"/>
  <c r="G719" i="3"/>
  <c r="F719" i="3"/>
  <c r="E719" i="3"/>
  <c r="I719" i="3" s="1"/>
  <c r="D719" i="3"/>
  <c r="J719" i="3" s="1"/>
  <c r="C719" i="3"/>
  <c r="B719" i="3"/>
  <c r="A719" i="3"/>
  <c r="L718" i="3"/>
  <c r="H718" i="3"/>
  <c r="K718" i="3" s="1"/>
  <c r="G718" i="3"/>
  <c r="F718" i="3"/>
  <c r="E718" i="3"/>
  <c r="I718" i="3" s="1"/>
  <c r="D718" i="3"/>
  <c r="J718" i="3" s="1"/>
  <c r="C718" i="3"/>
  <c r="B718" i="3"/>
  <c r="A718" i="3"/>
  <c r="L717" i="3"/>
  <c r="H717" i="3"/>
  <c r="K717" i="3" s="1"/>
  <c r="G717" i="3"/>
  <c r="F717" i="3"/>
  <c r="E717" i="3"/>
  <c r="I717" i="3" s="1"/>
  <c r="D717" i="3"/>
  <c r="J717" i="3" s="1"/>
  <c r="C717" i="3"/>
  <c r="B717" i="3"/>
  <c r="A717" i="3"/>
  <c r="L716" i="3"/>
  <c r="H716" i="3"/>
  <c r="K716" i="3" s="1"/>
  <c r="G716" i="3"/>
  <c r="F716" i="3"/>
  <c r="E716" i="3"/>
  <c r="I716" i="3" s="1"/>
  <c r="D716" i="3"/>
  <c r="J716" i="3" s="1"/>
  <c r="C716" i="3"/>
  <c r="B716" i="3"/>
  <c r="A716" i="3"/>
  <c r="L715" i="3"/>
  <c r="H715" i="3"/>
  <c r="K715" i="3" s="1"/>
  <c r="G715" i="3"/>
  <c r="F715" i="3"/>
  <c r="E715" i="3"/>
  <c r="I715" i="3" s="1"/>
  <c r="D715" i="3"/>
  <c r="J715" i="3" s="1"/>
  <c r="C715" i="3"/>
  <c r="B715" i="3"/>
  <c r="A715" i="3"/>
  <c r="L714" i="3"/>
  <c r="H714" i="3"/>
  <c r="K714" i="3" s="1"/>
  <c r="G714" i="3"/>
  <c r="F714" i="3"/>
  <c r="E714" i="3"/>
  <c r="I714" i="3" s="1"/>
  <c r="D714" i="3"/>
  <c r="J714" i="3" s="1"/>
  <c r="C714" i="3"/>
  <c r="B714" i="3"/>
  <c r="A714" i="3"/>
  <c r="L713" i="3"/>
  <c r="H713" i="3"/>
  <c r="K713" i="3" s="1"/>
  <c r="G713" i="3"/>
  <c r="F713" i="3"/>
  <c r="E713" i="3"/>
  <c r="I713" i="3" s="1"/>
  <c r="D713" i="3"/>
  <c r="J713" i="3" s="1"/>
  <c r="C713" i="3"/>
  <c r="B713" i="3"/>
  <c r="A713" i="3"/>
  <c r="L712" i="3"/>
  <c r="H712" i="3"/>
  <c r="K712" i="3" s="1"/>
  <c r="G712" i="3"/>
  <c r="F712" i="3"/>
  <c r="E712" i="3"/>
  <c r="I712" i="3" s="1"/>
  <c r="D712" i="3"/>
  <c r="J712" i="3" s="1"/>
  <c r="C712" i="3"/>
  <c r="B712" i="3"/>
  <c r="A712" i="3"/>
  <c r="L711" i="3"/>
  <c r="H711" i="3"/>
  <c r="K711" i="3" s="1"/>
  <c r="G711" i="3"/>
  <c r="F711" i="3"/>
  <c r="E711" i="3"/>
  <c r="I711" i="3" s="1"/>
  <c r="D711" i="3"/>
  <c r="J711" i="3" s="1"/>
  <c r="C711" i="3"/>
  <c r="B711" i="3"/>
  <c r="A711" i="3"/>
  <c r="L710" i="3"/>
  <c r="H710" i="3"/>
  <c r="K710" i="3" s="1"/>
  <c r="G710" i="3"/>
  <c r="F710" i="3"/>
  <c r="E710" i="3"/>
  <c r="I710" i="3" s="1"/>
  <c r="D710" i="3"/>
  <c r="J710" i="3" s="1"/>
  <c r="C710" i="3"/>
  <c r="B710" i="3"/>
  <c r="A710" i="3"/>
  <c r="L709" i="3"/>
  <c r="H709" i="3"/>
  <c r="K709" i="3" s="1"/>
  <c r="G709" i="3"/>
  <c r="F709" i="3"/>
  <c r="E709" i="3"/>
  <c r="I709" i="3" s="1"/>
  <c r="D709" i="3"/>
  <c r="J709" i="3" s="1"/>
  <c r="C709" i="3"/>
  <c r="B709" i="3"/>
  <c r="A709" i="3"/>
  <c r="L708" i="3"/>
  <c r="H708" i="3"/>
  <c r="K708" i="3" s="1"/>
  <c r="G708" i="3"/>
  <c r="F708" i="3"/>
  <c r="E708" i="3"/>
  <c r="I708" i="3" s="1"/>
  <c r="D708" i="3"/>
  <c r="J708" i="3" s="1"/>
  <c r="C708" i="3"/>
  <c r="B708" i="3"/>
  <c r="A708" i="3"/>
  <c r="L707" i="3"/>
  <c r="H707" i="3"/>
  <c r="K707" i="3" s="1"/>
  <c r="G707" i="3"/>
  <c r="F707" i="3"/>
  <c r="E707" i="3"/>
  <c r="I707" i="3" s="1"/>
  <c r="D707" i="3"/>
  <c r="J707" i="3" s="1"/>
  <c r="C707" i="3"/>
  <c r="B707" i="3"/>
  <c r="A707" i="3"/>
  <c r="L706" i="3"/>
  <c r="H706" i="3"/>
  <c r="K706" i="3" s="1"/>
  <c r="G706" i="3"/>
  <c r="F706" i="3"/>
  <c r="E706" i="3"/>
  <c r="I706" i="3" s="1"/>
  <c r="D706" i="3"/>
  <c r="J706" i="3" s="1"/>
  <c r="C706" i="3"/>
  <c r="B706" i="3"/>
  <c r="A706" i="3"/>
  <c r="L705" i="3"/>
  <c r="H705" i="3"/>
  <c r="K705" i="3" s="1"/>
  <c r="G705" i="3"/>
  <c r="F705" i="3"/>
  <c r="E705" i="3"/>
  <c r="I705" i="3" s="1"/>
  <c r="D705" i="3"/>
  <c r="J705" i="3" s="1"/>
  <c r="C705" i="3"/>
  <c r="B705" i="3"/>
  <c r="A705" i="3"/>
  <c r="L704" i="3"/>
  <c r="H704" i="3"/>
  <c r="K704" i="3" s="1"/>
  <c r="G704" i="3"/>
  <c r="F704" i="3"/>
  <c r="E704" i="3"/>
  <c r="I704" i="3" s="1"/>
  <c r="D704" i="3"/>
  <c r="J704" i="3" s="1"/>
  <c r="C704" i="3"/>
  <c r="B704" i="3"/>
  <c r="A704" i="3"/>
  <c r="L703" i="3"/>
  <c r="H703" i="3"/>
  <c r="K703" i="3" s="1"/>
  <c r="G703" i="3"/>
  <c r="F703" i="3"/>
  <c r="E703" i="3"/>
  <c r="I703" i="3" s="1"/>
  <c r="D703" i="3"/>
  <c r="J703" i="3" s="1"/>
  <c r="C703" i="3"/>
  <c r="B703" i="3"/>
  <c r="A703" i="3"/>
  <c r="L702" i="3"/>
  <c r="H702" i="3"/>
  <c r="K702" i="3" s="1"/>
  <c r="G702" i="3"/>
  <c r="F702" i="3"/>
  <c r="E702" i="3"/>
  <c r="I702" i="3" s="1"/>
  <c r="D702" i="3"/>
  <c r="J702" i="3" s="1"/>
  <c r="C702" i="3"/>
  <c r="B702" i="3"/>
  <c r="A702" i="3"/>
  <c r="L701" i="3"/>
  <c r="H701" i="3"/>
  <c r="K701" i="3" s="1"/>
  <c r="G701" i="3"/>
  <c r="F701" i="3"/>
  <c r="E701" i="3"/>
  <c r="I701" i="3" s="1"/>
  <c r="D701" i="3"/>
  <c r="J701" i="3" s="1"/>
  <c r="C701" i="3"/>
  <c r="B701" i="3"/>
  <c r="A701" i="3"/>
  <c r="L700" i="3"/>
  <c r="H700" i="3"/>
  <c r="K700" i="3" s="1"/>
  <c r="G700" i="3"/>
  <c r="F700" i="3"/>
  <c r="E700" i="3"/>
  <c r="I700" i="3" s="1"/>
  <c r="D700" i="3"/>
  <c r="J700" i="3" s="1"/>
  <c r="C700" i="3"/>
  <c r="B700" i="3"/>
  <c r="A700" i="3"/>
  <c r="L699" i="3"/>
  <c r="H699" i="3"/>
  <c r="K699" i="3" s="1"/>
  <c r="G699" i="3"/>
  <c r="F699" i="3"/>
  <c r="E699" i="3"/>
  <c r="I699" i="3" s="1"/>
  <c r="D699" i="3"/>
  <c r="J699" i="3" s="1"/>
  <c r="C699" i="3"/>
  <c r="B699" i="3"/>
  <c r="A699" i="3"/>
  <c r="L698" i="3"/>
  <c r="H698" i="3"/>
  <c r="K698" i="3" s="1"/>
  <c r="G698" i="3"/>
  <c r="F698" i="3"/>
  <c r="E698" i="3"/>
  <c r="I698" i="3" s="1"/>
  <c r="D698" i="3"/>
  <c r="J698" i="3" s="1"/>
  <c r="C698" i="3"/>
  <c r="B698" i="3"/>
  <c r="A698" i="3"/>
  <c r="L697" i="3"/>
  <c r="H697" i="3"/>
  <c r="K697" i="3" s="1"/>
  <c r="G697" i="3"/>
  <c r="F697" i="3"/>
  <c r="E697" i="3"/>
  <c r="I697" i="3" s="1"/>
  <c r="D697" i="3"/>
  <c r="J697" i="3" s="1"/>
  <c r="C697" i="3"/>
  <c r="B697" i="3"/>
  <c r="A697" i="3"/>
  <c r="L696" i="3"/>
  <c r="H696" i="3"/>
  <c r="K696" i="3" s="1"/>
  <c r="G696" i="3"/>
  <c r="F696" i="3"/>
  <c r="E696" i="3"/>
  <c r="I696" i="3" s="1"/>
  <c r="D696" i="3"/>
  <c r="J696" i="3" s="1"/>
  <c r="C696" i="3"/>
  <c r="B696" i="3"/>
  <c r="A696" i="3"/>
  <c r="L695" i="3"/>
  <c r="H695" i="3"/>
  <c r="K695" i="3" s="1"/>
  <c r="G695" i="3"/>
  <c r="F695" i="3"/>
  <c r="E695" i="3"/>
  <c r="I695" i="3" s="1"/>
  <c r="D695" i="3"/>
  <c r="J695" i="3" s="1"/>
  <c r="C695" i="3"/>
  <c r="B695" i="3"/>
  <c r="A695" i="3"/>
  <c r="L694" i="3"/>
  <c r="H694" i="3"/>
  <c r="K694" i="3" s="1"/>
  <c r="G694" i="3"/>
  <c r="F694" i="3"/>
  <c r="E694" i="3"/>
  <c r="I694" i="3" s="1"/>
  <c r="D694" i="3"/>
  <c r="J694" i="3" s="1"/>
  <c r="C694" i="3"/>
  <c r="B694" i="3"/>
  <c r="A694" i="3"/>
  <c r="L693" i="3"/>
  <c r="H693" i="3"/>
  <c r="K693" i="3" s="1"/>
  <c r="G693" i="3"/>
  <c r="F693" i="3"/>
  <c r="E693" i="3"/>
  <c r="I693" i="3" s="1"/>
  <c r="D693" i="3"/>
  <c r="J693" i="3" s="1"/>
  <c r="C693" i="3"/>
  <c r="B693" i="3"/>
  <c r="A693" i="3"/>
  <c r="L692" i="3"/>
  <c r="H692" i="3"/>
  <c r="K692" i="3" s="1"/>
  <c r="G692" i="3"/>
  <c r="F692" i="3"/>
  <c r="E692" i="3"/>
  <c r="I692" i="3" s="1"/>
  <c r="D692" i="3"/>
  <c r="J692" i="3" s="1"/>
  <c r="C692" i="3"/>
  <c r="B692" i="3"/>
  <c r="A692" i="3"/>
  <c r="L691" i="3"/>
  <c r="H691" i="3"/>
  <c r="K691" i="3" s="1"/>
  <c r="G691" i="3"/>
  <c r="F691" i="3"/>
  <c r="E691" i="3"/>
  <c r="I691" i="3" s="1"/>
  <c r="D691" i="3"/>
  <c r="J691" i="3" s="1"/>
  <c r="C691" i="3"/>
  <c r="B691" i="3"/>
  <c r="A691" i="3"/>
  <c r="L690" i="3"/>
  <c r="H690" i="3"/>
  <c r="K690" i="3" s="1"/>
  <c r="G690" i="3"/>
  <c r="F690" i="3"/>
  <c r="E690" i="3"/>
  <c r="I690" i="3" s="1"/>
  <c r="D690" i="3"/>
  <c r="J690" i="3" s="1"/>
  <c r="C690" i="3"/>
  <c r="B690" i="3"/>
  <c r="A690" i="3"/>
  <c r="L689" i="3"/>
  <c r="H689" i="3"/>
  <c r="K689" i="3" s="1"/>
  <c r="G689" i="3"/>
  <c r="F689" i="3"/>
  <c r="E689" i="3"/>
  <c r="I689" i="3" s="1"/>
  <c r="D689" i="3"/>
  <c r="J689" i="3" s="1"/>
  <c r="C689" i="3"/>
  <c r="B689" i="3"/>
  <c r="A689" i="3"/>
  <c r="L688" i="3"/>
  <c r="H688" i="3"/>
  <c r="K688" i="3" s="1"/>
  <c r="G688" i="3"/>
  <c r="F688" i="3"/>
  <c r="E688" i="3"/>
  <c r="I688" i="3" s="1"/>
  <c r="D688" i="3"/>
  <c r="J688" i="3" s="1"/>
  <c r="C688" i="3"/>
  <c r="B688" i="3"/>
  <c r="A688" i="3"/>
  <c r="L687" i="3"/>
  <c r="H687" i="3"/>
  <c r="K687" i="3" s="1"/>
  <c r="G687" i="3"/>
  <c r="F687" i="3"/>
  <c r="E687" i="3"/>
  <c r="I687" i="3" s="1"/>
  <c r="D687" i="3"/>
  <c r="J687" i="3" s="1"/>
  <c r="C687" i="3"/>
  <c r="B687" i="3"/>
  <c r="A687" i="3"/>
  <c r="L686" i="3"/>
  <c r="H686" i="3"/>
  <c r="K686" i="3" s="1"/>
  <c r="G686" i="3"/>
  <c r="F686" i="3"/>
  <c r="E686" i="3"/>
  <c r="I686" i="3" s="1"/>
  <c r="D686" i="3"/>
  <c r="J686" i="3" s="1"/>
  <c r="C686" i="3"/>
  <c r="B686" i="3"/>
  <c r="A686" i="3"/>
  <c r="L685" i="3"/>
  <c r="H685" i="3"/>
  <c r="K685" i="3" s="1"/>
  <c r="G685" i="3"/>
  <c r="F685" i="3"/>
  <c r="E685" i="3"/>
  <c r="I685" i="3" s="1"/>
  <c r="D685" i="3"/>
  <c r="J685" i="3" s="1"/>
  <c r="C685" i="3"/>
  <c r="B685" i="3"/>
  <c r="A685" i="3"/>
  <c r="L684" i="3"/>
  <c r="H684" i="3"/>
  <c r="K684" i="3" s="1"/>
  <c r="G684" i="3"/>
  <c r="F684" i="3"/>
  <c r="E684" i="3"/>
  <c r="I684" i="3" s="1"/>
  <c r="D684" i="3"/>
  <c r="J684" i="3" s="1"/>
  <c r="C684" i="3"/>
  <c r="B684" i="3"/>
  <c r="A684" i="3"/>
  <c r="L683" i="3"/>
  <c r="H683" i="3"/>
  <c r="K683" i="3" s="1"/>
  <c r="G683" i="3"/>
  <c r="F683" i="3"/>
  <c r="E683" i="3"/>
  <c r="I683" i="3" s="1"/>
  <c r="D683" i="3"/>
  <c r="J683" i="3" s="1"/>
  <c r="C683" i="3"/>
  <c r="B683" i="3"/>
  <c r="A683" i="3"/>
  <c r="L682" i="3"/>
  <c r="H682" i="3"/>
  <c r="K682" i="3" s="1"/>
  <c r="G682" i="3"/>
  <c r="F682" i="3"/>
  <c r="E682" i="3"/>
  <c r="I682" i="3" s="1"/>
  <c r="D682" i="3"/>
  <c r="J682" i="3" s="1"/>
  <c r="C682" i="3"/>
  <c r="B682" i="3"/>
  <c r="A682" i="3"/>
  <c r="L681" i="3"/>
  <c r="H681" i="3"/>
  <c r="K681" i="3" s="1"/>
  <c r="G681" i="3"/>
  <c r="F681" i="3"/>
  <c r="E681" i="3"/>
  <c r="I681" i="3" s="1"/>
  <c r="D681" i="3"/>
  <c r="J681" i="3" s="1"/>
  <c r="C681" i="3"/>
  <c r="B681" i="3"/>
  <c r="A681" i="3"/>
  <c r="L680" i="3"/>
  <c r="H680" i="3"/>
  <c r="K680" i="3" s="1"/>
  <c r="G680" i="3"/>
  <c r="F680" i="3"/>
  <c r="E680" i="3"/>
  <c r="I680" i="3" s="1"/>
  <c r="D680" i="3"/>
  <c r="J680" i="3" s="1"/>
  <c r="C680" i="3"/>
  <c r="B680" i="3"/>
  <c r="A680" i="3"/>
  <c r="L679" i="3"/>
  <c r="H679" i="3"/>
  <c r="K679" i="3" s="1"/>
  <c r="G679" i="3"/>
  <c r="F679" i="3"/>
  <c r="E679" i="3"/>
  <c r="I679" i="3" s="1"/>
  <c r="D679" i="3"/>
  <c r="J679" i="3" s="1"/>
  <c r="C679" i="3"/>
  <c r="B679" i="3"/>
  <c r="A679" i="3"/>
  <c r="L678" i="3"/>
  <c r="H678" i="3"/>
  <c r="K678" i="3" s="1"/>
  <c r="G678" i="3"/>
  <c r="F678" i="3"/>
  <c r="E678" i="3"/>
  <c r="I678" i="3" s="1"/>
  <c r="D678" i="3"/>
  <c r="J678" i="3" s="1"/>
  <c r="C678" i="3"/>
  <c r="B678" i="3"/>
  <c r="A678" i="3"/>
  <c r="L677" i="3"/>
  <c r="H677" i="3"/>
  <c r="K677" i="3" s="1"/>
  <c r="G677" i="3"/>
  <c r="F677" i="3"/>
  <c r="E677" i="3"/>
  <c r="I677" i="3" s="1"/>
  <c r="D677" i="3"/>
  <c r="J677" i="3" s="1"/>
  <c r="C677" i="3"/>
  <c r="B677" i="3"/>
  <c r="A677" i="3"/>
  <c r="L676" i="3"/>
  <c r="H676" i="3"/>
  <c r="K676" i="3" s="1"/>
  <c r="G676" i="3"/>
  <c r="F676" i="3"/>
  <c r="E676" i="3"/>
  <c r="I676" i="3" s="1"/>
  <c r="D676" i="3"/>
  <c r="J676" i="3" s="1"/>
  <c r="C676" i="3"/>
  <c r="B676" i="3"/>
  <c r="A676" i="3"/>
  <c r="L675" i="3"/>
  <c r="H675" i="3"/>
  <c r="K675" i="3" s="1"/>
  <c r="G675" i="3"/>
  <c r="F675" i="3"/>
  <c r="E675" i="3"/>
  <c r="I675" i="3" s="1"/>
  <c r="D675" i="3"/>
  <c r="J675" i="3" s="1"/>
  <c r="C675" i="3"/>
  <c r="B675" i="3"/>
  <c r="A675" i="3"/>
  <c r="L674" i="3"/>
  <c r="H674" i="3"/>
  <c r="K674" i="3" s="1"/>
  <c r="G674" i="3"/>
  <c r="F674" i="3"/>
  <c r="E674" i="3"/>
  <c r="I674" i="3" s="1"/>
  <c r="D674" i="3"/>
  <c r="J674" i="3" s="1"/>
  <c r="C674" i="3"/>
  <c r="B674" i="3"/>
  <c r="A674" i="3"/>
  <c r="L673" i="3"/>
  <c r="H673" i="3"/>
  <c r="K673" i="3" s="1"/>
  <c r="G673" i="3"/>
  <c r="F673" i="3"/>
  <c r="E673" i="3"/>
  <c r="I673" i="3" s="1"/>
  <c r="D673" i="3"/>
  <c r="J673" i="3" s="1"/>
  <c r="C673" i="3"/>
  <c r="B673" i="3"/>
  <c r="A673" i="3"/>
  <c r="L672" i="3"/>
  <c r="H672" i="3"/>
  <c r="K672" i="3" s="1"/>
  <c r="G672" i="3"/>
  <c r="F672" i="3"/>
  <c r="E672" i="3"/>
  <c r="I672" i="3" s="1"/>
  <c r="D672" i="3"/>
  <c r="J672" i="3" s="1"/>
  <c r="C672" i="3"/>
  <c r="B672" i="3"/>
  <c r="A672" i="3"/>
  <c r="L671" i="3"/>
  <c r="H671" i="3"/>
  <c r="K671" i="3" s="1"/>
  <c r="G671" i="3"/>
  <c r="F671" i="3"/>
  <c r="E671" i="3"/>
  <c r="I671" i="3" s="1"/>
  <c r="D671" i="3"/>
  <c r="J671" i="3" s="1"/>
  <c r="C671" i="3"/>
  <c r="B671" i="3"/>
  <c r="A671" i="3"/>
  <c r="L670" i="3"/>
  <c r="H670" i="3"/>
  <c r="K670" i="3" s="1"/>
  <c r="G670" i="3"/>
  <c r="F670" i="3"/>
  <c r="E670" i="3"/>
  <c r="I670" i="3" s="1"/>
  <c r="D670" i="3"/>
  <c r="J670" i="3" s="1"/>
  <c r="C670" i="3"/>
  <c r="B670" i="3"/>
  <c r="A670" i="3"/>
  <c r="L669" i="3"/>
  <c r="H669" i="3"/>
  <c r="K669" i="3" s="1"/>
  <c r="G669" i="3"/>
  <c r="F669" i="3"/>
  <c r="E669" i="3"/>
  <c r="I669" i="3" s="1"/>
  <c r="D669" i="3"/>
  <c r="J669" i="3" s="1"/>
  <c r="C669" i="3"/>
  <c r="B669" i="3"/>
  <c r="A669" i="3"/>
  <c r="L668" i="3"/>
  <c r="H668" i="3"/>
  <c r="K668" i="3" s="1"/>
  <c r="G668" i="3"/>
  <c r="F668" i="3"/>
  <c r="E668" i="3"/>
  <c r="I668" i="3" s="1"/>
  <c r="D668" i="3"/>
  <c r="J668" i="3" s="1"/>
  <c r="C668" i="3"/>
  <c r="B668" i="3"/>
  <c r="A668" i="3"/>
  <c r="L667" i="3"/>
  <c r="H667" i="3"/>
  <c r="K667" i="3" s="1"/>
  <c r="G667" i="3"/>
  <c r="F667" i="3"/>
  <c r="E667" i="3"/>
  <c r="I667" i="3" s="1"/>
  <c r="D667" i="3"/>
  <c r="J667" i="3" s="1"/>
  <c r="C667" i="3"/>
  <c r="B667" i="3"/>
  <c r="A667" i="3"/>
  <c r="L666" i="3"/>
  <c r="H666" i="3"/>
  <c r="K666" i="3" s="1"/>
  <c r="G666" i="3"/>
  <c r="F666" i="3"/>
  <c r="E666" i="3"/>
  <c r="I666" i="3" s="1"/>
  <c r="D666" i="3"/>
  <c r="J666" i="3" s="1"/>
  <c r="C666" i="3"/>
  <c r="B666" i="3"/>
  <c r="A666" i="3"/>
  <c r="L665" i="3"/>
  <c r="H665" i="3"/>
  <c r="K665" i="3" s="1"/>
  <c r="G665" i="3"/>
  <c r="F665" i="3"/>
  <c r="E665" i="3"/>
  <c r="I665" i="3" s="1"/>
  <c r="D665" i="3"/>
  <c r="J665" i="3" s="1"/>
  <c r="C665" i="3"/>
  <c r="B665" i="3"/>
  <c r="A665" i="3"/>
  <c r="L664" i="3"/>
  <c r="H664" i="3"/>
  <c r="K664" i="3" s="1"/>
  <c r="G664" i="3"/>
  <c r="F664" i="3"/>
  <c r="E664" i="3"/>
  <c r="I664" i="3" s="1"/>
  <c r="D664" i="3"/>
  <c r="J664" i="3" s="1"/>
  <c r="C664" i="3"/>
  <c r="B664" i="3"/>
  <c r="A664" i="3"/>
  <c r="L663" i="3"/>
  <c r="H663" i="3"/>
  <c r="K663" i="3" s="1"/>
  <c r="G663" i="3"/>
  <c r="F663" i="3"/>
  <c r="E663" i="3"/>
  <c r="I663" i="3" s="1"/>
  <c r="D663" i="3"/>
  <c r="J663" i="3" s="1"/>
  <c r="C663" i="3"/>
  <c r="B663" i="3"/>
  <c r="A663" i="3"/>
  <c r="L662" i="3"/>
  <c r="H662" i="3"/>
  <c r="K662" i="3" s="1"/>
  <c r="G662" i="3"/>
  <c r="F662" i="3"/>
  <c r="E662" i="3"/>
  <c r="I662" i="3" s="1"/>
  <c r="D662" i="3"/>
  <c r="J662" i="3" s="1"/>
  <c r="C662" i="3"/>
  <c r="B662" i="3"/>
  <c r="A662" i="3"/>
  <c r="L661" i="3"/>
  <c r="H661" i="3"/>
  <c r="K661" i="3" s="1"/>
  <c r="G661" i="3"/>
  <c r="F661" i="3"/>
  <c r="E661" i="3"/>
  <c r="I661" i="3" s="1"/>
  <c r="D661" i="3"/>
  <c r="J661" i="3" s="1"/>
  <c r="C661" i="3"/>
  <c r="B661" i="3"/>
  <c r="A661" i="3"/>
  <c r="L660" i="3"/>
  <c r="H660" i="3"/>
  <c r="K660" i="3" s="1"/>
  <c r="G660" i="3"/>
  <c r="F660" i="3"/>
  <c r="E660" i="3"/>
  <c r="I660" i="3" s="1"/>
  <c r="D660" i="3"/>
  <c r="J660" i="3" s="1"/>
  <c r="C660" i="3"/>
  <c r="B660" i="3"/>
  <c r="A660" i="3"/>
  <c r="L659" i="3"/>
  <c r="H659" i="3"/>
  <c r="K659" i="3" s="1"/>
  <c r="G659" i="3"/>
  <c r="F659" i="3"/>
  <c r="E659" i="3"/>
  <c r="I659" i="3" s="1"/>
  <c r="D659" i="3"/>
  <c r="J659" i="3" s="1"/>
  <c r="C659" i="3"/>
  <c r="B659" i="3"/>
  <c r="A659" i="3"/>
  <c r="L658" i="3"/>
  <c r="H658" i="3"/>
  <c r="K658" i="3" s="1"/>
  <c r="G658" i="3"/>
  <c r="F658" i="3"/>
  <c r="E658" i="3"/>
  <c r="I658" i="3" s="1"/>
  <c r="D658" i="3"/>
  <c r="J658" i="3" s="1"/>
  <c r="C658" i="3"/>
  <c r="B658" i="3"/>
  <c r="A658" i="3"/>
  <c r="L657" i="3"/>
  <c r="H657" i="3"/>
  <c r="K657" i="3" s="1"/>
  <c r="G657" i="3"/>
  <c r="F657" i="3"/>
  <c r="E657" i="3"/>
  <c r="I657" i="3" s="1"/>
  <c r="D657" i="3"/>
  <c r="J657" i="3" s="1"/>
  <c r="C657" i="3"/>
  <c r="B657" i="3"/>
  <c r="A657" i="3"/>
  <c r="L656" i="3"/>
  <c r="H656" i="3"/>
  <c r="K656" i="3" s="1"/>
  <c r="G656" i="3"/>
  <c r="F656" i="3"/>
  <c r="E656" i="3"/>
  <c r="I656" i="3" s="1"/>
  <c r="D656" i="3"/>
  <c r="J656" i="3" s="1"/>
  <c r="C656" i="3"/>
  <c r="B656" i="3"/>
  <c r="A656" i="3"/>
  <c r="L655" i="3"/>
  <c r="H655" i="3"/>
  <c r="K655" i="3" s="1"/>
  <c r="G655" i="3"/>
  <c r="F655" i="3"/>
  <c r="E655" i="3"/>
  <c r="I655" i="3" s="1"/>
  <c r="D655" i="3"/>
  <c r="J655" i="3" s="1"/>
  <c r="C655" i="3"/>
  <c r="B655" i="3"/>
  <c r="A655" i="3"/>
  <c r="L654" i="3"/>
  <c r="H654" i="3"/>
  <c r="K654" i="3" s="1"/>
  <c r="G654" i="3"/>
  <c r="F654" i="3"/>
  <c r="E654" i="3"/>
  <c r="I654" i="3" s="1"/>
  <c r="D654" i="3"/>
  <c r="J654" i="3" s="1"/>
  <c r="C654" i="3"/>
  <c r="B654" i="3"/>
  <c r="A654" i="3"/>
  <c r="L653" i="3"/>
  <c r="H653" i="3"/>
  <c r="K653" i="3" s="1"/>
  <c r="G653" i="3"/>
  <c r="F653" i="3"/>
  <c r="E653" i="3"/>
  <c r="I653" i="3" s="1"/>
  <c r="D653" i="3"/>
  <c r="J653" i="3" s="1"/>
  <c r="C653" i="3"/>
  <c r="B653" i="3"/>
  <c r="A653" i="3"/>
  <c r="L652" i="3"/>
  <c r="H652" i="3"/>
  <c r="K652" i="3" s="1"/>
  <c r="G652" i="3"/>
  <c r="F652" i="3"/>
  <c r="E652" i="3"/>
  <c r="I652" i="3" s="1"/>
  <c r="D652" i="3"/>
  <c r="J652" i="3" s="1"/>
  <c r="C652" i="3"/>
  <c r="B652" i="3"/>
  <c r="A652" i="3"/>
  <c r="L651" i="3"/>
  <c r="H651" i="3"/>
  <c r="K651" i="3" s="1"/>
  <c r="G651" i="3"/>
  <c r="F651" i="3"/>
  <c r="E651" i="3"/>
  <c r="I651" i="3" s="1"/>
  <c r="D651" i="3"/>
  <c r="J651" i="3" s="1"/>
  <c r="C651" i="3"/>
  <c r="B651" i="3"/>
  <c r="A651" i="3"/>
  <c r="L650" i="3"/>
  <c r="H650" i="3"/>
  <c r="K650" i="3" s="1"/>
  <c r="G650" i="3"/>
  <c r="F650" i="3"/>
  <c r="E650" i="3"/>
  <c r="I650" i="3" s="1"/>
  <c r="D650" i="3"/>
  <c r="J650" i="3" s="1"/>
  <c r="C650" i="3"/>
  <c r="B650" i="3"/>
  <c r="A650" i="3"/>
  <c r="L649" i="3"/>
  <c r="H649" i="3"/>
  <c r="K649" i="3" s="1"/>
  <c r="G649" i="3"/>
  <c r="F649" i="3"/>
  <c r="E649" i="3"/>
  <c r="I649" i="3" s="1"/>
  <c r="D649" i="3"/>
  <c r="J649" i="3" s="1"/>
  <c r="C649" i="3"/>
  <c r="B649" i="3"/>
  <c r="A649" i="3"/>
  <c r="L648" i="3"/>
  <c r="H648" i="3"/>
  <c r="K648" i="3" s="1"/>
  <c r="G648" i="3"/>
  <c r="F648" i="3"/>
  <c r="E648" i="3"/>
  <c r="I648" i="3" s="1"/>
  <c r="D648" i="3"/>
  <c r="J648" i="3" s="1"/>
  <c r="C648" i="3"/>
  <c r="B648" i="3"/>
  <c r="A648" i="3"/>
  <c r="L647" i="3"/>
  <c r="H647" i="3"/>
  <c r="K647" i="3" s="1"/>
  <c r="G647" i="3"/>
  <c r="F647" i="3"/>
  <c r="E647" i="3"/>
  <c r="D647" i="3"/>
  <c r="J647" i="3" s="1"/>
  <c r="C647" i="3"/>
  <c r="B647" i="3"/>
  <c r="A647" i="3"/>
  <c r="L646" i="3"/>
  <c r="H646" i="3"/>
  <c r="K646" i="3" s="1"/>
  <c r="G646" i="3"/>
  <c r="F646" i="3"/>
  <c r="E646" i="3"/>
  <c r="I646" i="3" s="1"/>
  <c r="D646" i="3"/>
  <c r="J646" i="3" s="1"/>
  <c r="C646" i="3"/>
  <c r="B646" i="3"/>
  <c r="A646" i="3"/>
  <c r="L645" i="3"/>
  <c r="H645" i="3"/>
  <c r="K645" i="3" s="1"/>
  <c r="G645" i="3"/>
  <c r="F645" i="3"/>
  <c r="E645" i="3"/>
  <c r="D645" i="3"/>
  <c r="J645" i="3" s="1"/>
  <c r="C645" i="3"/>
  <c r="B645" i="3"/>
  <c r="A645" i="3"/>
  <c r="L644" i="3"/>
  <c r="H644" i="3"/>
  <c r="K644" i="3" s="1"/>
  <c r="G644" i="3"/>
  <c r="F644" i="3"/>
  <c r="E644" i="3"/>
  <c r="I644" i="3" s="1"/>
  <c r="D644" i="3"/>
  <c r="J644" i="3" s="1"/>
  <c r="C644" i="3"/>
  <c r="B644" i="3"/>
  <c r="A644" i="3"/>
  <c r="L643" i="3"/>
  <c r="H643" i="3"/>
  <c r="K643" i="3" s="1"/>
  <c r="G643" i="3"/>
  <c r="F643" i="3"/>
  <c r="E643" i="3"/>
  <c r="D643" i="3"/>
  <c r="J643" i="3" s="1"/>
  <c r="C643" i="3"/>
  <c r="B643" i="3"/>
  <c r="A643" i="3"/>
  <c r="L642" i="3"/>
  <c r="H642" i="3"/>
  <c r="K642" i="3" s="1"/>
  <c r="G642" i="3"/>
  <c r="F642" i="3"/>
  <c r="E642" i="3"/>
  <c r="I642" i="3" s="1"/>
  <c r="D642" i="3"/>
  <c r="J642" i="3" s="1"/>
  <c r="C642" i="3"/>
  <c r="B642" i="3"/>
  <c r="A642" i="3"/>
  <c r="L641" i="3"/>
  <c r="H641" i="3"/>
  <c r="K641" i="3" s="1"/>
  <c r="G641" i="3"/>
  <c r="F641" i="3"/>
  <c r="E641" i="3"/>
  <c r="D641" i="3"/>
  <c r="J641" i="3" s="1"/>
  <c r="C641" i="3"/>
  <c r="B641" i="3"/>
  <c r="A641" i="3"/>
  <c r="L640" i="3"/>
  <c r="H640" i="3"/>
  <c r="K640" i="3" s="1"/>
  <c r="G640" i="3"/>
  <c r="F640" i="3"/>
  <c r="E640" i="3"/>
  <c r="I640" i="3" s="1"/>
  <c r="D640" i="3"/>
  <c r="J640" i="3" s="1"/>
  <c r="C640" i="3"/>
  <c r="B640" i="3"/>
  <c r="A640" i="3"/>
  <c r="L639" i="3"/>
  <c r="H639" i="3"/>
  <c r="K639" i="3" s="1"/>
  <c r="G639" i="3"/>
  <c r="F639" i="3"/>
  <c r="E639" i="3"/>
  <c r="D639" i="3"/>
  <c r="J639" i="3" s="1"/>
  <c r="C639" i="3"/>
  <c r="B639" i="3"/>
  <c r="A639" i="3"/>
  <c r="L638" i="3"/>
  <c r="H638" i="3"/>
  <c r="K638" i="3" s="1"/>
  <c r="G638" i="3"/>
  <c r="F638" i="3"/>
  <c r="E638" i="3"/>
  <c r="I638" i="3" s="1"/>
  <c r="D638" i="3"/>
  <c r="J638" i="3" s="1"/>
  <c r="C638" i="3"/>
  <c r="B638" i="3"/>
  <c r="A638" i="3"/>
  <c r="L637" i="3"/>
  <c r="H637" i="3"/>
  <c r="K637" i="3" s="1"/>
  <c r="G637" i="3"/>
  <c r="F637" i="3"/>
  <c r="E637" i="3"/>
  <c r="D637" i="3"/>
  <c r="J637" i="3" s="1"/>
  <c r="C637" i="3"/>
  <c r="B637" i="3"/>
  <c r="A637" i="3"/>
  <c r="L636" i="3"/>
  <c r="H636" i="3"/>
  <c r="K636" i="3" s="1"/>
  <c r="G636" i="3"/>
  <c r="F636" i="3"/>
  <c r="E636" i="3"/>
  <c r="I636" i="3" s="1"/>
  <c r="D636" i="3"/>
  <c r="J636" i="3" s="1"/>
  <c r="C636" i="3"/>
  <c r="B636" i="3"/>
  <c r="A636" i="3"/>
  <c r="L635" i="3"/>
  <c r="H635" i="3"/>
  <c r="K635" i="3" s="1"/>
  <c r="G635" i="3"/>
  <c r="F635" i="3"/>
  <c r="E635" i="3"/>
  <c r="D635" i="3"/>
  <c r="J635" i="3" s="1"/>
  <c r="C635" i="3"/>
  <c r="B635" i="3"/>
  <c r="A635" i="3"/>
  <c r="L634" i="3"/>
  <c r="H634" i="3"/>
  <c r="K634" i="3" s="1"/>
  <c r="G634" i="3"/>
  <c r="F634" i="3"/>
  <c r="E634" i="3"/>
  <c r="I634" i="3" s="1"/>
  <c r="D634" i="3"/>
  <c r="J634" i="3" s="1"/>
  <c r="C634" i="3"/>
  <c r="B634" i="3"/>
  <c r="A634" i="3"/>
  <c r="L633" i="3"/>
  <c r="H633" i="3"/>
  <c r="K633" i="3" s="1"/>
  <c r="G633" i="3"/>
  <c r="F633" i="3"/>
  <c r="E633" i="3"/>
  <c r="D633" i="3"/>
  <c r="J633" i="3" s="1"/>
  <c r="C633" i="3"/>
  <c r="B633" i="3"/>
  <c r="A633" i="3"/>
  <c r="L632" i="3"/>
  <c r="H632" i="3"/>
  <c r="K632" i="3" s="1"/>
  <c r="G632" i="3"/>
  <c r="F632" i="3"/>
  <c r="E632" i="3"/>
  <c r="I632" i="3" s="1"/>
  <c r="D632" i="3"/>
  <c r="J632" i="3" s="1"/>
  <c r="C632" i="3"/>
  <c r="B632" i="3"/>
  <c r="A632" i="3"/>
  <c r="L631" i="3"/>
  <c r="H631" i="3"/>
  <c r="K631" i="3" s="1"/>
  <c r="G631" i="3"/>
  <c r="F631" i="3"/>
  <c r="E631" i="3"/>
  <c r="D631" i="3"/>
  <c r="J631" i="3" s="1"/>
  <c r="C631" i="3"/>
  <c r="B631" i="3"/>
  <c r="A631" i="3"/>
  <c r="L630" i="3"/>
  <c r="H630" i="3"/>
  <c r="K630" i="3" s="1"/>
  <c r="G630" i="3"/>
  <c r="F630" i="3"/>
  <c r="E630" i="3"/>
  <c r="I630" i="3" s="1"/>
  <c r="D630" i="3"/>
  <c r="J630" i="3" s="1"/>
  <c r="C630" i="3"/>
  <c r="B630" i="3"/>
  <c r="A630" i="3"/>
  <c r="L629" i="3"/>
  <c r="H629" i="3"/>
  <c r="K629" i="3" s="1"/>
  <c r="G629" i="3"/>
  <c r="F629" i="3"/>
  <c r="E629" i="3"/>
  <c r="D629" i="3"/>
  <c r="J629" i="3" s="1"/>
  <c r="C629" i="3"/>
  <c r="B629" i="3"/>
  <c r="A629" i="3"/>
  <c r="L628" i="3"/>
  <c r="H628" i="3"/>
  <c r="K628" i="3" s="1"/>
  <c r="G628" i="3"/>
  <c r="F628" i="3"/>
  <c r="E628" i="3"/>
  <c r="I628" i="3" s="1"/>
  <c r="D628" i="3"/>
  <c r="J628" i="3" s="1"/>
  <c r="C628" i="3"/>
  <c r="B628" i="3"/>
  <c r="A628" i="3"/>
  <c r="L627" i="3"/>
  <c r="H627" i="3"/>
  <c r="K627" i="3" s="1"/>
  <c r="G627" i="3"/>
  <c r="F627" i="3"/>
  <c r="E627" i="3"/>
  <c r="D627" i="3"/>
  <c r="J627" i="3" s="1"/>
  <c r="C627" i="3"/>
  <c r="B627" i="3"/>
  <c r="A627" i="3"/>
  <c r="L626" i="3"/>
  <c r="H626" i="3"/>
  <c r="K626" i="3" s="1"/>
  <c r="G626" i="3"/>
  <c r="F626" i="3"/>
  <c r="E626" i="3"/>
  <c r="I626" i="3" s="1"/>
  <c r="D626" i="3"/>
  <c r="J626" i="3" s="1"/>
  <c r="C626" i="3"/>
  <c r="B626" i="3"/>
  <c r="A626" i="3"/>
  <c r="L625" i="3"/>
  <c r="H625" i="3"/>
  <c r="K625" i="3" s="1"/>
  <c r="G625" i="3"/>
  <c r="F625" i="3"/>
  <c r="E625" i="3"/>
  <c r="D625" i="3"/>
  <c r="J625" i="3" s="1"/>
  <c r="C625" i="3"/>
  <c r="B625" i="3"/>
  <c r="A625" i="3"/>
  <c r="L624" i="3"/>
  <c r="H624" i="3"/>
  <c r="K624" i="3" s="1"/>
  <c r="G624" i="3"/>
  <c r="F624" i="3"/>
  <c r="E624" i="3"/>
  <c r="I624" i="3" s="1"/>
  <c r="D624" i="3"/>
  <c r="J624" i="3" s="1"/>
  <c r="C624" i="3"/>
  <c r="B624" i="3"/>
  <c r="A624" i="3"/>
  <c r="L623" i="3"/>
  <c r="H623" i="3"/>
  <c r="K623" i="3" s="1"/>
  <c r="G623" i="3"/>
  <c r="F623" i="3"/>
  <c r="E623" i="3"/>
  <c r="D623" i="3"/>
  <c r="J623" i="3" s="1"/>
  <c r="C623" i="3"/>
  <c r="B623" i="3"/>
  <c r="A623" i="3"/>
  <c r="L622" i="3"/>
  <c r="H622" i="3"/>
  <c r="K622" i="3" s="1"/>
  <c r="G622" i="3"/>
  <c r="F622" i="3"/>
  <c r="E622" i="3"/>
  <c r="I622" i="3" s="1"/>
  <c r="D622" i="3"/>
  <c r="J622" i="3" s="1"/>
  <c r="C622" i="3"/>
  <c r="B622" i="3"/>
  <c r="A622" i="3"/>
  <c r="L621" i="3"/>
  <c r="H621" i="3"/>
  <c r="K621" i="3" s="1"/>
  <c r="G621" i="3"/>
  <c r="F621" i="3"/>
  <c r="E621" i="3"/>
  <c r="D621" i="3"/>
  <c r="J621" i="3" s="1"/>
  <c r="C621" i="3"/>
  <c r="B621" i="3"/>
  <c r="A621" i="3"/>
  <c r="L620" i="3"/>
  <c r="H620" i="3"/>
  <c r="K620" i="3" s="1"/>
  <c r="G620" i="3"/>
  <c r="F620" i="3"/>
  <c r="E620" i="3"/>
  <c r="I620" i="3" s="1"/>
  <c r="D620" i="3"/>
  <c r="J620" i="3" s="1"/>
  <c r="C620" i="3"/>
  <c r="B620" i="3"/>
  <c r="A620" i="3"/>
  <c r="L619" i="3"/>
  <c r="H619" i="3"/>
  <c r="K619" i="3" s="1"/>
  <c r="G619" i="3"/>
  <c r="F619" i="3"/>
  <c r="E619" i="3"/>
  <c r="D619" i="3"/>
  <c r="J619" i="3" s="1"/>
  <c r="C619" i="3"/>
  <c r="B619" i="3"/>
  <c r="A619" i="3"/>
  <c r="L618" i="3"/>
  <c r="H618" i="3"/>
  <c r="K618" i="3" s="1"/>
  <c r="G618" i="3"/>
  <c r="F618" i="3"/>
  <c r="E618" i="3"/>
  <c r="I618" i="3" s="1"/>
  <c r="D618" i="3"/>
  <c r="J618" i="3" s="1"/>
  <c r="C618" i="3"/>
  <c r="B618" i="3"/>
  <c r="A618" i="3"/>
  <c r="L617" i="3"/>
  <c r="H617" i="3"/>
  <c r="K617" i="3" s="1"/>
  <c r="G617" i="3"/>
  <c r="F617" i="3"/>
  <c r="E617" i="3"/>
  <c r="D617" i="3"/>
  <c r="J617" i="3" s="1"/>
  <c r="C617" i="3"/>
  <c r="B617" i="3"/>
  <c r="A617" i="3"/>
  <c r="H616" i="3"/>
  <c r="K616" i="3" s="1"/>
  <c r="G616" i="3"/>
  <c r="F616" i="3"/>
  <c r="L616" i="3" s="1"/>
  <c r="E616" i="3"/>
  <c r="I616" i="3" s="1"/>
  <c r="D616" i="3"/>
  <c r="J616" i="3" s="1"/>
  <c r="C616" i="3"/>
  <c r="B616" i="3"/>
  <c r="A616" i="3"/>
  <c r="L615" i="3"/>
  <c r="J615" i="3"/>
  <c r="H615" i="3"/>
  <c r="K615" i="3" s="1"/>
  <c r="G615" i="3"/>
  <c r="F615" i="3"/>
  <c r="E615" i="3"/>
  <c r="I615" i="3" s="1"/>
  <c r="D615" i="3"/>
  <c r="C615" i="3"/>
  <c r="B615" i="3"/>
  <c r="A615" i="3"/>
  <c r="H614" i="3"/>
  <c r="K614" i="3" s="1"/>
  <c r="G614" i="3"/>
  <c r="F614" i="3"/>
  <c r="L614" i="3" s="1"/>
  <c r="E614" i="3"/>
  <c r="I614" i="3" s="1"/>
  <c r="D614" i="3"/>
  <c r="J614" i="3" s="1"/>
  <c r="C614" i="3"/>
  <c r="B614" i="3"/>
  <c r="A614" i="3"/>
  <c r="L613" i="3"/>
  <c r="H613" i="3"/>
  <c r="K613" i="3" s="1"/>
  <c r="G613" i="3"/>
  <c r="F613" i="3"/>
  <c r="E613" i="3"/>
  <c r="I613" i="3" s="1"/>
  <c r="D613" i="3"/>
  <c r="J613" i="3" s="1"/>
  <c r="C613" i="3"/>
  <c r="B613" i="3"/>
  <c r="A613" i="3"/>
  <c r="H612" i="3"/>
  <c r="K612" i="3" s="1"/>
  <c r="G612" i="3"/>
  <c r="F612" i="3"/>
  <c r="L612" i="3" s="1"/>
  <c r="E612" i="3"/>
  <c r="I612" i="3" s="1"/>
  <c r="D612" i="3"/>
  <c r="J612" i="3" s="1"/>
  <c r="C612" i="3"/>
  <c r="B612" i="3"/>
  <c r="A612" i="3"/>
  <c r="L611" i="3"/>
  <c r="J611" i="3"/>
  <c r="H611" i="3"/>
  <c r="K611" i="3" s="1"/>
  <c r="G611" i="3"/>
  <c r="F611" i="3"/>
  <c r="E611" i="3"/>
  <c r="I611" i="3" s="1"/>
  <c r="D611" i="3"/>
  <c r="C611" i="3"/>
  <c r="B611" i="3"/>
  <c r="A611" i="3"/>
  <c r="H610" i="3"/>
  <c r="K610" i="3" s="1"/>
  <c r="G610" i="3"/>
  <c r="F610" i="3"/>
  <c r="L610" i="3" s="1"/>
  <c r="E610" i="3"/>
  <c r="I610" i="3" s="1"/>
  <c r="D610" i="3"/>
  <c r="J610" i="3" s="1"/>
  <c r="C610" i="3"/>
  <c r="B610" i="3"/>
  <c r="A610" i="3"/>
  <c r="L609" i="3"/>
  <c r="H609" i="3"/>
  <c r="K609" i="3" s="1"/>
  <c r="G609" i="3"/>
  <c r="F609" i="3"/>
  <c r="E609" i="3"/>
  <c r="I609" i="3" s="1"/>
  <c r="D609" i="3"/>
  <c r="J609" i="3" s="1"/>
  <c r="C609" i="3"/>
  <c r="B609" i="3"/>
  <c r="A609" i="3"/>
  <c r="J608" i="3"/>
  <c r="H608" i="3"/>
  <c r="K608" i="3" s="1"/>
  <c r="G608" i="3"/>
  <c r="F608" i="3"/>
  <c r="L608" i="3" s="1"/>
  <c r="E608" i="3"/>
  <c r="I608" i="3" s="1"/>
  <c r="D608" i="3"/>
  <c r="C608" i="3"/>
  <c r="B608" i="3"/>
  <c r="A608" i="3"/>
  <c r="L607" i="3"/>
  <c r="J607" i="3"/>
  <c r="H607" i="3"/>
  <c r="K607" i="3" s="1"/>
  <c r="G607" i="3"/>
  <c r="F607" i="3"/>
  <c r="E607" i="3"/>
  <c r="I607" i="3" s="1"/>
  <c r="D607" i="3"/>
  <c r="C607" i="3"/>
  <c r="B607" i="3"/>
  <c r="A607" i="3"/>
  <c r="H606" i="3"/>
  <c r="K606" i="3" s="1"/>
  <c r="G606" i="3"/>
  <c r="F606" i="3"/>
  <c r="L606" i="3" s="1"/>
  <c r="E606" i="3"/>
  <c r="I606" i="3" s="1"/>
  <c r="D606" i="3"/>
  <c r="J606" i="3" s="1"/>
  <c r="C606" i="3"/>
  <c r="B606" i="3"/>
  <c r="A606" i="3"/>
  <c r="L605" i="3"/>
  <c r="H605" i="3"/>
  <c r="K605" i="3" s="1"/>
  <c r="G605" i="3"/>
  <c r="F605" i="3"/>
  <c r="E605" i="3"/>
  <c r="I605" i="3" s="1"/>
  <c r="D605" i="3"/>
  <c r="J605" i="3" s="1"/>
  <c r="C605" i="3"/>
  <c r="B605" i="3"/>
  <c r="A605" i="3"/>
  <c r="J604" i="3"/>
  <c r="H604" i="3"/>
  <c r="K604" i="3" s="1"/>
  <c r="G604" i="3"/>
  <c r="F604" i="3"/>
  <c r="L604" i="3" s="1"/>
  <c r="E604" i="3"/>
  <c r="I604" i="3" s="1"/>
  <c r="D604" i="3"/>
  <c r="C604" i="3"/>
  <c r="B604" i="3"/>
  <c r="A604" i="3"/>
  <c r="L603" i="3"/>
  <c r="J603" i="3"/>
  <c r="H603" i="3"/>
  <c r="K603" i="3" s="1"/>
  <c r="G603" i="3"/>
  <c r="F603" i="3"/>
  <c r="E603" i="3"/>
  <c r="I603" i="3" s="1"/>
  <c r="D603" i="3"/>
  <c r="C603" i="3"/>
  <c r="B603" i="3"/>
  <c r="A603" i="3"/>
  <c r="K602" i="3"/>
  <c r="J602" i="3"/>
  <c r="H602" i="3"/>
  <c r="G602" i="3"/>
  <c r="F602" i="3"/>
  <c r="L602" i="3" s="1"/>
  <c r="E602" i="3"/>
  <c r="I602" i="3" s="1"/>
  <c r="D602" i="3"/>
  <c r="C602" i="3"/>
  <c r="B602" i="3"/>
  <c r="A602" i="3"/>
  <c r="K601" i="3"/>
  <c r="J601" i="3"/>
  <c r="H601" i="3"/>
  <c r="G601" i="3"/>
  <c r="F601" i="3"/>
  <c r="L601" i="3" s="1"/>
  <c r="E601" i="3"/>
  <c r="I601" i="3" s="1"/>
  <c r="D601" i="3"/>
  <c r="C601" i="3"/>
  <c r="B601" i="3"/>
  <c r="A601" i="3"/>
  <c r="K600" i="3"/>
  <c r="J600" i="3"/>
  <c r="H600" i="3"/>
  <c r="G600" i="3"/>
  <c r="F600" i="3"/>
  <c r="L600" i="3" s="1"/>
  <c r="E600" i="3"/>
  <c r="I600" i="3" s="1"/>
  <c r="D600" i="3"/>
  <c r="C600" i="3"/>
  <c r="B600" i="3"/>
  <c r="A600" i="3"/>
  <c r="K599" i="3"/>
  <c r="J599" i="3"/>
  <c r="H599" i="3"/>
  <c r="G599" i="3"/>
  <c r="F599" i="3"/>
  <c r="L599" i="3" s="1"/>
  <c r="E599" i="3"/>
  <c r="I599" i="3" s="1"/>
  <c r="D599" i="3"/>
  <c r="C599" i="3"/>
  <c r="B599" i="3"/>
  <c r="A599" i="3"/>
  <c r="K598" i="3"/>
  <c r="J598" i="3"/>
  <c r="H598" i="3"/>
  <c r="G598" i="3"/>
  <c r="F598" i="3"/>
  <c r="L598" i="3" s="1"/>
  <c r="E598" i="3"/>
  <c r="I598" i="3" s="1"/>
  <c r="D598" i="3"/>
  <c r="C598" i="3"/>
  <c r="B598" i="3"/>
  <c r="A598" i="3"/>
  <c r="K597" i="3"/>
  <c r="J597" i="3"/>
  <c r="H597" i="3"/>
  <c r="G597" i="3"/>
  <c r="F597" i="3"/>
  <c r="L597" i="3" s="1"/>
  <c r="E597" i="3"/>
  <c r="I597" i="3" s="1"/>
  <c r="D597" i="3"/>
  <c r="C597" i="3"/>
  <c r="B597" i="3"/>
  <c r="A597" i="3"/>
  <c r="K596" i="3"/>
  <c r="J596" i="3"/>
  <c r="H596" i="3"/>
  <c r="G596" i="3"/>
  <c r="F596" i="3"/>
  <c r="L596" i="3" s="1"/>
  <c r="E596" i="3"/>
  <c r="I596" i="3" s="1"/>
  <c r="D596" i="3"/>
  <c r="C596" i="3"/>
  <c r="B596" i="3"/>
  <c r="A596" i="3"/>
  <c r="K595" i="3"/>
  <c r="J595" i="3"/>
  <c r="H595" i="3"/>
  <c r="G595" i="3"/>
  <c r="F595" i="3"/>
  <c r="L595" i="3" s="1"/>
  <c r="E595" i="3"/>
  <c r="I595" i="3" s="1"/>
  <c r="D595" i="3"/>
  <c r="C595" i="3"/>
  <c r="B595" i="3"/>
  <c r="A595" i="3"/>
  <c r="K594" i="3"/>
  <c r="J594" i="3"/>
  <c r="H594" i="3"/>
  <c r="G594" i="3"/>
  <c r="F594" i="3"/>
  <c r="L594" i="3" s="1"/>
  <c r="E594" i="3"/>
  <c r="I594" i="3" s="1"/>
  <c r="D594" i="3"/>
  <c r="C594" i="3"/>
  <c r="B594" i="3"/>
  <c r="A594" i="3"/>
  <c r="K593" i="3"/>
  <c r="J593" i="3"/>
  <c r="H593" i="3"/>
  <c r="G593" i="3"/>
  <c r="F593" i="3"/>
  <c r="L593" i="3" s="1"/>
  <c r="E593" i="3"/>
  <c r="I593" i="3" s="1"/>
  <c r="D593" i="3"/>
  <c r="C593" i="3"/>
  <c r="B593" i="3"/>
  <c r="A593" i="3"/>
  <c r="K592" i="3"/>
  <c r="J592" i="3"/>
  <c r="H592" i="3"/>
  <c r="G592" i="3"/>
  <c r="F592" i="3"/>
  <c r="L592" i="3" s="1"/>
  <c r="E592" i="3"/>
  <c r="I592" i="3" s="1"/>
  <c r="D592" i="3"/>
  <c r="C592" i="3"/>
  <c r="B592" i="3"/>
  <c r="A592" i="3"/>
  <c r="K591" i="3"/>
  <c r="J591" i="3"/>
  <c r="H591" i="3"/>
  <c r="G591" i="3"/>
  <c r="F591" i="3"/>
  <c r="L591" i="3" s="1"/>
  <c r="E591" i="3"/>
  <c r="I591" i="3" s="1"/>
  <c r="D591" i="3"/>
  <c r="C591" i="3"/>
  <c r="B591" i="3"/>
  <c r="A591" i="3"/>
  <c r="K590" i="3"/>
  <c r="J590" i="3"/>
  <c r="H590" i="3"/>
  <c r="G590" i="3"/>
  <c r="F590" i="3"/>
  <c r="L590" i="3" s="1"/>
  <c r="E590" i="3"/>
  <c r="I590" i="3" s="1"/>
  <c r="D590" i="3"/>
  <c r="C590" i="3"/>
  <c r="B590" i="3"/>
  <c r="A590" i="3"/>
  <c r="K589" i="3"/>
  <c r="J589" i="3"/>
  <c r="H589" i="3"/>
  <c r="G589" i="3"/>
  <c r="F589" i="3"/>
  <c r="L589" i="3" s="1"/>
  <c r="E589" i="3"/>
  <c r="I589" i="3" s="1"/>
  <c r="D589" i="3"/>
  <c r="C589" i="3"/>
  <c r="B589" i="3"/>
  <c r="A589" i="3"/>
  <c r="K588" i="3"/>
  <c r="J588" i="3"/>
  <c r="H588" i="3"/>
  <c r="G588" i="3"/>
  <c r="F588" i="3"/>
  <c r="L588" i="3" s="1"/>
  <c r="E588" i="3"/>
  <c r="I588" i="3" s="1"/>
  <c r="D588" i="3"/>
  <c r="C588" i="3"/>
  <c r="B588" i="3"/>
  <c r="A588" i="3"/>
  <c r="K587" i="3"/>
  <c r="J587" i="3"/>
  <c r="H587" i="3"/>
  <c r="G587" i="3"/>
  <c r="F587" i="3"/>
  <c r="L587" i="3" s="1"/>
  <c r="E587" i="3"/>
  <c r="I587" i="3" s="1"/>
  <c r="D587" i="3"/>
  <c r="C587" i="3"/>
  <c r="B587" i="3"/>
  <c r="A587" i="3"/>
  <c r="K586" i="3"/>
  <c r="J586" i="3"/>
  <c r="H586" i="3"/>
  <c r="G586" i="3"/>
  <c r="F586" i="3"/>
  <c r="L586" i="3" s="1"/>
  <c r="E586" i="3"/>
  <c r="I586" i="3" s="1"/>
  <c r="D586" i="3"/>
  <c r="C586" i="3"/>
  <c r="B586" i="3"/>
  <c r="A586" i="3"/>
  <c r="K585" i="3"/>
  <c r="J585" i="3"/>
  <c r="H585" i="3"/>
  <c r="G585" i="3"/>
  <c r="F585" i="3"/>
  <c r="L585" i="3" s="1"/>
  <c r="E585" i="3"/>
  <c r="I585" i="3" s="1"/>
  <c r="D585" i="3"/>
  <c r="C585" i="3"/>
  <c r="B585" i="3"/>
  <c r="A585" i="3"/>
  <c r="K584" i="3"/>
  <c r="J584" i="3"/>
  <c r="H584" i="3"/>
  <c r="G584" i="3"/>
  <c r="F584" i="3"/>
  <c r="L584" i="3" s="1"/>
  <c r="E584" i="3"/>
  <c r="I584" i="3" s="1"/>
  <c r="D584" i="3"/>
  <c r="C584" i="3"/>
  <c r="B584" i="3"/>
  <c r="A584" i="3"/>
  <c r="K583" i="3"/>
  <c r="J583" i="3"/>
  <c r="H583" i="3"/>
  <c r="G583" i="3"/>
  <c r="F583" i="3"/>
  <c r="L583" i="3" s="1"/>
  <c r="E583" i="3"/>
  <c r="I583" i="3" s="1"/>
  <c r="D583" i="3"/>
  <c r="C583" i="3"/>
  <c r="B583" i="3"/>
  <c r="A583" i="3"/>
  <c r="K582" i="3"/>
  <c r="J582" i="3"/>
  <c r="H582" i="3"/>
  <c r="G582" i="3"/>
  <c r="F582" i="3"/>
  <c r="L582" i="3" s="1"/>
  <c r="E582" i="3"/>
  <c r="I582" i="3" s="1"/>
  <c r="D582" i="3"/>
  <c r="C582" i="3"/>
  <c r="B582" i="3"/>
  <c r="A582" i="3"/>
  <c r="K581" i="3"/>
  <c r="J581" i="3"/>
  <c r="H581" i="3"/>
  <c r="G581" i="3"/>
  <c r="F581" i="3"/>
  <c r="L581" i="3" s="1"/>
  <c r="E581" i="3"/>
  <c r="I581" i="3" s="1"/>
  <c r="D581" i="3"/>
  <c r="C581" i="3"/>
  <c r="B581" i="3"/>
  <c r="A581" i="3"/>
  <c r="K580" i="3"/>
  <c r="J580" i="3"/>
  <c r="H580" i="3"/>
  <c r="G580" i="3"/>
  <c r="F580" i="3"/>
  <c r="L580" i="3" s="1"/>
  <c r="E580" i="3"/>
  <c r="I580" i="3" s="1"/>
  <c r="D580" i="3"/>
  <c r="C580" i="3"/>
  <c r="B580" i="3"/>
  <c r="A580" i="3"/>
  <c r="K579" i="3"/>
  <c r="J579" i="3"/>
  <c r="H579" i="3"/>
  <c r="G579" i="3"/>
  <c r="F579" i="3"/>
  <c r="L579" i="3" s="1"/>
  <c r="E579" i="3"/>
  <c r="I579" i="3" s="1"/>
  <c r="D579" i="3"/>
  <c r="C579" i="3"/>
  <c r="B579" i="3"/>
  <c r="A579" i="3"/>
  <c r="K578" i="3"/>
  <c r="J578" i="3"/>
  <c r="H578" i="3"/>
  <c r="G578" i="3"/>
  <c r="F578" i="3"/>
  <c r="L578" i="3" s="1"/>
  <c r="E578" i="3"/>
  <c r="I578" i="3" s="1"/>
  <c r="D578" i="3"/>
  <c r="C578" i="3"/>
  <c r="B578" i="3"/>
  <c r="A578" i="3"/>
  <c r="K577" i="3"/>
  <c r="J577" i="3"/>
  <c r="H577" i="3"/>
  <c r="G577" i="3"/>
  <c r="F577" i="3"/>
  <c r="L577" i="3" s="1"/>
  <c r="E577" i="3"/>
  <c r="I577" i="3" s="1"/>
  <c r="D577" i="3"/>
  <c r="C577" i="3"/>
  <c r="B577" i="3"/>
  <c r="A577" i="3"/>
  <c r="K576" i="3"/>
  <c r="J576" i="3"/>
  <c r="H576" i="3"/>
  <c r="G576" i="3"/>
  <c r="F576" i="3"/>
  <c r="L576" i="3" s="1"/>
  <c r="E576" i="3"/>
  <c r="I576" i="3" s="1"/>
  <c r="D576" i="3"/>
  <c r="C576" i="3"/>
  <c r="B576" i="3"/>
  <c r="A576" i="3"/>
  <c r="K575" i="3"/>
  <c r="J575" i="3"/>
  <c r="H575" i="3"/>
  <c r="G575" i="3"/>
  <c r="F575" i="3"/>
  <c r="L575" i="3" s="1"/>
  <c r="E575" i="3"/>
  <c r="I575" i="3" s="1"/>
  <c r="D575" i="3"/>
  <c r="C575" i="3"/>
  <c r="B575" i="3"/>
  <c r="A575" i="3"/>
  <c r="K574" i="3"/>
  <c r="J574" i="3"/>
  <c r="H574" i="3"/>
  <c r="G574" i="3"/>
  <c r="F574" i="3"/>
  <c r="L574" i="3" s="1"/>
  <c r="E574" i="3"/>
  <c r="I574" i="3" s="1"/>
  <c r="D574" i="3"/>
  <c r="C574" i="3"/>
  <c r="B574" i="3"/>
  <c r="A574" i="3"/>
  <c r="K573" i="3"/>
  <c r="J573" i="3"/>
  <c r="H573" i="3"/>
  <c r="G573" i="3"/>
  <c r="F573" i="3"/>
  <c r="L573" i="3" s="1"/>
  <c r="E573" i="3"/>
  <c r="I573" i="3" s="1"/>
  <c r="D573" i="3"/>
  <c r="C573" i="3"/>
  <c r="B573" i="3"/>
  <c r="A573" i="3"/>
  <c r="K572" i="3"/>
  <c r="J572" i="3"/>
  <c r="H572" i="3"/>
  <c r="G572" i="3"/>
  <c r="F572" i="3"/>
  <c r="L572" i="3" s="1"/>
  <c r="E572" i="3"/>
  <c r="I572" i="3" s="1"/>
  <c r="D572" i="3"/>
  <c r="C572" i="3"/>
  <c r="B572" i="3"/>
  <c r="A572" i="3"/>
  <c r="K571" i="3"/>
  <c r="J571" i="3"/>
  <c r="H571" i="3"/>
  <c r="G571" i="3"/>
  <c r="F571" i="3"/>
  <c r="L571" i="3" s="1"/>
  <c r="E571" i="3"/>
  <c r="I571" i="3" s="1"/>
  <c r="D571" i="3"/>
  <c r="C571" i="3"/>
  <c r="B571" i="3"/>
  <c r="A571" i="3"/>
  <c r="K570" i="3"/>
  <c r="J570" i="3"/>
  <c r="H570" i="3"/>
  <c r="G570" i="3"/>
  <c r="F570" i="3"/>
  <c r="L570" i="3" s="1"/>
  <c r="E570" i="3"/>
  <c r="I570" i="3" s="1"/>
  <c r="D570" i="3"/>
  <c r="C570" i="3"/>
  <c r="B570" i="3"/>
  <c r="A570" i="3"/>
  <c r="K569" i="3"/>
  <c r="J569" i="3"/>
  <c r="H569" i="3"/>
  <c r="G569" i="3"/>
  <c r="F569" i="3"/>
  <c r="L569" i="3" s="1"/>
  <c r="E569" i="3"/>
  <c r="I569" i="3" s="1"/>
  <c r="D569" i="3"/>
  <c r="C569" i="3"/>
  <c r="B569" i="3"/>
  <c r="A569" i="3"/>
  <c r="K568" i="3"/>
  <c r="J568" i="3"/>
  <c r="H568" i="3"/>
  <c r="G568" i="3"/>
  <c r="F568" i="3"/>
  <c r="L568" i="3" s="1"/>
  <c r="E568" i="3"/>
  <c r="I568" i="3" s="1"/>
  <c r="D568" i="3"/>
  <c r="C568" i="3"/>
  <c r="B568" i="3"/>
  <c r="A568" i="3"/>
  <c r="K567" i="3"/>
  <c r="J567" i="3"/>
  <c r="H567" i="3"/>
  <c r="G567" i="3"/>
  <c r="F567" i="3"/>
  <c r="L567" i="3" s="1"/>
  <c r="E567" i="3"/>
  <c r="I567" i="3" s="1"/>
  <c r="D567" i="3"/>
  <c r="C567" i="3"/>
  <c r="B567" i="3"/>
  <c r="A567" i="3"/>
  <c r="K566" i="3"/>
  <c r="J566" i="3"/>
  <c r="H566" i="3"/>
  <c r="G566" i="3"/>
  <c r="F566" i="3"/>
  <c r="L566" i="3" s="1"/>
  <c r="E566" i="3"/>
  <c r="I566" i="3" s="1"/>
  <c r="D566" i="3"/>
  <c r="C566" i="3"/>
  <c r="B566" i="3"/>
  <c r="A566" i="3"/>
  <c r="K565" i="3"/>
  <c r="J565" i="3"/>
  <c r="H565" i="3"/>
  <c r="G565" i="3"/>
  <c r="F565" i="3"/>
  <c r="L565" i="3" s="1"/>
  <c r="E565" i="3"/>
  <c r="I565" i="3" s="1"/>
  <c r="D565" i="3"/>
  <c r="C565" i="3"/>
  <c r="B565" i="3"/>
  <c r="A565" i="3"/>
  <c r="K564" i="3"/>
  <c r="J564" i="3"/>
  <c r="H564" i="3"/>
  <c r="G564" i="3"/>
  <c r="F564" i="3"/>
  <c r="L564" i="3" s="1"/>
  <c r="E564" i="3"/>
  <c r="I564" i="3" s="1"/>
  <c r="D564" i="3"/>
  <c r="C564" i="3"/>
  <c r="B564" i="3"/>
  <c r="A564" i="3"/>
  <c r="K563" i="3"/>
  <c r="J563" i="3"/>
  <c r="H563" i="3"/>
  <c r="G563" i="3"/>
  <c r="F563" i="3"/>
  <c r="L563" i="3" s="1"/>
  <c r="E563" i="3"/>
  <c r="I563" i="3" s="1"/>
  <c r="D563" i="3"/>
  <c r="C563" i="3"/>
  <c r="B563" i="3"/>
  <c r="A563" i="3"/>
  <c r="K562" i="3"/>
  <c r="J562" i="3"/>
  <c r="H562" i="3"/>
  <c r="G562" i="3"/>
  <c r="F562" i="3"/>
  <c r="L562" i="3" s="1"/>
  <c r="E562" i="3"/>
  <c r="I562" i="3" s="1"/>
  <c r="D562" i="3"/>
  <c r="C562" i="3"/>
  <c r="B562" i="3"/>
  <c r="A562" i="3"/>
  <c r="K561" i="3"/>
  <c r="J561" i="3"/>
  <c r="H561" i="3"/>
  <c r="G561" i="3"/>
  <c r="F561" i="3"/>
  <c r="L561" i="3" s="1"/>
  <c r="E561" i="3"/>
  <c r="I561" i="3" s="1"/>
  <c r="D561" i="3"/>
  <c r="C561" i="3"/>
  <c r="B561" i="3"/>
  <c r="A561" i="3"/>
  <c r="K560" i="3"/>
  <c r="J560" i="3"/>
  <c r="H560" i="3"/>
  <c r="G560" i="3"/>
  <c r="F560" i="3"/>
  <c r="L560" i="3" s="1"/>
  <c r="E560" i="3"/>
  <c r="I560" i="3" s="1"/>
  <c r="D560" i="3"/>
  <c r="C560" i="3"/>
  <c r="B560" i="3"/>
  <c r="A560" i="3"/>
  <c r="K559" i="3"/>
  <c r="J559" i="3"/>
  <c r="H559" i="3"/>
  <c r="G559" i="3"/>
  <c r="F559" i="3"/>
  <c r="L559" i="3" s="1"/>
  <c r="E559" i="3"/>
  <c r="I559" i="3" s="1"/>
  <c r="D559" i="3"/>
  <c r="C559" i="3"/>
  <c r="B559" i="3"/>
  <c r="A559" i="3"/>
  <c r="K558" i="3"/>
  <c r="J558" i="3"/>
  <c r="H558" i="3"/>
  <c r="G558" i="3"/>
  <c r="F558" i="3"/>
  <c r="L558" i="3" s="1"/>
  <c r="E558" i="3"/>
  <c r="I558" i="3" s="1"/>
  <c r="D558" i="3"/>
  <c r="C558" i="3"/>
  <c r="B558" i="3"/>
  <c r="A558" i="3"/>
  <c r="K557" i="3"/>
  <c r="J557" i="3"/>
  <c r="H557" i="3"/>
  <c r="G557" i="3"/>
  <c r="F557" i="3"/>
  <c r="L557" i="3" s="1"/>
  <c r="E557" i="3"/>
  <c r="I557" i="3" s="1"/>
  <c r="D557" i="3"/>
  <c r="C557" i="3"/>
  <c r="B557" i="3"/>
  <c r="A557" i="3"/>
  <c r="K556" i="3"/>
  <c r="J556" i="3"/>
  <c r="H556" i="3"/>
  <c r="G556" i="3"/>
  <c r="F556" i="3"/>
  <c r="L556" i="3" s="1"/>
  <c r="E556" i="3"/>
  <c r="I556" i="3" s="1"/>
  <c r="D556" i="3"/>
  <c r="C556" i="3"/>
  <c r="B556" i="3"/>
  <c r="A556" i="3"/>
  <c r="K555" i="3"/>
  <c r="J555" i="3"/>
  <c r="H555" i="3"/>
  <c r="G555" i="3"/>
  <c r="F555" i="3"/>
  <c r="L555" i="3" s="1"/>
  <c r="E555" i="3"/>
  <c r="I555" i="3" s="1"/>
  <c r="D555" i="3"/>
  <c r="C555" i="3"/>
  <c r="B555" i="3"/>
  <c r="A555" i="3"/>
  <c r="K554" i="3"/>
  <c r="J554" i="3"/>
  <c r="H554" i="3"/>
  <c r="G554" i="3"/>
  <c r="F554" i="3"/>
  <c r="L554" i="3" s="1"/>
  <c r="E554" i="3"/>
  <c r="I554" i="3" s="1"/>
  <c r="D554" i="3"/>
  <c r="C554" i="3"/>
  <c r="B554" i="3"/>
  <c r="A554" i="3"/>
  <c r="J553" i="3"/>
  <c r="H553" i="3"/>
  <c r="K553" i="3" s="1"/>
  <c r="G553" i="3"/>
  <c r="F553" i="3"/>
  <c r="L553" i="3" s="1"/>
  <c r="E553" i="3"/>
  <c r="I553" i="3" s="1"/>
  <c r="D553" i="3"/>
  <c r="C553" i="3"/>
  <c r="B553" i="3"/>
  <c r="A553" i="3"/>
  <c r="J552" i="3"/>
  <c r="H552" i="3"/>
  <c r="K552" i="3" s="1"/>
  <c r="G552" i="3"/>
  <c r="F552" i="3"/>
  <c r="L552" i="3" s="1"/>
  <c r="E552" i="3"/>
  <c r="I552" i="3" s="1"/>
  <c r="D552" i="3"/>
  <c r="C552" i="3"/>
  <c r="B552" i="3"/>
  <c r="A552" i="3"/>
  <c r="J551" i="3"/>
  <c r="H551" i="3"/>
  <c r="K551" i="3" s="1"/>
  <c r="G551" i="3"/>
  <c r="F551" i="3"/>
  <c r="L551" i="3" s="1"/>
  <c r="E551" i="3"/>
  <c r="I551" i="3" s="1"/>
  <c r="D551" i="3"/>
  <c r="C551" i="3"/>
  <c r="B551" i="3"/>
  <c r="A551" i="3"/>
  <c r="J550" i="3"/>
  <c r="H550" i="3"/>
  <c r="K550" i="3" s="1"/>
  <c r="G550" i="3"/>
  <c r="F550" i="3"/>
  <c r="L550" i="3" s="1"/>
  <c r="E550" i="3"/>
  <c r="I550" i="3" s="1"/>
  <c r="D550" i="3"/>
  <c r="C550" i="3"/>
  <c r="B550" i="3"/>
  <c r="A550" i="3"/>
  <c r="J549" i="3"/>
  <c r="H549" i="3"/>
  <c r="K549" i="3" s="1"/>
  <c r="G549" i="3"/>
  <c r="F549" i="3"/>
  <c r="L549" i="3" s="1"/>
  <c r="E549" i="3"/>
  <c r="I549" i="3" s="1"/>
  <c r="D549" i="3"/>
  <c r="C549" i="3"/>
  <c r="B549" i="3"/>
  <c r="A549" i="3"/>
  <c r="J548" i="3"/>
  <c r="H548" i="3"/>
  <c r="K548" i="3" s="1"/>
  <c r="G548" i="3"/>
  <c r="F548" i="3"/>
  <c r="L548" i="3" s="1"/>
  <c r="E548" i="3"/>
  <c r="I548" i="3" s="1"/>
  <c r="D548" i="3"/>
  <c r="C548" i="3"/>
  <c r="B548" i="3"/>
  <c r="A548" i="3"/>
  <c r="J547" i="3"/>
  <c r="H547" i="3"/>
  <c r="K547" i="3" s="1"/>
  <c r="G547" i="3"/>
  <c r="F547" i="3"/>
  <c r="L547" i="3" s="1"/>
  <c r="E547" i="3"/>
  <c r="I547" i="3" s="1"/>
  <c r="D547" i="3"/>
  <c r="C547" i="3"/>
  <c r="B547" i="3"/>
  <c r="A547" i="3"/>
  <c r="J546" i="3"/>
  <c r="H546" i="3"/>
  <c r="K546" i="3" s="1"/>
  <c r="G546" i="3"/>
  <c r="F546" i="3"/>
  <c r="L546" i="3" s="1"/>
  <c r="E546" i="3"/>
  <c r="I546" i="3" s="1"/>
  <c r="D546" i="3"/>
  <c r="C546" i="3"/>
  <c r="B546" i="3"/>
  <c r="A546" i="3"/>
  <c r="J545" i="3"/>
  <c r="H545" i="3"/>
  <c r="K545" i="3" s="1"/>
  <c r="G545" i="3"/>
  <c r="F545" i="3"/>
  <c r="L545" i="3" s="1"/>
  <c r="E545" i="3"/>
  <c r="I545" i="3" s="1"/>
  <c r="D545" i="3"/>
  <c r="C545" i="3"/>
  <c r="B545" i="3"/>
  <c r="A545" i="3"/>
  <c r="J544" i="3"/>
  <c r="H544" i="3"/>
  <c r="K544" i="3" s="1"/>
  <c r="G544" i="3"/>
  <c r="F544" i="3"/>
  <c r="L544" i="3" s="1"/>
  <c r="E544" i="3"/>
  <c r="I544" i="3" s="1"/>
  <c r="D544" i="3"/>
  <c r="C544" i="3"/>
  <c r="B544" i="3"/>
  <c r="A544" i="3"/>
  <c r="J543" i="3"/>
  <c r="H543" i="3"/>
  <c r="K543" i="3" s="1"/>
  <c r="G543" i="3"/>
  <c r="F543" i="3"/>
  <c r="L543" i="3" s="1"/>
  <c r="E543" i="3"/>
  <c r="I543" i="3" s="1"/>
  <c r="D543" i="3"/>
  <c r="C543" i="3"/>
  <c r="B543" i="3"/>
  <c r="A543" i="3"/>
  <c r="J542" i="3"/>
  <c r="H542" i="3"/>
  <c r="K542" i="3" s="1"/>
  <c r="G542" i="3"/>
  <c r="F542" i="3"/>
  <c r="L542" i="3" s="1"/>
  <c r="E542" i="3"/>
  <c r="I542" i="3" s="1"/>
  <c r="D542" i="3"/>
  <c r="C542" i="3"/>
  <c r="B542" i="3"/>
  <c r="A542" i="3"/>
  <c r="J541" i="3"/>
  <c r="H541" i="3"/>
  <c r="K541" i="3" s="1"/>
  <c r="G541" i="3"/>
  <c r="F541" i="3"/>
  <c r="L541" i="3" s="1"/>
  <c r="E541" i="3"/>
  <c r="I541" i="3" s="1"/>
  <c r="D541" i="3"/>
  <c r="C541" i="3"/>
  <c r="B541" i="3"/>
  <c r="A541" i="3"/>
  <c r="J540" i="3"/>
  <c r="H540" i="3"/>
  <c r="K540" i="3" s="1"/>
  <c r="G540" i="3"/>
  <c r="F540" i="3"/>
  <c r="L540" i="3" s="1"/>
  <c r="E540" i="3"/>
  <c r="I540" i="3" s="1"/>
  <c r="D540" i="3"/>
  <c r="C540" i="3"/>
  <c r="B540" i="3"/>
  <c r="A540" i="3"/>
  <c r="J539" i="3"/>
  <c r="H539" i="3"/>
  <c r="K539" i="3" s="1"/>
  <c r="G539" i="3"/>
  <c r="F539" i="3"/>
  <c r="L539" i="3" s="1"/>
  <c r="E539" i="3"/>
  <c r="I539" i="3" s="1"/>
  <c r="D539" i="3"/>
  <c r="C539" i="3"/>
  <c r="B539" i="3"/>
  <c r="A539" i="3"/>
  <c r="J538" i="3"/>
  <c r="H538" i="3"/>
  <c r="K538" i="3" s="1"/>
  <c r="G538" i="3"/>
  <c r="F538" i="3"/>
  <c r="L538" i="3" s="1"/>
  <c r="E538" i="3"/>
  <c r="I538" i="3" s="1"/>
  <c r="D538" i="3"/>
  <c r="C538" i="3"/>
  <c r="B538" i="3"/>
  <c r="A538" i="3"/>
  <c r="J537" i="3"/>
  <c r="H537" i="3"/>
  <c r="K537" i="3" s="1"/>
  <c r="G537" i="3"/>
  <c r="F537" i="3"/>
  <c r="L537" i="3" s="1"/>
  <c r="E537" i="3"/>
  <c r="I537" i="3" s="1"/>
  <c r="D537" i="3"/>
  <c r="C537" i="3"/>
  <c r="B537" i="3"/>
  <c r="A537" i="3"/>
  <c r="J536" i="3"/>
  <c r="H536" i="3"/>
  <c r="K536" i="3" s="1"/>
  <c r="G536" i="3"/>
  <c r="F536" i="3"/>
  <c r="L536" i="3" s="1"/>
  <c r="E536" i="3"/>
  <c r="I536" i="3" s="1"/>
  <c r="D536" i="3"/>
  <c r="C536" i="3"/>
  <c r="B536" i="3"/>
  <c r="A536" i="3"/>
  <c r="J535" i="3"/>
  <c r="H535" i="3"/>
  <c r="K535" i="3" s="1"/>
  <c r="G535" i="3"/>
  <c r="F535" i="3"/>
  <c r="L535" i="3" s="1"/>
  <c r="E535" i="3"/>
  <c r="I535" i="3" s="1"/>
  <c r="D535" i="3"/>
  <c r="C535" i="3"/>
  <c r="B535" i="3"/>
  <c r="A535" i="3"/>
  <c r="J534" i="3"/>
  <c r="H534" i="3"/>
  <c r="K534" i="3" s="1"/>
  <c r="G534" i="3"/>
  <c r="F534" i="3"/>
  <c r="L534" i="3" s="1"/>
  <c r="E534" i="3"/>
  <c r="I534" i="3" s="1"/>
  <c r="D534" i="3"/>
  <c r="C534" i="3"/>
  <c r="B534" i="3"/>
  <c r="A534" i="3"/>
  <c r="J533" i="3"/>
  <c r="H533" i="3"/>
  <c r="K533" i="3" s="1"/>
  <c r="G533" i="3"/>
  <c r="F533" i="3"/>
  <c r="L533" i="3" s="1"/>
  <c r="E533" i="3"/>
  <c r="I533" i="3" s="1"/>
  <c r="D533" i="3"/>
  <c r="C533" i="3"/>
  <c r="B533" i="3"/>
  <c r="A533" i="3"/>
  <c r="J532" i="3"/>
  <c r="H532" i="3"/>
  <c r="K532" i="3" s="1"/>
  <c r="G532" i="3"/>
  <c r="F532" i="3"/>
  <c r="L532" i="3" s="1"/>
  <c r="E532" i="3"/>
  <c r="I532" i="3" s="1"/>
  <c r="D532" i="3"/>
  <c r="C532" i="3"/>
  <c r="B532" i="3"/>
  <c r="A532" i="3"/>
  <c r="H531" i="3"/>
  <c r="K531" i="3" s="1"/>
  <c r="G531" i="3"/>
  <c r="F531" i="3"/>
  <c r="L531" i="3" s="1"/>
  <c r="E531" i="3"/>
  <c r="I531" i="3" s="1"/>
  <c r="D531" i="3"/>
  <c r="J531" i="3" s="1"/>
  <c r="C531" i="3"/>
  <c r="B531" i="3"/>
  <c r="A531" i="3"/>
  <c r="H530" i="3"/>
  <c r="K530" i="3" s="1"/>
  <c r="G530" i="3"/>
  <c r="F530" i="3"/>
  <c r="L530" i="3" s="1"/>
  <c r="E530" i="3"/>
  <c r="I530" i="3" s="1"/>
  <c r="D530" i="3"/>
  <c r="J530" i="3" s="1"/>
  <c r="C530" i="3"/>
  <c r="B530" i="3"/>
  <c r="A530" i="3"/>
  <c r="H529" i="3"/>
  <c r="K529" i="3" s="1"/>
  <c r="G529" i="3"/>
  <c r="F529" i="3"/>
  <c r="L529" i="3" s="1"/>
  <c r="E529" i="3"/>
  <c r="I529" i="3" s="1"/>
  <c r="D529" i="3"/>
  <c r="J529" i="3" s="1"/>
  <c r="C529" i="3"/>
  <c r="B529" i="3"/>
  <c r="A529" i="3"/>
  <c r="H528" i="3"/>
  <c r="K528" i="3" s="1"/>
  <c r="G528" i="3"/>
  <c r="F528" i="3"/>
  <c r="L528" i="3" s="1"/>
  <c r="E528" i="3"/>
  <c r="I528" i="3" s="1"/>
  <c r="D528" i="3"/>
  <c r="J528" i="3" s="1"/>
  <c r="C528" i="3"/>
  <c r="B528" i="3"/>
  <c r="A528" i="3"/>
  <c r="H527" i="3"/>
  <c r="K527" i="3" s="1"/>
  <c r="G527" i="3"/>
  <c r="F527" i="3"/>
  <c r="L527" i="3" s="1"/>
  <c r="E527" i="3"/>
  <c r="I527" i="3" s="1"/>
  <c r="D527" i="3"/>
  <c r="J527" i="3" s="1"/>
  <c r="C527" i="3"/>
  <c r="B527" i="3"/>
  <c r="A527" i="3"/>
  <c r="H526" i="3"/>
  <c r="K526" i="3" s="1"/>
  <c r="G526" i="3"/>
  <c r="F526" i="3"/>
  <c r="L526" i="3" s="1"/>
  <c r="E526" i="3"/>
  <c r="I526" i="3" s="1"/>
  <c r="D526" i="3"/>
  <c r="J526" i="3" s="1"/>
  <c r="C526" i="3"/>
  <c r="B526" i="3"/>
  <c r="A526" i="3"/>
  <c r="H525" i="3"/>
  <c r="K525" i="3" s="1"/>
  <c r="G525" i="3"/>
  <c r="F525" i="3"/>
  <c r="L525" i="3" s="1"/>
  <c r="E525" i="3"/>
  <c r="I525" i="3" s="1"/>
  <c r="D525" i="3"/>
  <c r="J525" i="3" s="1"/>
  <c r="C525" i="3"/>
  <c r="B525" i="3"/>
  <c r="A525" i="3"/>
  <c r="H524" i="3"/>
  <c r="K524" i="3" s="1"/>
  <c r="G524" i="3"/>
  <c r="F524" i="3"/>
  <c r="L524" i="3" s="1"/>
  <c r="E524" i="3"/>
  <c r="I524" i="3" s="1"/>
  <c r="D524" i="3"/>
  <c r="J524" i="3" s="1"/>
  <c r="C524" i="3"/>
  <c r="B524" i="3"/>
  <c r="A524" i="3"/>
  <c r="H523" i="3"/>
  <c r="K523" i="3" s="1"/>
  <c r="G523" i="3"/>
  <c r="F523" i="3"/>
  <c r="L523" i="3" s="1"/>
  <c r="E523" i="3"/>
  <c r="I523" i="3" s="1"/>
  <c r="D523" i="3"/>
  <c r="J523" i="3" s="1"/>
  <c r="C523" i="3"/>
  <c r="B523" i="3"/>
  <c r="A523" i="3"/>
  <c r="H522" i="3"/>
  <c r="K522" i="3" s="1"/>
  <c r="G522" i="3"/>
  <c r="F522" i="3"/>
  <c r="L522" i="3" s="1"/>
  <c r="E522" i="3"/>
  <c r="I522" i="3" s="1"/>
  <c r="D522" i="3"/>
  <c r="J522" i="3" s="1"/>
  <c r="C522" i="3"/>
  <c r="B522" i="3"/>
  <c r="A522" i="3"/>
  <c r="H521" i="3"/>
  <c r="K521" i="3" s="1"/>
  <c r="G521" i="3"/>
  <c r="F521" i="3"/>
  <c r="L521" i="3" s="1"/>
  <c r="E521" i="3"/>
  <c r="I521" i="3" s="1"/>
  <c r="D521" i="3"/>
  <c r="J521" i="3" s="1"/>
  <c r="C521" i="3"/>
  <c r="B521" i="3"/>
  <c r="A521" i="3"/>
  <c r="H520" i="3"/>
  <c r="K520" i="3" s="1"/>
  <c r="G520" i="3"/>
  <c r="F520" i="3"/>
  <c r="L520" i="3" s="1"/>
  <c r="E520" i="3"/>
  <c r="I520" i="3" s="1"/>
  <c r="D520" i="3"/>
  <c r="J520" i="3" s="1"/>
  <c r="C520" i="3"/>
  <c r="B520" i="3"/>
  <c r="A520" i="3"/>
  <c r="H519" i="3"/>
  <c r="K519" i="3" s="1"/>
  <c r="G519" i="3"/>
  <c r="F519" i="3"/>
  <c r="L519" i="3" s="1"/>
  <c r="E519" i="3"/>
  <c r="I519" i="3" s="1"/>
  <c r="D519" i="3"/>
  <c r="J519" i="3" s="1"/>
  <c r="C519" i="3"/>
  <c r="B519" i="3"/>
  <c r="A519" i="3"/>
  <c r="H518" i="3"/>
  <c r="K518" i="3" s="1"/>
  <c r="G518" i="3"/>
  <c r="F518" i="3"/>
  <c r="L518" i="3" s="1"/>
  <c r="E518" i="3"/>
  <c r="I518" i="3" s="1"/>
  <c r="D518" i="3"/>
  <c r="J518" i="3" s="1"/>
  <c r="C518" i="3"/>
  <c r="B518" i="3"/>
  <c r="A518" i="3"/>
  <c r="H517" i="3"/>
  <c r="K517" i="3" s="1"/>
  <c r="G517" i="3"/>
  <c r="F517" i="3"/>
  <c r="L517" i="3" s="1"/>
  <c r="E517" i="3"/>
  <c r="I517" i="3" s="1"/>
  <c r="D517" i="3"/>
  <c r="J517" i="3" s="1"/>
  <c r="C517" i="3"/>
  <c r="B517" i="3"/>
  <c r="A517" i="3"/>
  <c r="H516" i="3"/>
  <c r="K516" i="3" s="1"/>
  <c r="G516" i="3"/>
  <c r="F516" i="3"/>
  <c r="L516" i="3" s="1"/>
  <c r="E516" i="3"/>
  <c r="I516" i="3" s="1"/>
  <c r="D516" i="3"/>
  <c r="J516" i="3" s="1"/>
  <c r="C516" i="3"/>
  <c r="B516" i="3"/>
  <c r="A516" i="3"/>
  <c r="H515" i="3"/>
  <c r="K515" i="3" s="1"/>
  <c r="G515" i="3"/>
  <c r="F515" i="3"/>
  <c r="L515" i="3" s="1"/>
  <c r="E515" i="3"/>
  <c r="I515" i="3" s="1"/>
  <c r="D515" i="3"/>
  <c r="J515" i="3" s="1"/>
  <c r="C515" i="3"/>
  <c r="B515" i="3"/>
  <c r="A515" i="3"/>
  <c r="H514" i="3"/>
  <c r="K514" i="3" s="1"/>
  <c r="G514" i="3"/>
  <c r="F514" i="3"/>
  <c r="L514" i="3" s="1"/>
  <c r="E514" i="3"/>
  <c r="I514" i="3" s="1"/>
  <c r="D514" i="3"/>
  <c r="J514" i="3" s="1"/>
  <c r="C514" i="3"/>
  <c r="B514" i="3"/>
  <c r="A514" i="3"/>
  <c r="H513" i="3"/>
  <c r="K513" i="3" s="1"/>
  <c r="G513" i="3"/>
  <c r="F513" i="3"/>
  <c r="L513" i="3" s="1"/>
  <c r="E513" i="3"/>
  <c r="I513" i="3" s="1"/>
  <c r="D513" i="3"/>
  <c r="J513" i="3" s="1"/>
  <c r="C513" i="3"/>
  <c r="B513" i="3"/>
  <c r="A513" i="3"/>
  <c r="H512" i="3"/>
  <c r="K512" i="3" s="1"/>
  <c r="G512" i="3"/>
  <c r="F512" i="3"/>
  <c r="L512" i="3" s="1"/>
  <c r="E512" i="3"/>
  <c r="I512" i="3" s="1"/>
  <c r="D512" i="3"/>
  <c r="J512" i="3" s="1"/>
  <c r="C512" i="3"/>
  <c r="B512" i="3"/>
  <c r="A512" i="3"/>
  <c r="H511" i="3"/>
  <c r="K511" i="3" s="1"/>
  <c r="G511" i="3"/>
  <c r="F511" i="3"/>
  <c r="L511" i="3" s="1"/>
  <c r="E511" i="3"/>
  <c r="I511" i="3" s="1"/>
  <c r="D511" i="3"/>
  <c r="J511" i="3" s="1"/>
  <c r="C511" i="3"/>
  <c r="B511" i="3"/>
  <c r="A511" i="3"/>
  <c r="H510" i="3"/>
  <c r="K510" i="3" s="1"/>
  <c r="G510" i="3"/>
  <c r="F510" i="3"/>
  <c r="L510" i="3" s="1"/>
  <c r="E510" i="3"/>
  <c r="I510" i="3" s="1"/>
  <c r="D510" i="3"/>
  <c r="J510" i="3" s="1"/>
  <c r="C510" i="3"/>
  <c r="B510" i="3"/>
  <c r="A510" i="3"/>
  <c r="H509" i="3"/>
  <c r="K509" i="3" s="1"/>
  <c r="G509" i="3"/>
  <c r="F509" i="3"/>
  <c r="L509" i="3" s="1"/>
  <c r="E509" i="3"/>
  <c r="I509" i="3" s="1"/>
  <c r="D509" i="3"/>
  <c r="J509" i="3" s="1"/>
  <c r="C509" i="3"/>
  <c r="B509" i="3"/>
  <c r="A509" i="3"/>
  <c r="H508" i="3"/>
  <c r="K508" i="3" s="1"/>
  <c r="G508" i="3"/>
  <c r="F508" i="3"/>
  <c r="L508" i="3" s="1"/>
  <c r="E508" i="3"/>
  <c r="I508" i="3" s="1"/>
  <c r="D508" i="3"/>
  <c r="J508" i="3" s="1"/>
  <c r="C508" i="3"/>
  <c r="B508" i="3"/>
  <c r="A508" i="3"/>
  <c r="H507" i="3"/>
  <c r="K507" i="3" s="1"/>
  <c r="G507" i="3"/>
  <c r="F507" i="3"/>
  <c r="L507" i="3" s="1"/>
  <c r="E507" i="3"/>
  <c r="I507" i="3" s="1"/>
  <c r="D507" i="3"/>
  <c r="J507" i="3" s="1"/>
  <c r="C507" i="3"/>
  <c r="B507" i="3"/>
  <c r="A507" i="3"/>
  <c r="H506" i="3"/>
  <c r="K506" i="3" s="1"/>
  <c r="G506" i="3"/>
  <c r="F506" i="3"/>
  <c r="L506" i="3" s="1"/>
  <c r="E506" i="3"/>
  <c r="I506" i="3" s="1"/>
  <c r="D506" i="3"/>
  <c r="J506" i="3" s="1"/>
  <c r="C506" i="3"/>
  <c r="B506" i="3"/>
  <c r="A506" i="3"/>
  <c r="J505" i="3"/>
  <c r="H505" i="3"/>
  <c r="K505" i="3" s="1"/>
  <c r="G505" i="3"/>
  <c r="F505" i="3"/>
  <c r="L505" i="3" s="1"/>
  <c r="E505" i="3"/>
  <c r="I505" i="3" s="1"/>
  <c r="D505" i="3"/>
  <c r="C505" i="3"/>
  <c r="B505" i="3"/>
  <c r="A505" i="3"/>
  <c r="J504" i="3"/>
  <c r="H504" i="3"/>
  <c r="K504" i="3" s="1"/>
  <c r="G504" i="3"/>
  <c r="F504" i="3"/>
  <c r="L504" i="3" s="1"/>
  <c r="E504" i="3"/>
  <c r="I504" i="3" s="1"/>
  <c r="D504" i="3"/>
  <c r="C504" i="3"/>
  <c r="B504" i="3"/>
  <c r="A504" i="3"/>
  <c r="J503" i="3"/>
  <c r="H503" i="3"/>
  <c r="K503" i="3" s="1"/>
  <c r="G503" i="3"/>
  <c r="F503" i="3"/>
  <c r="L503" i="3" s="1"/>
  <c r="E503" i="3"/>
  <c r="I503" i="3" s="1"/>
  <c r="D503" i="3"/>
  <c r="C503" i="3"/>
  <c r="B503" i="3"/>
  <c r="A503" i="3"/>
  <c r="J502" i="3"/>
  <c r="H502" i="3"/>
  <c r="K502" i="3" s="1"/>
  <c r="G502" i="3"/>
  <c r="F502" i="3"/>
  <c r="L502" i="3" s="1"/>
  <c r="E502" i="3"/>
  <c r="I502" i="3" s="1"/>
  <c r="D502" i="3"/>
  <c r="C502" i="3"/>
  <c r="B502" i="3"/>
  <c r="A502" i="3"/>
  <c r="J501" i="3"/>
  <c r="H501" i="3"/>
  <c r="K501" i="3" s="1"/>
  <c r="G501" i="3"/>
  <c r="F501" i="3"/>
  <c r="L501" i="3" s="1"/>
  <c r="E501" i="3"/>
  <c r="I501" i="3" s="1"/>
  <c r="D501" i="3"/>
  <c r="C501" i="3"/>
  <c r="B501" i="3"/>
  <c r="A501" i="3"/>
  <c r="J500" i="3"/>
  <c r="H500" i="3"/>
  <c r="K500" i="3" s="1"/>
  <c r="G500" i="3"/>
  <c r="F500" i="3"/>
  <c r="L500" i="3" s="1"/>
  <c r="E500" i="3"/>
  <c r="I500" i="3" s="1"/>
  <c r="D500" i="3"/>
  <c r="C500" i="3"/>
  <c r="B500" i="3"/>
  <c r="A500" i="3"/>
  <c r="J499" i="3"/>
  <c r="H499" i="3"/>
  <c r="K499" i="3" s="1"/>
  <c r="G499" i="3"/>
  <c r="F499" i="3"/>
  <c r="L499" i="3" s="1"/>
  <c r="E499" i="3"/>
  <c r="I499" i="3" s="1"/>
  <c r="D499" i="3"/>
  <c r="C499" i="3"/>
  <c r="B499" i="3"/>
  <c r="A499" i="3"/>
  <c r="J498" i="3"/>
  <c r="H498" i="3"/>
  <c r="K498" i="3" s="1"/>
  <c r="G498" i="3"/>
  <c r="F498" i="3"/>
  <c r="L498" i="3" s="1"/>
  <c r="E498" i="3"/>
  <c r="I498" i="3" s="1"/>
  <c r="D498" i="3"/>
  <c r="C498" i="3"/>
  <c r="B498" i="3"/>
  <c r="A498" i="3"/>
  <c r="J497" i="3"/>
  <c r="H497" i="3"/>
  <c r="K497" i="3" s="1"/>
  <c r="G497" i="3"/>
  <c r="F497" i="3"/>
  <c r="L497" i="3" s="1"/>
  <c r="E497" i="3"/>
  <c r="I497" i="3" s="1"/>
  <c r="D497" i="3"/>
  <c r="C497" i="3"/>
  <c r="B497" i="3"/>
  <c r="A497" i="3"/>
  <c r="J496" i="3"/>
  <c r="H496" i="3"/>
  <c r="K496" i="3" s="1"/>
  <c r="G496" i="3"/>
  <c r="F496" i="3"/>
  <c r="L496" i="3" s="1"/>
  <c r="E496" i="3"/>
  <c r="I496" i="3" s="1"/>
  <c r="D496" i="3"/>
  <c r="C496" i="3"/>
  <c r="B496" i="3"/>
  <c r="A496" i="3"/>
  <c r="J495" i="3"/>
  <c r="H495" i="3"/>
  <c r="K495" i="3" s="1"/>
  <c r="G495" i="3"/>
  <c r="F495" i="3"/>
  <c r="L495" i="3" s="1"/>
  <c r="E495" i="3"/>
  <c r="I495" i="3" s="1"/>
  <c r="D495" i="3"/>
  <c r="C495" i="3"/>
  <c r="B495" i="3"/>
  <c r="A495" i="3"/>
  <c r="J494" i="3"/>
  <c r="H494" i="3"/>
  <c r="K494" i="3" s="1"/>
  <c r="G494" i="3"/>
  <c r="F494" i="3"/>
  <c r="L494" i="3" s="1"/>
  <c r="E494" i="3"/>
  <c r="I494" i="3" s="1"/>
  <c r="D494" i="3"/>
  <c r="C494" i="3"/>
  <c r="B494" i="3"/>
  <c r="A494" i="3"/>
  <c r="J493" i="3"/>
  <c r="H493" i="3"/>
  <c r="K493" i="3" s="1"/>
  <c r="G493" i="3"/>
  <c r="F493" i="3"/>
  <c r="L493" i="3" s="1"/>
  <c r="E493" i="3"/>
  <c r="I493" i="3" s="1"/>
  <c r="D493" i="3"/>
  <c r="C493" i="3"/>
  <c r="B493" i="3"/>
  <c r="A493" i="3"/>
  <c r="J492" i="3"/>
  <c r="H492" i="3"/>
  <c r="K492" i="3" s="1"/>
  <c r="G492" i="3"/>
  <c r="F492" i="3"/>
  <c r="L492" i="3" s="1"/>
  <c r="E492" i="3"/>
  <c r="I492" i="3" s="1"/>
  <c r="D492" i="3"/>
  <c r="C492" i="3"/>
  <c r="B492" i="3"/>
  <c r="A492" i="3"/>
  <c r="J491" i="3"/>
  <c r="H491" i="3"/>
  <c r="K491" i="3" s="1"/>
  <c r="G491" i="3"/>
  <c r="F491" i="3"/>
  <c r="L491" i="3" s="1"/>
  <c r="E491" i="3"/>
  <c r="I491" i="3" s="1"/>
  <c r="D491" i="3"/>
  <c r="C491" i="3"/>
  <c r="B491" i="3"/>
  <c r="A491" i="3"/>
  <c r="J490" i="3"/>
  <c r="H490" i="3"/>
  <c r="K490" i="3" s="1"/>
  <c r="G490" i="3"/>
  <c r="F490" i="3"/>
  <c r="L490" i="3" s="1"/>
  <c r="E490" i="3"/>
  <c r="I490" i="3" s="1"/>
  <c r="D490" i="3"/>
  <c r="C490" i="3"/>
  <c r="B490" i="3"/>
  <c r="A490" i="3"/>
  <c r="J489" i="3"/>
  <c r="H489" i="3"/>
  <c r="K489" i="3" s="1"/>
  <c r="G489" i="3"/>
  <c r="F489" i="3"/>
  <c r="L489" i="3" s="1"/>
  <c r="E489" i="3"/>
  <c r="I489" i="3" s="1"/>
  <c r="D489" i="3"/>
  <c r="C489" i="3"/>
  <c r="B489" i="3"/>
  <c r="A489" i="3"/>
  <c r="J488" i="3"/>
  <c r="H488" i="3"/>
  <c r="K488" i="3" s="1"/>
  <c r="G488" i="3"/>
  <c r="F488" i="3"/>
  <c r="L488" i="3" s="1"/>
  <c r="E488" i="3"/>
  <c r="I488" i="3" s="1"/>
  <c r="D488" i="3"/>
  <c r="C488" i="3"/>
  <c r="B488" i="3"/>
  <c r="A488" i="3"/>
  <c r="J487" i="3"/>
  <c r="H487" i="3"/>
  <c r="K487" i="3" s="1"/>
  <c r="G487" i="3"/>
  <c r="F487" i="3"/>
  <c r="L487" i="3" s="1"/>
  <c r="E487" i="3"/>
  <c r="I487" i="3" s="1"/>
  <c r="D487" i="3"/>
  <c r="C487" i="3"/>
  <c r="B487" i="3"/>
  <c r="A487" i="3"/>
  <c r="J486" i="3"/>
  <c r="H486" i="3"/>
  <c r="K486" i="3" s="1"/>
  <c r="G486" i="3"/>
  <c r="F486" i="3"/>
  <c r="L486" i="3" s="1"/>
  <c r="E486" i="3"/>
  <c r="I486" i="3" s="1"/>
  <c r="D486" i="3"/>
  <c r="C486" i="3"/>
  <c r="B486" i="3"/>
  <c r="A486" i="3"/>
  <c r="J485" i="3"/>
  <c r="H485" i="3"/>
  <c r="K485" i="3" s="1"/>
  <c r="G485" i="3"/>
  <c r="F485" i="3"/>
  <c r="L485" i="3" s="1"/>
  <c r="E485" i="3"/>
  <c r="I485" i="3" s="1"/>
  <c r="D485" i="3"/>
  <c r="C485" i="3"/>
  <c r="B485" i="3"/>
  <c r="A485" i="3"/>
  <c r="J484" i="3"/>
  <c r="H484" i="3"/>
  <c r="K484" i="3" s="1"/>
  <c r="G484" i="3"/>
  <c r="F484" i="3"/>
  <c r="L484" i="3" s="1"/>
  <c r="E484" i="3"/>
  <c r="I484" i="3" s="1"/>
  <c r="D484" i="3"/>
  <c r="C484" i="3"/>
  <c r="B484" i="3"/>
  <c r="A484" i="3"/>
  <c r="J483" i="3"/>
  <c r="H483" i="3"/>
  <c r="K483" i="3" s="1"/>
  <c r="G483" i="3"/>
  <c r="F483" i="3"/>
  <c r="L483" i="3" s="1"/>
  <c r="E483" i="3"/>
  <c r="I483" i="3" s="1"/>
  <c r="D483" i="3"/>
  <c r="C483" i="3"/>
  <c r="B483" i="3"/>
  <c r="A483" i="3"/>
  <c r="J482" i="3"/>
  <c r="H482" i="3"/>
  <c r="K482" i="3" s="1"/>
  <c r="G482" i="3"/>
  <c r="F482" i="3"/>
  <c r="L482" i="3" s="1"/>
  <c r="E482" i="3"/>
  <c r="I482" i="3" s="1"/>
  <c r="D482" i="3"/>
  <c r="C482" i="3"/>
  <c r="B482" i="3"/>
  <c r="A482" i="3"/>
  <c r="J481" i="3"/>
  <c r="H481" i="3"/>
  <c r="K481" i="3" s="1"/>
  <c r="G481" i="3"/>
  <c r="F481" i="3"/>
  <c r="L481" i="3" s="1"/>
  <c r="E481" i="3"/>
  <c r="I481" i="3" s="1"/>
  <c r="D481" i="3"/>
  <c r="C481" i="3"/>
  <c r="B481" i="3"/>
  <c r="A481" i="3"/>
  <c r="J480" i="3"/>
  <c r="H480" i="3"/>
  <c r="K480" i="3" s="1"/>
  <c r="G480" i="3"/>
  <c r="F480" i="3"/>
  <c r="L480" i="3" s="1"/>
  <c r="E480" i="3"/>
  <c r="I480" i="3" s="1"/>
  <c r="D480" i="3"/>
  <c r="C480" i="3"/>
  <c r="B480" i="3"/>
  <c r="A480" i="3"/>
  <c r="J479" i="3"/>
  <c r="H479" i="3"/>
  <c r="K479" i="3" s="1"/>
  <c r="G479" i="3"/>
  <c r="F479" i="3"/>
  <c r="L479" i="3" s="1"/>
  <c r="E479" i="3"/>
  <c r="I479" i="3" s="1"/>
  <c r="D479" i="3"/>
  <c r="C479" i="3"/>
  <c r="B479" i="3"/>
  <c r="A479" i="3"/>
  <c r="J478" i="3"/>
  <c r="H478" i="3"/>
  <c r="K478" i="3" s="1"/>
  <c r="G478" i="3"/>
  <c r="F478" i="3"/>
  <c r="L478" i="3" s="1"/>
  <c r="E478" i="3"/>
  <c r="I478" i="3" s="1"/>
  <c r="D478" i="3"/>
  <c r="C478" i="3"/>
  <c r="B478" i="3"/>
  <c r="A478" i="3"/>
  <c r="J477" i="3"/>
  <c r="H477" i="3"/>
  <c r="K477" i="3" s="1"/>
  <c r="G477" i="3"/>
  <c r="F477" i="3"/>
  <c r="L477" i="3" s="1"/>
  <c r="E477" i="3"/>
  <c r="I477" i="3" s="1"/>
  <c r="D477" i="3"/>
  <c r="C477" i="3"/>
  <c r="B477" i="3"/>
  <c r="A477" i="3"/>
  <c r="J476" i="3"/>
  <c r="H476" i="3"/>
  <c r="K476" i="3" s="1"/>
  <c r="G476" i="3"/>
  <c r="F476" i="3"/>
  <c r="L476" i="3" s="1"/>
  <c r="E476" i="3"/>
  <c r="I476" i="3" s="1"/>
  <c r="D476" i="3"/>
  <c r="C476" i="3"/>
  <c r="B476" i="3"/>
  <c r="A476" i="3"/>
  <c r="J475" i="3"/>
  <c r="H475" i="3"/>
  <c r="K475" i="3" s="1"/>
  <c r="G475" i="3"/>
  <c r="F475" i="3"/>
  <c r="L475" i="3" s="1"/>
  <c r="E475" i="3"/>
  <c r="I475" i="3" s="1"/>
  <c r="D475" i="3"/>
  <c r="C475" i="3"/>
  <c r="B475" i="3"/>
  <c r="A475" i="3"/>
  <c r="J474" i="3"/>
  <c r="H474" i="3"/>
  <c r="K474" i="3" s="1"/>
  <c r="G474" i="3"/>
  <c r="F474" i="3"/>
  <c r="L474" i="3" s="1"/>
  <c r="E474" i="3"/>
  <c r="I474" i="3" s="1"/>
  <c r="D474" i="3"/>
  <c r="C474" i="3"/>
  <c r="B474" i="3"/>
  <c r="A474" i="3"/>
  <c r="J473" i="3"/>
  <c r="H473" i="3"/>
  <c r="K473" i="3" s="1"/>
  <c r="G473" i="3"/>
  <c r="F473" i="3"/>
  <c r="L473" i="3" s="1"/>
  <c r="E473" i="3"/>
  <c r="I473" i="3" s="1"/>
  <c r="D473" i="3"/>
  <c r="C473" i="3"/>
  <c r="B473" i="3"/>
  <c r="A473" i="3"/>
  <c r="J472" i="3"/>
  <c r="H472" i="3"/>
  <c r="K472" i="3" s="1"/>
  <c r="G472" i="3"/>
  <c r="F472" i="3"/>
  <c r="L472" i="3" s="1"/>
  <c r="E472" i="3"/>
  <c r="I472" i="3" s="1"/>
  <c r="D472" i="3"/>
  <c r="C472" i="3"/>
  <c r="B472" i="3"/>
  <c r="A472" i="3"/>
  <c r="J471" i="3"/>
  <c r="H471" i="3"/>
  <c r="K471" i="3" s="1"/>
  <c r="G471" i="3"/>
  <c r="F471" i="3"/>
  <c r="L471" i="3" s="1"/>
  <c r="E471" i="3"/>
  <c r="I471" i="3" s="1"/>
  <c r="D471" i="3"/>
  <c r="C471" i="3"/>
  <c r="B471" i="3"/>
  <c r="A471" i="3"/>
  <c r="J470" i="3"/>
  <c r="H470" i="3"/>
  <c r="K470" i="3" s="1"/>
  <c r="G470" i="3"/>
  <c r="F470" i="3"/>
  <c r="L470" i="3" s="1"/>
  <c r="E470" i="3"/>
  <c r="I470" i="3" s="1"/>
  <c r="D470" i="3"/>
  <c r="C470" i="3"/>
  <c r="B470" i="3"/>
  <c r="A470" i="3"/>
  <c r="J469" i="3"/>
  <c r="H469" i="3"/>
  <c r="K469" i="3" s="1"/>
  <c r="G469" i="3"/>
  <c r="F469" i="3"/>
  <c r="L469" i="3" s="1"/>
  <c r="E469" i="3"/>
  <c r="I469" i="3" s="1"/>
  <c r="D469" i="3"/>
  <c r="C469" i="3"/>
  <c r="B469" i="3"/>
  <c r="A469" i="3"/>
  <c r="J468" i="3"/>
  <c r="H468" i="3"/>
  <c r="K468" i="3" s="1"/>
  <c r="G468" i="3"/>
  <c r="F468" i="3"/>
  <c r="L468" i="3" s="1"/>
  <c r="E468" i="3"/>
  <c r="I468" i="3" s="1"/>
  <c r="D468" i="3"/>
  <c r="C468" i="3"/>
  <c r="B468" i="3"/>
  <c r="A468" i="3"/>
  <c r="J467" i="3"/>
  <c r="H467" i="3"/>
  <c r="K467" i="3" s="1"/>
  <c r="G467" i="3"/>
  <c r="F467" i="3"/>
  <c r="L467" i="3" s="1"/>
  <c r="E467" i="3"/>
  <c r="I467" i="3" s="1"/>
  <c r="D467" i="3"/>
  <c r="C467" i="3"/>
  <c r="B467" i="3"/>
  <c r="A467" i="3"/>
  <c r="J466" i="3"/>
  <c r="H466" i="3"/>
  <c r="K466" i="3" s="1"/>
  <c r="G466" i="3"/>
  <c r="F466" i="3"/>
  <c r="L466" i="3" s="1"/>
  <c r="E466" i="3"/>
  <c r="I466" i="3" s="1"/>
  <c r="D466" i="3"/>
  <c r="C466" i="3"/>
  <c r="B466" i="3"/>
  <c r="A466" i="3"/>
  <c r="J465" i="3"/>
  <c r="H465" i="3"/>
  <c r="K465" i="3" s="1"/>
  <c r="G465" i="3"/>
  <c r="F465" i="3"/>
  <c r="L465" i="3" s="1"/>
  <c r="E465" i="3"/>
  <c r="I465" i="3" s="1"/>
  <c r="D465" i="3"/>
  <c r="C465" i="3"/>
  <c r="B465" i="3"/>
  <c r="A465" i="3"/>
  <c r="J464" i="3"/>
  <c r="H464" i="3"/>
  <c r="K464" i="3" s="1"/>
  <c r="G464" i="3"/>
  <c r="F464" i="3"/>
  <c r="L464" i="3" s="1"/>
  <c r="E464" i="3"/>
  <c r="I464" i="3" s="1"/>
  <c r="D464" i="3"/>
  <c r="C464" i="3"/>
  <c r="B464" i="3"/>
  <c r="A464" i="3"/>
  <c r="J463" i="3"/>
  <c r="H463" i="3"/>
  <c r="K463" i="3" s="1"/>
  <c r="G463" i="3"/>
  <c r="F463" i="3"/>
  <c r="L463" i="3" s="1"/>
  <c r="E463" i="3"/>
  <c r="I463" i="3" s="1"/>
  <c r="D463" i="3"/>
  <c r="C463" i="3"/>
  <c r="B463" i="3"/>
  <c r="A463" i="3"/>
  <c r="J462" i="3"/>
  <c r="H462" i="3"/>
  <c r="K462" i="3" s="1"/>
  <c r="G462" i="3"/>
  <c r="F462" i="3"/>
  <c r="L462" i="3" s="1"/>
  <c r="E462" i="3"/>
  <c r="I462" i="3" s="1"/>
  <c r="D462" i="3"/>
  <c r="C462" i="3"/>
  <c r="B462" i="3"/>
  <c r="A462" i="3"/>
  <c r="J461" i="3"/>
  <c r="H461" i="3"/>
  <c r="K461" i="3" s="1"/>
  <c r="G461" i="3"/>
  <c r="F461" i="3"/>
  <c r="L461" i="3" s="1"/>
  <c r="E461" i="3"/>
  <c r="I461" i="3" s="1"/>
  <c r="D461" i="3"/>
  <c r="C461" i="3"/>
  <c r="B461" i="3"/>
  <c r="A461" i="3"/>
  <c r="J460" i="3"/>
  <c r="H460" i="3"/>
  <c r="K460" i="3" s="1"/>
  <c r="G460" i="3"/>
  <c r="F460" i="3"/>
  <c r="L460" i="3" s="1"/>
  <c r="E460" i="3"/>
  <c r="I460" i="3" s="1"/>
  <c r="D460" i="3"/>
  <c r="C460" i="3"/>
  <c r="B460" i="3"/>
  <c r="A460" i="3"/>
  <c r="J459" i="3"/>
  <c r="H459" i="3"/>
  <c r="K459" i="3" s="1"/>
  <c r="G459" i="3"/>
  <c r="F459" i="3"/>
  <c r="L459" i="3" s="1"/>
  <c r="E459" i="3"/>
  <c r="I459" i="3" s="1"/>
  <c r="D459" i="3"/>
  <c r="C459" i="3"/>
  <c r="B459" i="3"/>
  <c r="A459" i="3"/>
  <c r="J458" i="3"/>
  <c r="H458" i="3"/>
  <c r="K458" i="3" s="1"/>
  <c r="G458" i="3"/>
  <c r="F458" i="3"/>
  <c r="L458" i="3" s="1"/>
  <c r="E458" i="3"/>
  <c r="I458" i="3" s="1"/>
  <c r="D458" i="3"/>
  <c r="C458" i="3"/>
  <c r="B458" i="3"/>
  <c r="A458" i="3"/>
  <c r="J457" i="3"/>
  <c r="H457" i="3"/>
  <c r="K457" i="3" s="1"/>
  <c r="G457" i="3"/>
  <c r="F457" i="3"/>
  <c r="L457" i="3" s="1"/>
  <c r="E457" i="3"/>
  <c r="I457" i="3" s="1"/>
  <c r="D457" i="3"/>
  <c r="C457" i="3"/>
  <c r="B457" i="3"/>
  <c r="A457" i="3"/>
  <c r="J456" i="3"/>
  <c r="H456" i="3"/>
  <c r="K456" i="3" s="1"/>
  <c r="G456" i="3"/>
  <c r="F456" i="3"/>
  <c r="L456" i="3" s="1"/>
  <c r="E456" i="3"/>
  <c r="I456" i="3" s="1"/>
  <c r="D456" i="3"/>
  <c r="C456" i="3"/>
  <c r="B456" i="3"/>
  <c r="A456" i="3"/>
  <c r="J455" i="3"/>
  <c r="H455" i="3"/>
  <c r="K455" i="3" s="1"/>
  <c r="G455" i="3"/>
  <c r="F455" i="3"/>
  <c r="L455" i="3" s="1"/>
  <c r="E455" i="3"/>
  <c r="I455" i="3" s="1"/>
  <c r="D455" i="3"/>
  <c r="C455" i="3"/>
  <c r="B455" i="3"/>
  <c r="A455" i="3"/>
  <c r="J454" i="3"/>
  <c r="H454" i="3"/>
  <c r="K454" i="3" s="1"/>
  <c r="G454" i="3"/>
  <c r="F454" i="3"/>
  <c r="L454" i="3" s="1"/>
  <c r="E454" i="3"/>
  <c r="I454" i="3" s="1"/>
  <c r="D454" i="3"/>
  <c r="C454" i="3"/>
  <c r="B454" i="3"/>
  <c r="A454" i="3"/>
  <c r="J453" i="3"/>
  <c r="H453" i="3"/>
  <c r="K453" i="3" s="1"/>
  <c r="G453" i="3"/>
  <c r="F453" i="3"/>
  <c r="L453" i="3" s="1"/>
  <c r="E453" i="3"/>
  <c r="I453" i="3" s="1"/>
  <c r="D453" i="3"/>
  <c r="C453" i="3"/>
  <c r="B453" i="3"/>
  <c r="A453" i="3"/>
  <c r="J452" i="3"/>
  <c r="H452" i="3"/>
  <c r="K452" i="3" s="1"/>
  <c r="G452" i="3"/>
  <c r="F452" i="3"/>
  <c r="L452" i="3" s="1"/>
  <c r="E452" i="3"/>
  <c r="I452" i="3" s="1"/>
  <c r="D452" i="3"/>
  <c r="C452" i="3"/>
  <c r="B452" i="3"/>
  <c r="A452" i="3"/>
  <c r="J451" i="3"/>
  <c r="H451" i="3"/>
  <c r="K451" i="3" s="1"/>
  <c r="G451" i="3"/>
  <c r="F451" i="3"/>
  <c r="L451" i="3" s="1"/>
  <c r="E451" i="3"/>
  <c r="I451" i="3" s="1"/>
  <c r="D451" i="3"/>
  <c r="C451" i="3"/>
  <c r="B451" i="3"/>
  <c r="A451" i="3"/>
  <c r="J450" i="3"/>
  <c r="H450" i="3"/>
  <c r="K450" i="3" s="1"/>
  <c r="G450" i="3"/>
  <c r="F450" i="3"/>
  <c r="L450" i="3" s="1"/>
  <c r="E450" i="3"/>
  <c r="I450" i="3" s="1"/>
  <c r="D450" i="3"/>
  <c r="C450" i="3"/>
  <c r="B450" i="3"/>
  <c r="A450" i="3"/>
  <c r="J449" i="3"/>
  <c r="H449" i="3"/>
  <c r="K449" i="3" s="1"/>
  <c r="G449" i="3"/>
  <c r="F449" i="3"/>
  <c r="L449" i="3" s="1"/>
  <c r="E449" i="3"/>
  <c r="I449" i="3" s="1"/>
  <c r="D449" i="3"/>
  <c r="C449" i="3"/>
  <c r="B449" i="3"/>
  <c r="A449" i="3"/>
  <c r="J448" i="3"/>
  <c r="H448" i="3"/>
  <c r="K448" i="3" s="1"/>
  <c r="G448" i="3"/>
  <c r="F448" i="3"/>
  <c r="L448" i="3" s="1"/>
  <c r="E448" i="3"/>
  <c r="I448" i="3" s="1"/>
  <c r="D448" i="3"/>
  <c r="C448" i="3"/>
  <c r="B448" i="3"/>
  <c r="A448" i="3"/>
  <c r="J447" i="3"/>
  <c r="H447" i="3"/>
  <c r="K447" i="3" s="1"/>
  <c r="G447" i="3"/>
  <c r="F447" i="3"/>
  <c r="L447" i="3" s="1"/>
  <c r="E447" i="3"/>
  <c r="I447" i="3" s="1"/>
  <c r="D447" i="3"/>
  <c r="C447" i="3"/>
  <c r="B447" i="3"/>
  <c r="A447" i="3"/>
  <c r="J446" i="3"/>
  <c r="H446" i="3"/>
  <c r="K446" i="3" s="1"/>
  <c r="G446" i="3"/>
  <c r="F446" i="3"/>
  <c r="L446" i="3" s="1"/>
  <c r="E446" i="3"/>
  <c r="I446" i="3" s="1"/>
  <c r="D446" i="3"/>
  <c r="C446" i="3"/>
  <c r="B446" i="3"/>
  <c r="A446" i="3"/>
  <c r="J445" i="3"/>
  <c r="H445" i="3"/>
  <c r="K445" i="3" s="1"/>
  <c r="G445" i="3"/>
  <c r="F445" i="3"/>
  <c r="L445" i="3" s="1"/>
  <c r="E445" i="3"/>
  <c r="I445" i="3" s="1"/>
  <c r="D445" i="3"/>
  <c r="C445" i="3"/>
  <c r="B445" i="3"/>
  <c r="A445" i="3"/>
  <c r="J444" i="3"/>
  <c r="H444" i="3"/>
  <c r="K444" i="3" s="1"/>
  <c r="G444" i="3"/>
  <c r="F444" i="3"/>
  <c r="L444" i="3" s="1"/>
  <c r="E444" i="3"/>
  <c r="I444" i="3" s="1"/>
  <c r="D444" i="3"/>
  <c r="C444" i="3"/>
  <c r="B444" i="3"/>
  <c r="A444" i="3"/>
  <c r="J443" i="3"/>
  <c r="H443" i="3"/>
  <c r="K443" i="3" s="1"/>
  <c r="G443" i="3"/>
  <c r="F443" i="3"/>
  <c r="L443" i="3" s="1"/>
  <c r="E443" i="3"/>
  <c r="I443" i="3" s="1"/>
  <c r="D443" i="3"/>
  <c r="C443" i="3"/>
  <c r="B443" i="3"/>
  <c r="A443" i="3"/>
  <c r="J442" i="3"/>
  <c r="H442" i="3"/>
  <c r="K442" i="3" s="1"/>
  <c r="G442" i="3"/>
  <c r="F442" i="3"/>
  <c r="L442" i="3" s="1"/>
  <c r="E442" i="3"/>
  <c r="I442" i="3" s="1"/>
  <c r="D442" i="3"/>
  <c r="C442" i="3"/>
  <c r="B442" i="3"/>
  <c r="A442" i="3"/>
  <c r="J441" i="3"/>
  <c r="H441" i="3"/>
  <c r="K441" i="3" s="1"/>
  <c r="G441" i="3"/>
  <c r="F441" i="3"/>
  <c r="L441" i="3" s="1"/>
  <c r="E441" i="3"/>
  <c r="I441" i="3" s="1"/>
  <c r="D441" i="3"/>
  <c r="C441" i="3"/>
  <c r="B441" i="3"/>
  <c r="A441" i="3"/>
  <c r="J440" i="3"/>
  <c r="H440" i="3"/>
  <c r="K440" i="3" s="1"/>
  <c r="G440" i="3"/>
  <c r="F440" i="3"/>
  <c r="L440" i="3" s="1"/>
  <c r="E440" i="3"/>
  <c r="I440" i="3" s="1"/>
  <c r="D440" i="3"/>
  <c r="C440" i="3"/>
  <c r="B440" i="3"/>
  <c r="A440" i="3"/>
  <c r="J439" i="3"/>
  <c r="H439" i="3"/>
  <c r="K439" i="3" s="1"/>
  <c r="G439" i="3"/>
  <c r="F439" i="3"/>
  <c r="L439" i="3" s="1"/>
  <c r="E439" i="3"/>
  <c r="I439" i="3" s="1"/>
  <c r="D439" i="3"/>
  <c r="C439" i="3"/>
  <c r="B439" i="3"/>
  <c r="A439" i="3"/>
  <c r="J438" i="3"/>
  <c r="H438" i="3"/>
  <c r="K438" i="3" s="1"/>
  <c r="G438" i="3"/>
  <c r="F438" i="3"/>
  <c r="L438" i="3" s="1"/>
  <c r="E438" i="3"/>
  <c r="I438" i="3" s="1"/>
  <c r="D438" i="3"/>
  <c r="C438" i="3"/>
  <c r="B438" i="3"/>
  <c r="A438" i="3"/>
  <c r="J437" i="3"/>
  <c r="H437" i="3"/>
  <c r="K437" i="3" s="1"/>
  <c r="G437" i="3"/>
  <c r="F437" i="3"/>
  <c r="L437" i="3" s="1"/>
  <c r="E437" i="3"/>
  <c r="I437" i="3" s="1"/>
  <c r="D437" i="3"/>
  <c r="C437" i="3"/>
  <c r="B437" i="3"/>
  <c r="A437" i="3"/>
  <c r="J436" i="3"/>
  <c r="H436" i="3"/>
  <c r="K436" i="3" s="1"/>
  <c r="G436" i="3"/>
  <c r="F436" i="3"/>
  <c r="L436" i="3" s="1"/>
  <c r="E436" i="3"/>
  <c r="I436" i="3" s="1"/>
  <c r="D436" i="3"/>
  <c r="C436" i="3"/>
  <c r="B436" i="3"/>
  <c r="A436" i="3"/>
  <c r="J435" i="3"/>
  <c r="H435" i="3"/>
  <c r="K435" i="3" s="1"/>
  <c r="G435" i="3"/>
  <c r="F435" i="3"/>
  <c r="L435" i="3" s="1"/>
  <c r="E435" i="3"/>
  <c r="I435" i="3" s="1"/>
  <c r="D435" i="3"/>
  <c r="C435" i="3"/>
  <c r="B435" i="3"/>
  <c r="A435" i="3"/>
  <c r="J434" i="3"/>
  <c r="H434" i="3"/>
  <c r="K434" i="3" s="1"/>
  <c r="G434" i="3"/>
  <c r="F434" i="3"/>
  <c r="L434" i="3" s="1"/>
  <c r="E434" i="3"/>
  <c r="I434" i="3" s="1"/>
  <c r="D434" i="3"/>
  <c r="C434" i="3"/>
  <c r="B434" i="3"/>
  <c r="A434" i="3"/>
  <c r="J433" i="3"/>
  <c r="H433" i="3"/>
  <c r="K433" i="3" s="1"/>
  <c r="G433" i="3"/>
  <c r="F433" i="3"/>
  <c r="L433" i="3" s="1"/>
  <c r="E433" i="3"/>
  <c r="I433" i="3" s="1"/>
  <c r="D433" i="3"/>
  <c r="C433" i="3"/>
  <c r="B433" i="3"/>
  <c r="A433" i="3"/>
  <c r="J432" i="3"/>
  <c r="H432" i="3"/>
  <c r="K432" i="3" s="1"/>
  <c r="G432" i="3"/>
  <c r="F432" i="3"/>
  <c r="L432" i="3" s="1"/>
  <c r="E432" i="3"/>
  <c r="I432" i="3" s="1"/>
  <c r="D432" i="3"/>
  <c r="C432" i="3"/>
  <c r="B432" i="3"/>
  <c r="A432" i="3"/>
  <c r="J431" i="3"/>
  <c r="H431" i="3"/>
  <c r="K431" i="3" s="1"/>
  <c r="G431" i="3"/>
  <c r="F431" i="3"/>
  <c r="L431" i="3" s="1"/>
  <c r="E431" i="3"/>
  <c r="I431" i="3" s="1"/>
  <c r="D431" i="3"/>
  <c r="C431" i="3"/>
  <c r="B431" i="3"/>
  <c r="A431" i="3"/>
  <c r="J430" i="3"/>
  <c r="H430" i="3"/>
  <c r="K430" i="3" s="1"/>
  <c r="G430" i="3"/>
  <c r="F430" i="3"/>
  <c r="L430" i="3" s="1"/>
  <c r="E430" i="3"/>
  <c r="I430" i="3" s="1"/>
  <c r="D430" i="3"/>
  <c r="C430" i="3"/>
  <c r="B430" i="3"/>
  <c r="A430" i="3"/>
  <c r="J429" i="3"/>
  <c r="H429" i="3"/>
  <c r="K429" i="3" s="1"/>
  <c r="G429" i="3"/>
  <c r="F429" i="3"/>
  <c r="L429" i="3" s="1"/>
  <c r="E429" i="3"/>
  <c r="I429" i="3" s="1"/>
  <c r="D429" i="3"/>
  <c r="C429" i="3"/>
  <c r="B429" i="3"/>
  <c r="A429" i="3"/>
  <c r="J428" i="3"/>
  <c r="H428" i="3"/>
  <c r="K428" i="3" s="1"/>
  <c r="G428" i="3"/>
  <c r="F428" i="3"/>
  <c r="L428" i="3" s="1"/>
  <c r="E428" i="3"/>
  <c r="I428" i="3" s="1"/>
  <c r="D428" i="3"/>
  <c r="C428" i="3"/>
  <c r="B428" i="3"/>
  <c r="A428" i="3"/>
  <c r="J427" i="3"/>
  <c r="H427" i="3"/>
  <c r="K427" i="3" s="1"/>
  <c r="G427" i="3"/>
  <c r="F427" i="3"/>
  <c r="L427" i="3" s="1"/>
  <c r="E427" i="3"/>
  <c r="I427" i="3" s="1"/>
  <c r="D427" i="3"/>
  <c r="C427" i="3"/>
  <c r="B427" i="3"/>
  <c r="A427" i="3"/>
  <c r="J426" i="3"/>
  <c r="H426" i="3"/>
  <c r="K426" i="3" s="1"/>
  <c r="G426" i="3"/>
  <c r="F426" i="3"/>
  <c r="L426" i="3" s="1"/>
  <c r="E426" i="3"/>
  <c r="I426" i="3" s="1"/>
  <c r="D426" i="3"/>
  <c r="C426" i="3"/>
  <c r="B426" i="3"/>
  <c r="A426" i="3"/>
  <c r="J425" i="3"/>
  <c r="H425" i="3"/>
  <c r="K425" i="3" s="1"/>
  <c r="G425" i="3"/>
  <c r="F425" i="3"/>
  <c r="L425" i="3" s="1"/>
  <c r="E425" i="3"/>
  <c r="I425" i="3" s="1"/>
  <c r="D425" i="3"/>
  <c r="C425" i="3"/>
  <c r="B425" i="3"/>
  <c r="A425" i="3"/>
  <c r="J424" i="3"/>
  <c r="H424" i="3"/>
  <c r="K424" i="3" s="1"/>
  <c r="G424" i="3"/>
  <c r="F424" i="3"/>
  <c r="L424" i="3" s="1"/>
  <c r="E424" i="3"/>
  <c r="I424" i="3" s="1"/>
  <c r="D424" i="3"/>
  <c r="C424" i="3"/>
  <c r="B424" i="3"/>
  <c r="A424" i="3"/>
  <c r="J423" i="3"/>
  <c r="H423" i="3"/>
  <c r="K423" i="3" s="1"/>
  <c r="G423" i="3"/>
  <c r="F423" i="3"/>
  <c r="L423" i="3" s="1"/>
  <c r="E423" i="3"/>
  <c r="I423" i="3" s="1"/>
  <c r="D423" i="3"/>
  <c r="C423" i="3"/>
  <c r="B423" i="3"/>
  <c r="A423" i="3"/>
  <c r="J422" i="3"/>
  <c r="H422" i="3"/>
  <c r="K422" i="3" s="1"/>
  <c r="G422" i="3"/>
  <c r="F422" i="3"/>
  <c r="L422" i="3" s="1"/>
  <c r="E422" i="3"/>
  <c r="I422" i="3" s="1"/>
  <c r="D422" i="3"/>
  <c r="C422" i="3"/>
  <c r="B422" i="3"/>
  <c r="A422" i="3"/>
  <c r="J421" i="3"/>
  <c r="H421" i="3"/>
  <c r="K421" i="3" s="1"/>
  <c r="G421" i="3"/>
  <c r="F421" i="3"/>
  <c r="L421" i="3" s="1"/>
  <c r="E421" i="3"/>
  <c r="I421" i="3" s="1"/>
  <c r="D421" i="3"/>
  <c r="C421" i="3"/>
  <c r="B421" i="3"/>
  <c r="A421" i="3"/>
  <c r="J420" i="3"/>
  <c r="H420" i="3"/>
  <c r="K420" i="3" s="1"/>
  <c r="G420" i="3"/>
  <c r="F420" i="3"/>
  <c r="L420" i="3" s="1"/>
  <c r="E420" i="3"/>
  <c r="I420" i="3" s="1"/>
  <c r="D420" i="3"/>
  <c r="C420" i="3"/>
  <c r="B420" i="3"/>
  <c r="A420" i="3"/>
  <c r="J419" i="3"/>
  <c r="H419" i="3"/>
  <c r="K419" i="3" s="1"/>
  <c r="G419" i="3"/>
  <c r="F419" i="3"/>
  <c r="L419" i="3" s="1"/>
  <c r="E419" i="3"/>
  <c r="I419" i="3" s="1"/>
  <c r="D419" i="3"/>
  <c r="C419" i="3"/>
  <c r="B419" i="3"/>
  <c r="A419" i="3"/>
  <c r="J418" i="3"/>
  <c r="H418" i="3"/>
  <c r="K418" i="3" s="1"/>
  <c r="G418" i="3"/>
  <c r="F418" i="3"/>
  <c r="L418" i="3" s="1"/>
  <c r="E418" i="3"/>
  <c r="I418" i="3" s="1"/>
  <c r="D418" i="3"/>
  <c r="C418" i="3"/>
  <c r="B418" i="3"/>
  <c r="A418" i="3"/>
  <c r="J417" i="3"/>
  <c r="H417" i="3"/>
  <c r="K417" i="3" s="1"/>
  <c r="G417" i="3"/>
  <c r="F417" i="3"/>
  <c r="L417" i="3" s="1"/>
  <c r="E417" i="3"/>
  <c r="I417" i="3" s="1"/>
  <c r="D417" i="3"/>
  <c r="C417" i="3"/>
  <c r="B417" i="3"/>
  <c r="A417" i="3"/>
  <c r="J416" i="3"/>
  <c r="H416" i="3"/>
  <c r="K416" i="3" s="1"/>
  <c r="G416" i="3"/>
  <c r="F416" i="3"/>
  <c r="L416" i="3" s="1"/>
  <c r="E416" i="3"/>
  <c r="I416" i="3" s="1"/>
  <c r="D416" i="3"/>
  <c r="C416" i="3"/>
  <c r="B416" i="3"/>
  <c r="A416" i="3"/>
  <c r="J415" i="3"/>
  <c r="H415" i="3"/>
  <c r="K415" i="3" s="1"/>
  <c r="G415" i="3"/>
  <c r="F415" i="3"/>
  <c r="L415" i="3" s="1"/>
  <c r="E415" i="3"/>
  <c r="I415" i="3" s="1"/>
  <c r="D415" i="3"/>
  <c r="C415" i="3"/>
  <c r="B415" i="3"/>
  <c r="A415" i="3"/>
  <c r="J414" i="3"/>
  <c r="H414" i="3"/>
  <c r="K414" i="3" s="1"/>
  <c r="G414" i="3"/>
  <c r="F414" i="3"/>
  <c r="L414" i="3" s="1"/>
  <c r="E414" i="3"/>
  <c r="I414" i="3" s="1"/>
  <c r="D414" i="3"/>
  <c r="C414" i="3"/>
  <c r="B414" i="3"/>
  <c r="A414" i="3"/>
  <c r="J413" i="3"/>
  <c r="H413" i="3"/>
  <c r="K413" i="3" s="1"/>
  <c r="G413" i="3"/>
  <c r="F413" i="3"/>
  <c r="L413" i="3" s="1"/>
  <c r="E413" i="3"/>
  <c r="I413" i="3" s="1"/>
  <c r="D413" i="3"/>
  <c r="C413" i="3"/>
  <c r="B413" i="3"/>
  <c r="A413" i="3"/>
  <c r="J412" i="3"/>
  <c r="H412" i="3"/>
  <c r="K412" i="3" s="1"/>
  <c r="G412" i="3"/>
  <c r="F412" i="3"/>
  <c r="L412" i="3" s="1"/>
  <c r="E412" i="3"/>
  <c r="I412" i="3" s="1"/>
  <c r="D412" i="3"/>
  <c r="C412" i="3"/>
  <c r="B412" i="3"/>
  <c r="A412" i="3"/>
  <c r="J411" i="3"/>
  <c r="H411" i="3"/>
  <c r="K411" i="3" s="1"/>
  <c r="G411" i="3"/>
  <c r="F411" i="3"/>
  <c r="L411" i="3" s="1"/>
  <c r="E411" i="3"/>
  <c r="I411" i="3" s="1"/>
  <c r="D411" i="3"/>
  <c r="C411" i="3"/>
  <c r="B411" i="3"/>
  <c r="A411" i="3"/>
  <c r="J410" i="3"/>
  <c r="H410" i="3"/>
  <c r="K410" i="3" s="1"/>
  <c r="G410" i="3"/>
  <c r="F410" i="3"/>
  <c r="L410" i="3" s="1"/>
  <c r="E410" i="3"/>
  <c r="I410" i="3" s="1"/>
  <c r="D410" i="3"/>
  <c r="C410" i="3"/>
  <c r="B410" i="3"/>
  <c r="A410" i="3"/>
  <c r="J409" i="3"/>
  <c r="H409" i="3"/>
  <c r="K409" i="3" s="1"/>
  <c r="G409" i="3"/>
  <c r="F409" i="3"/>
  <c r="L409" i="3" s="1"/>
  <c r="E409" i="3"/>
  <c r="I409" i="3" s="1"/>
  <c r="D409" i="3"/>
  <c r="C409" i="3"/>
  <c r="B409" i="3"/>
  <c r="A409" i="3"/>
  <c r="J408" i="3"/>
  <c r="H408" i="3"/>
  <c r="K408" i="3" s="1"/>
  <c r="G408" i="3"/>
  <c r="F408" i="3"/>
  <c r="L408" i="3" s="1"/>
  <c r="E408" i="3"/>
  <c r="I408" i="3" s="1"/>
  <c r="D408" i="3"/>
  <c r="C408" i="3"/>
  <c r="B408" i="3"/>
  <c r="A408" i="3"/>
  <c r="J407" i="3"/>
  <c r="H407" i="3"/>
  <c r="K407" i="3" s="1"/>
  <c r="G407" i="3"/>
  <c r="F407" i="3"/>
  <c r="L407" i="3" s="1"/>
  <c r="E407" i="3"/>
  <c r="I407" i="3" s="1"/>
  <c r="D407" i="3"/>
  <c r="C407" i="3"/>
  <c r="B407" i="3"/>
  <c r="A407" i="3"/>
  <c r="J406" i="3"/>
  <c r="H406" i="3"/>
  <c r="K406" i="3" s="1"/>
  <c r="G406" i="3"/>
  <c r="F406" i="3"/>
  <c r="L406" i="3" s="1"/>
  <c r="E406" i="3"/>
  <c r="I406" i="3" s="1"/>
  <c r="D406" i="3"/>
  <c r="C406" i="3"/>
  <c r="B406" i="3"/>
  <c r="A406" i="3"/>
  <c r="J405" i="3"/>
  <c r="H405" i="3"/>
  <c r="K405" i="3" s="1"/>
  <c r="G405" i="3"/>
  <c r="F405" i="3"/>
  <c r="L405" i="3" s="1"/>
  <c r="E405" i="3"/>
  <c r="I405" i="3" s="1"/>
  <c r="D405" i="3"/>
  <c r="C405" i="3"/>
  <c r="B405" i="3"/>
  <c r="A405" i="3"/>
  <c r="J404" i="3"/>
  <c r="H404" i="3"/>
  <c r="K404" i="3" s="1"/>
  <c r="G404" i="3"/>
  <c r="F404" i="3"/>
  <c r="L404" i="3" s="1"/>
  <c r="E404" i="3"/>
  <c r="I404" i="3" s="1"/>
  <c r="D404" i="3"/>
  <c r="C404" i="3"/>
  <c r="B404" i="3"/>
  <c r="A404" i="3"/>
  <c r="J403" i="3"/>
  <c r="H403" i="3"/>
  <c r="K403" i="3" s="1"/>
  <c r="G403" i="3"/>
  <c r="F403" i="3"/>
  <c r="L403" i="3" s="1"/>
  <c r="E403" i="3"/>
  <c r="I403" i="3" s="1"/>
  <c r="D403" i="3"/>
  <c r="C403" i="3"/>
  <c r="B403" i="3"/>
  <c r="A403" i="3"/>
  <c r="J402" i="3"/>
  <c r="H402" i="3"/>
  <c r="K402" i="3" s="1"/>
  <c r="G402" i="3"/>
  <c r="F402" i="3"/>
  <c r="L402" i="3" s="1"/>
  <c r="E402" i="3"/>
  <c r="I402" i="3" s="1"/>
  <c r="D402" i="3"/>
  <c r="C402" i="3"/>
  <c r="B402" i="3"/>
  <c r="A402" i="3"/>
  <c r="J401" i="3"/>
  <c r="H401" i="3"/>
  <c r="K401" i="3" s="1"/>
  <c r="G401" i="3"/>
  <c r="F401" i="3"/>
  <c r="L401" i="3" s="1"/>
  <c r="E401" i="3"/>
  <c r="I401" i="3" s="1"/>
  <c r="D401" i="3"/>
  <c r="C401" i="3"/>
  <c r="B401" i="3"/>
  <c r="A401" i="3"/>
  <c r="J400" i="3"/>
  <c r="H400" i="3"/>
  <c r="K400" i="3" s="1"/>
  <c r="G400" i="3"/>
  <c r="F400" i="3"/>
  <c r="L400" i="3" s="1"/>
  <c r="E400" i="3"/>
  <c r="I400" i="3" s="1"/>
  <c r="D400" i="3"/>
  <c r="C400" i="3"/>
  <c r="B400" i="3"/>
  <c r="A400" i="3"/>
  <c r="J399" i="3"/>
  <c r="H399" i="3"/>
  <c r="K399" i="3" s="1"/>
  <c r="G399" i="3"/>
  <c r="F399" i="3"/>
  <c r="L399" i="3" s="1"/>
  <c r="E399" i="3"/>
  <c r="I399" i="3" s="1"/>
  <c r="D399" i="3"/>
  <c r="C399" i="3"/>
  <c r="B399" i="3"/>
  <c r="A399" i="3"/>
  <c r="J398" i="3"/>
  <c r="H398" i="3"/>
  <c r="K398" i="3" s="1"/>
  <c r="G398" i="3"/>
  <c r="F398" i="3"/>
  <c r="L398" i="3" s="1"/>
  <c r="E398" i="3"/>
  <c r="I398" i="3" s="1"/>
  <c r="D398" i="3"/>
  <c r="C398" i="3"/>
  <c r="B398" i="3"/>
  <c r="A398" i="3"/>
  <c r="J397" i="3"/>
  <c r="H397" i="3"/>
  <c r="K397" i="3" s="1"/>
  <c r="G397" i="3"/>
  <c r="F397" i="3"/>
  <c r="L397" i="3" s="1"/>
  <c r="E397" i="3"/>
  <c r="I397" i="3" s="1"/>
  <c r="D397" i="3"/>
  <c r="C397" i="3"/>
  <c r="B397" i="3"/>
  <c r="A397" i="3"/>
  <c r="J396" i="3"/>
  <c r="H396" i="3"/>
  <c r="K396" i="3" s="1"/>
  <c r="G396" i="3"/>
  <c r="F396" i="3"/>
  <c r="L396" i="3" s="1"/>
  <c r="E396" i="3"/>
  <c r="I396" i="3" s="1"/>
  <c r="D396" i="3"/>
  <c r="C396" i="3"/>
  <c r="B396" i="3"/>
  <c r="A396" i="3"/>
  <c r="J395" i="3"/>
  <c r="H395" i="3"/>
  <c r="K395" i="3" s="1"/>
  <c r="G395" i="3"/>
  <c r="F395" i="3"/>
  <c r="L395" i="3" s="1"/>
  <c r="E395" i="3"/>
  <c r="I395" i="3" s="1"/>
  <c r="D395" i="3"/>
  <c r="C395" i="3"/>
  <c r="B395" i="3"/>
  <c r="A395" i="3"/>
  <c r="J394" i="3"/>
  <c r="H394" i="3"/>
  <c r="K394" i="3" s="1"/>
  <c r="G394" i="3"/>
  <c r="F394" i="3"/>
  <c r="L394" i="3" s="1"/>
  <c r="E394" i="3"/>
  <c r="I394" i="3" s="1"/>
  <c r="D394" i="3"/>
  <c r="C394" i="3"/>
  <c r="B394" i="3"/>
  <c r="A394" i="3"/>
  <c r="J393" i="3"/>
  <c r="H393" i="3"/>
  <c r="K393" i="3" s="1"/>
  <c r="G393" i="3"/>
  <c r="F393" i="3"/>
  <c r="L393" i="3" s="1"/>
  <c r="E393" i="3"/>
  <c r="I393" i="3" s="1"/>
  <c r="D393" i="3"/>
  <c r="C393" i="3"/>
  <c r="B393" i="3"/>
  <c r="A393" i="3"/>
  <c r="J392" i="3"/>
  <c r="H392" i="3"/>
  <c r="K392" i="3" s="1"/>
  <c r="G392" i="3"/>
  <c r="F392" i="3"/>
  <c r="L392" i="3" s="1"/>
  <c r="E392" i="3"/>
  <c r="I392" i="3" s="1"/>
  <c r="D392" i="3"/>
  <c r="C392" i="3"/>
  <c r="B392" i="3"/>
  <c r="A392" i="3"/>
  <c r="J391" i="3"/>
  <c r="H391" i="3"/>
  <c r="K391" i="3" s="1"/>
  <c r="G391" i="3"/>
  <c r="F391" i="3"/>
  <c r="L391" i="3" s="1"/>
  <c r="E391" i="3"/>
  <c r="I391" i="3" s="1"/>
  <c r="D391" i="3"/>
  <c r="C391" i="3"/>
  <c r="B391" i="3"/>
  <c r="A391" i="3"/>
  <c r="J390" i="3"/>
  <c r="H390" i="3"/>
  <c r="K390" i="3" s="1"/>
  <c r="G390" i="3"/>
  <c r="F390" i="3"/>
  <c r="L390" i="3" s="1"/>
  <c r="E390" i="3"/>
  <c r="I390" i="3" s="1"/>
  <c r="D390" i="3"/>
  <c r="C390" i="3"/>
  <c r="B390" i="3"/>
  <c r="A390" i="3"/>
  <c r="J389" i="3"/>
  <c r="H389" i="3"/>
  <c r="K389" i="3" s="1"/>
  <c r="G389" i="3"/>
  <c r="F389" i="3"/>
  <c r="L389" i="3" s="1"/>
  <c r="E389" i="3"/>
  <c r="I389" i="3" s="1"/>
  <c r="D389" i="3"/>
  <c r="C389" i="3"/>
  <c r="B389" i="3"/>
  <c r="A389" i="3"/>
  <c r="J388" i="3"/>
  <c r="H388" i="3"/>
  <c r="K388" i="3" s="1"/>
  <c r="G388" i="3"/>
  <c r="F388" i="3"/>
  <c r="L388" i="3" s="1"/>
  <c r="E388" i="3"/>
  <c r="I388" i="3" s="1"/>
  <c r="D388" i="3"/>
  <c r="C388" i="3"/>
  <c r="B388" i="3"/>
  <c r="A388" i="3"/>
  <c r="J387" i="3"/>
  <c r="H387" i="3"/>
  <c r="K387" i="3" s="1"/>
  <c r="G387" i="3"/>
  <c r="F387" i="3"/>
  <c r="L387" i="3" s="1"/>
  <c r="E387" i="3"/>
  <c r="I387" i="3" s="1"/>
  <c r="D387" i="3"/>
  <c r="C387" i="3"/>
  <c r="B387" i="3"/>
  <c r="A387" i="3"/>
  <c r="J386" i="3"/>
  <c r="H386" i="3"/>
  <c r="K386" i="3" s="1"/>
  <c r="G386" i="3"/>
  <c r="F386" i="3"/>
  <c r="L386" i="3" s="1"/>
  <c r="E386" i="3"/>
  <c r="I386" i="3" s="1"/>
  <c r="D386" i="3"/>
  <c r="C386" i="3"/>
  <c r="B386" i="3"/>
  <c r="A386" i="3"/>
  <c r="J385" i="3"/>
  <c r="H385" i="3"/>
  <c r="K385" i="3" s="1"/>
  <c r="G385" i="3"/>
  <c r="F385" i="3"/>
  <c r="L385" i="3" s="1"/>
  <c r="E385" i="3"/>
  <c r="I385" i="3" s="1"/>
  <c r="D385" i="3"/>
  <c r="C385" i="3"/>
  <c r="B385" i="3"/>
  <c r="A385" i="3"/>
  <c r="J384" i="3"/>
  <c r="H384" i="3"/>
  <c r="K384" i="3" s="1"/>
  <c r="G384" i="3"/>
  <c r="F384" i="3"/>
  <c r="L384" i="3" s="1"/>
  <c r="E384" i="3"/>
  <c r="I384" i="3" s="1"/>
  <c r="D384" i="3"/>
  <c r="C384" i="3"/>
  <c r="B384" i="3"/>
  <c r="A384" i="3"/>
  <c r="J383" i="3"/>
  <c r="H383" i="3"/>
  <c r="K383" i="3" s="1"/>
  <c r="G383" i="3"/>
  <c r="F383" i="3"/>
  <c r="L383" i="3" s="1"/>
  <c r="E383" i="3"/>
  <c r="I383" i="3" s="1"/>
  <c r="D383" i="3"/>
  <c r="C383" i="3"/>
  <c r="B383" i="3"/>
  <c r="A383" i="3"/>
  <c r="J382" i="3"/>
  <c r="H382" i="3"/>
  <c r="K382" i="3" s="1"/>
  <c r="G382" i="3"/>
  <c r="F382" i="3"/>
  <c r="L382" i="3" s="1"/>
  <c r="E382" i="3"/>
  <c r="I382" i="3" s="1"/>
  <c r="D382" i="3"/>
  <c r="C382" i="3"/>
  <c r="B382" i="3"/>
  <c r="A382" i="3"/>
  <c r="J381" i="3"/>
  <c r="H381" i="3"/>
  <c r="K381" i="3" s="1"/>
  <c r="G381" i="3"/>
  <c r="F381" i="3"/>
  <c r="L381" i="3" s="1"/>
  <c r="E381" i="3"/>
  <c r="I381" i="3" s="1"/>
  <c r="D381" i="3"/>
  <c r="C381" i="3"/>
  <c r="B381" i="3"/>
  <c r="A381" i="3"/>
  <c r="J380" i="3"/>
  <c r="H380" i="3"/>
  <c r="K380" i="3" s="1"/>
  <c r="G380" i="3"/>
  <c r="F380" i="3"/>
  <c r="L380" i="3" s="1"/>
  <c r="E380" i="3"/>
  <c r="I380" i="3" s="1"/>
  <c r="D380" i="3"/>
  <c r="C380" i="3"/>
  <c r="B380" i="3"/>
  <c r="A380" i="3"/>
  <c r="J379" i="3"/>
  <c r="H379" i="3"/>
  <c r="K379" i="3" s="1"/>
  <c r="G379" i="3"/>
  <c r="F379" i="3"/>
  <c r="L379" i="3" s="1"/>
  <c r="E379" i="3"/>
  <c r="I379" i="3" s="1"/>
  <c r="D379" i="3"/>
  <c r="C379" i="3"/>
  <c r="B379" i="3"/>
  <c r="A379" i="3"/>
  <c r="J378" i="3"/>
  <c r="H378" i="3"/>
  <c r="K378" i="3" s="1"/>
  <c r="G378" i="3"/>
  <c r="F378" i="3"/>
  <c r="L378" i="3" s="1"/>
  <c r="E378" i="3"/>
  <c r="I378" i="3" s="1"/>
  <c r="D378" i="3"/>
  <c r="C378" i="3"/>
  <c r="B378" i="3"/>
  <c r="A378" i="3"/>
  <c r="J377" i="3"/>
  <c r="H377" i="3"/>
  <c r="K377" i="3" s="1"/>
  <c r="G377" i="3"/>
  <c r="F377" i="3"/>
  <c r="L377" i="3" s="1"/>
  <c r="E377" i="3"/>
  <c r="I377" i="3" s="1"/>
  <c r="D377" i="3"/>
  <c r="C377" i="3"/>
  <c r="B377" i="3"/>
  <c r="A377" i="3"/>
  <c r="J376" i="3"/>
  <c r="H376" i="3"/>
  <c r="K376" i="3" s="1"/>
  <c r="G376" i="3"/>
  <c r="F376" i="3"/>
  <c r="L376" i="3" s="1"/>
  <c r="E376" i="3"/>
  <c r="I376" i="3" s="1"/>
  <c r="D376" i="3"/>
  <c r="C376" i="3"/>
  <c r="B376" i="3"/>
  <c r="A376" i="3"/>
  <c r="J375" i="3"/>
  <c r="H375" i="3"/>
  <c r="K375" i="3" s="1"/>
  <c r="G375" i="3"/>
  <c r="F375" i="3"/>
  <c r="L375" i="3" s="1"/>
  <c r="E375" i="3"/>
  <c r="I375" i="3" s="1"/>
  <c r="D375" i="3"/>
  <c r="C375" i="3"/>
  <c r="B375" i="3"/>
  <c r="A375" i="3"/>
  <c r="J374" i="3"/>
  <c r="H374" i="3"/>
  <c r="K374" i="3" s="1"/>
  <c r="G374" i="3"/>
  <c r="F374" i="3"/>
  <c r="L374" i="3" s="1"/>
  <c r="E374" i="3"/>
  <c r="I374" i="3" s="1"/>
  <c r="D374" i="3"/>
  <c r="C374" i="3"/>
  <c r="B374" i="3"/>
  <c r="A374" i="3"/>
  <c r="J373" i="3"/>
  <c r="H373" i="3"/>
  <c r="K373" i="3" s="1"/>
  <c r="G373" i="3"/>
  <c r="F373" i="3"/>
  <c r="L373" i="3" s="1"/>
  <c r="E373" i="3"/>
  <c r="I373" i="3" s="1"/>
  <c r="D373" i="3"/>
  <c r="C373" i="3"/>
  <c r="B373" i="3"/>
  <c r="A373" i="3"/>
  <c r="J372" i="3"/>
  <c r="H372" i="3"/>
  <c r="K372" i="3" s="1"/>
  <c r="G372" i="3"/>
  <c r="F372" i="3"/>
  <c r="L372" i="3" s="1"/>
  <c r="E372" i="3"/>
  <c r="I372" i="3" s="1"/>
  <c r="D372" i="3"/>
  <c r="C372" i="3"/>
  <c r="B372" i="3"/>
  <c r="A372" i="3"/>
  <c r="J371" i="3"/>
  <c r="H371" i="3"/>
  <c r="K371" i="3" s="1"/>
  <c r="G371" i="3"/>
  <c r="F371" i="3"/>
  <c r="L371" i="3" s="1"/>
  <c r="E371" i="3"/>
  <c r="I371" i="3" s="1"/>
  <c r="D371" i="3"/>
  <c r="C371" i="3"/>
  <c r="B371" i="3"/>
  <c r="A371" i="3"/>
  <c r="J370" i="3"/>
  <c r="H370" i="3"/>
  <c r="K370" i="3" s="1"/>
  <c r="G370" i="3"/>
  <c r="F370" i="3"/>
  <c r="L370" i="3" s="1"/>
  <c r="E370" i="3"/>
  <c r="I370" i="3" s="1"/>
  <c r="D370" i="3"/>
  <c r="C370" i="3"/>
  <c r="B370" i="3"/>
  <c r="A370" i="3"/>
  <c r="J369" i="3"/>
  <c r="H369" i="3"/>
  <c r="K369" i="3" s="1"/>
  <c r="G369" i="3"/>
  <c r="F369" i="3"/>
  <c r="L369" i="3" s="1"/>
  <c r="E369" i="3"/>
  <c r="I369" i="3" s="1"/>
  <c r="D369" i="3"/>
  <c r="C369" i="3"/>
  <c r="B369" i="3"/>
  <c r="A369" i="3"/>
  <c r="J368" i="3"/>
  <c r="H368" i="3"/>
  <c r="K368" i="3" s="1"/>
  <c r="G368" i="3"/>
  <c r="F368" i="3"/>
  <c r="L368" i="3" s="1"/>
  <c r="E368" i="3"/>
  <c r="I368" i="3" s="1"/>
  <c r="D368" i="3"/>
  <c r="C368" i="3"/>
  <c r="B368" i="3"/>
  <c r="A368" i="3"/>
  <c r="J367" i="3"/>
  <c r="H367" i="3"/>
  <c r="K367" i="3" s="1"/>
  <c r="G367" i="3"/>
  <c r="F367" i="3"/>
  <c r="L367" i="3" s="1"/>
  <c r="E367" i="3"/>
  <c r="I367" i="3" s="1"/>
  <c r="D367" i="3"/>
  <c r="C367" i="3"/>
  <c r="B367" i="3"/>
  <c r="A367" i="3"/>
  <c r="J366" i="3"/>
  <c r="H366" i="3"/>
  <c r="K366" i="3" s="1"/>
  <c r="G366" i="3"/>
  <c r="F366" i="3"/>
  <c r="L366" i="3" s="1"/>
  <c r="E366" i="3"/>
  <c r="I366" i="3" s="1"/>
  <c r="D366" i="3"/>
  <c r="C366" i="3"/>
  <c r="B366" i="3"/>
  <c r="A366" i="3"/>
  <c r="J365" i="3"/>
  <c r="H365" i="3"/>
  <c r="K365" i="3" s="1"/>
  <c r="G365" i="3"/>
  <c r="F365" i="3"/>
  <c r="L365" i="3" s="1"/>
  <c r="E365" i="3"/>
  <c r="I365" i="3" s="1"/>
  <c r="D365" i="3"/>
  <c r="C365" i="3"/>
  <c r="B365" i="3"/>
  <c r="A365" i="3"/>
  <c r="J364" i="3"/>
  <c r="H364" i="3"/>
  <c r="K364" i="3" s="1"/>
  <c r="G364" i="3"/>
  <c r="F364" i="3"/>
  <c r="L364" i="3" s="1"/>
  <c r="E364" i="3"/>
  <c r="I364" i="3" s="1"/>
  <c r="D364" i="3"/>
  <c r="C364" i="3"/>
  <c r="B364" i="3"/>
  <c r="A364" i="3"/>
  <c r="J363" i="3"/>
  <c r="H363" i="3"/>
  <c r="K363" i="3" s="1"/>
  <c r="G363" i="3"/>
  <c r="F363" i="3"/>
  <c r="L363" i="3" s="1"/>
  <c r="E363" i="3"/>
  <c r="I363" i="3" s="1"/>
  <c r="D363" i="3"/>
  <c r="C363" i="3"/>
  <c r="B363" i="3"/>
  <c r="A363" i="3"/>
  <c r="J362" i="3"/>
  <c r="H362" i="3"/>
  <c r="K362" i="3" s="1"/>
  <c r="G362" i="3"/>
  <c r="F362" i="3"/>
  <c r="L362" i="3" s="1"/>
  <c r="E362" i="3"/>
  <c r="I362" i="3" s="1"/>
  <c r="D362" i="3"/>
  <c r="C362" i="3"/>
  <c r="B362" i="3"/>
  <c r="A362" i="3"/>
  <c r="J361" i="3"/>
  <c r="H361" i="3"/>
  <c r="K361" i="3" s="1"/>
  <c r="G361" i="3"/>
  <c r="F361" i="3"/>
  <c r="L361" i="3" s="1"/>
  <c r="E361" i="3"/>
  <c r="I361" i="3" s="1"/>
  <c r="D361" i="3"/>
  <c r="C361" i="3"/>
  <c r="B361" i="3"/>
  <c r="A361" i="3"/>
  <c r="J360" i="3"/>
  <c r="H360" i="3"/>
  <c r="K360" i="3" s="1"/>
  <c r="G360" i="3"/>
  <c r="F360" i="3"/>
  <c r="L360" i="3" s="1"/>
  <c r="E360" i="3"/>
  <c r="I360" i="3" s="1"/>
  <c r="D360" i="3"/>
  <c r="C360" i="3"/>
  <c r="B360" i="3"/>
  <c r="A360" i="3"/>
  <c r="J359" i="3"/>
  <c r="H359" i="3"/>
  <c r="K359" i="3" s="1"/>
  <c r="G359" i="3"/>
  <c r="F359" i="3"/>
  <c r="L359" i="3" s="1"/>
  <c r="E359" i="3"/>
  <c r="I359" i="3" s="1"/>
  <c r="D359" i="3"/>
  <c r="C359" i="3"/>
  <c r="B359" i="3"/>
  <c r="A359" i="3"/>
  <c r="J358" i="3"/>
  <c r="H358" i="3"/>
  <c r="K358" i="3" s="1"/>
  <c r="G358" i="3"/>
  <c r="F358" i="3"/>
  <c r="L358" i="3" s="1"/>
  <c r="E358" i="3"/>
  <c r="I358" i="3" s="1"/>
  <c r="D358" i="3"/>
  <c r="C358" i="3"/>
  <c r="B358" i="3"/>
  <c r="A358" i="3"/>
  <c r="J357" i="3"/>
  <c r="H357" i="3"/>
  <c r="K357" i="3" s="1"/>
  <c r="G357" i="3"/>
  <c r="F357" i="3"/>
  <c r="L357" i="3" s="1"/>
  <c r="E357" i="3"/>
  <c r="I357" i="3" s="1"/>
  <c r="D357" i="3"/>
  <c r="C357" i="3"/>
  <c r="B357" i="3"/>
  <c r="A357" i="3"/>
  <c r="J356" i="3"/>
  <c r="H356" i="3"/>
  <c r="K356" i="3" s="1"/>
  <c r="G356" i="3"/>
  <c r="F356" i="3"/>
  <c r="L356" i="3" s="1"/>
  <c r="E356" i="3"/>
  <c r="I356" i="3" s="1"/>
  <c r="D356" i="3"/>
  <c r="C356" i="3"/>
  <c r="B356" i="3"/>
  <c r="A356" i="3"/>
  <c r="J355" i="3"/>
  <c r="H355" i="3"/>
  <c r="K355" i="3" s="1"/>
  <c r="G355" i="3"/>
  <c r="F355" i="3"/>
  <c r="L355" i="3" s="1"/>
  <c r="E355" i="3"/>
  <c r="I355" i="3" s="1"/>
  <c r="D355" i="3"/>
  <c r="C355" i="3"/>
  <c r="B355" i="3"/>
  <c r="A355" i="3"/>
  <c r="J354" i="3"/>
  <c r="H354" i="3"/>
  <c r="K354" i="3" s="1"/>
  <c r="G354" i="3"/>
  <c r="F354" i="3"/>
  <c r="L354" i="3" s="1"/>
  <c r="E354" i="3"/>
  <c r="I354" i="3" s="1"/>
  <c r="D354" i="3"/>
  <c r="C354" i="3"/>
  <c r="B354" i="3"/>
  <c r="A354" i="3"/>
  <c r="J353" i="3"/>
  <c r="H353" i="3"/>
  <c r="K353" i="3" s="1"/>
  <c r="G353" i="3"/>
  <c r="F353" i="3"/>
  <c r="L353" i="3" s="1"/>
  <c r="E353" i="3"/>
  <c r="I353" i="3" s="1"/>
  <c r="D353" i="3"/>
  <c r="C353" i="3"/>
  <c r="B353" i="3"/>
  <c r="A353" i="3"/>
  <c r="J352" i="3"/>
  <c r="H352" i="3"/>
  <c r="K352" i="3" s="1"/>
  <c r="G352" i="3"/>
  <c r="F352" i="3"/>
  <c r="L352" i="3" s="1"/>
  <c r="E352" i="3"/>
  <c r="I352" i="3" s="1"/>
  <c r="D352" i="3"/>
  <c r="C352" i="3"/>
  <c r="B352" i="3"/>
  <c r="A352" i="3"/>
  <c r="J351" i="3"/>
  <c r="H351" i="3"/>
  <c r="K351" i="3" s="1"/>
  <c r="G351" i="3"/>
  <c r="F351" i="3"/>
  <c r="L351" i="3" s="1"/>
  <c r="E351" i="3"/>
  <c r="I351" i="3" s="1"/>
  <c r="D351" i="3"/>
  <c r="C351" i="3"/>
  <c r="B351" i="3"/>
  <c r="A351" i="3"/>
  <c r="J350" i="3"/>
  <c r="H350" i="3"/>
  <c r="K350" i="3" s="1"/>
  <c r="G350" i="3"/>
  <c r="F350" i="3"/>
  <c r="L350" i="3" s="1"/>
  <c r="E350" i="3"/>
  <c r="I350" i="3" s="1"/>
  <c r="D350" i="3"/>
  <c r="C350" i="3"/>
  <c r="B350" i="3"/>
  <c r="A350" i="3"/>
  <c r="J349" i="3"/>
  <c r="H349" i="3"/>
  <c r="K349" i="3" s="1"/>
  <c r="G349" i="3"/>
  <c r="F349" i="3"/>
  <c r="L349" i="3" s="1"/>
  <c r="E349" i="3"/>
  <c r="I349" i="3" s="1"/>
  <c r="D349" i="3"/>
  <c r="C349" i="3"/>
  <c r="B349" i="3"/>
  <c r="A349" i="3"/>
  <c r="J348" i="3"/>
  <c r="H348" i="3"/>
  <c r="K348" i="3" s="1"/>
  <c r="G348" i="3"/>
  <c r="F348" i="3"/>
  <c r="L348" i="3" s="1"/>
  <c r="E348" i="3"/>
  <c r="I348" i="3" s="1"/>
  <c r="D348" i="3"/>
  <c r="C348" i="3"/>
  <c r="B348" i="3"/>
  <c r="A348" i="3"/>
  <c r="J347" i="3"/>
  <c r="H347" i="3"/>
  <c r="K347" i="3" s="1"/>
  <c r="G347" i="3"/>
  <c r="F347" i="3"/>
  <c r="L347" i="3" s="1"/>
  <c r="E347" i="3"/>
  <c r="I347" i="3" s="1"/>
  <c r="D347" i="3"/>
  <c r="C347" i="3"/>
  <c r="B347" i="3"/>
  <c r="A347" i="3"/>
  <c r="J346" i="3"/>
  <c r="H346" i="3"/>
  <c r="K346" i="3" s="1"/>
  <c r="G346" i="3"/>
  <c r="F346" i="3"/>
  <c r="L346" i="3" s="1"/>
  <c r="E346" i="3"/>
  <c r="I346" i="3" s="1"/>
  <c r="D346" i="3"/>
  <c r="C346" i="3"/>
  <c r="B346" i="3"/>
  <c r="A346" i="3"/>
  <c r="J345" i="3"/>
  <c r="H345" i="3"/>
  <c r="K345" i="3" s="1"/>
  <c r="G345" i="3"/>
  <c r="F345" i="3"/>
  <c r="L345" i="3" s="1"/>
  <c r="E345" i="3"/>
  <c r="I345" i="3" s="1"/>
  <c r="D345" i="3"/>
  <c r="C345" i="3"/>
  <c r="B345" i="3"/>
  <c r="A345" i="3"/>
  <c r="J344" i="3"/>
  <c r="H344" i="3"/>
  <c r="K344" i="3" s="1"/>
  <c r="G344" i="3"/>
  <c r="F344" i="3"/>
  <c r="L344" i="3" s="1"/>
  <c r="E344" i="3"/>
  <c r="I344" i="3" s="1"/>
  <c r="D344" i="3"/>
  <c r="C344" i="3"/>
  <c r="B344" i="3"/>
  <c r="A344" i="3"/>
  <c r="J343" i="3"/>
  <c r="H343" i="3"/>
  <c r="K343" i="3" s="1"/>
  <c r="G343" i="3"/>
  <c r="F343" i="3"/>
  <c r="L343" i="3" s="1"/>
  <c r="E343" i="3"/>
  <c r="I343" i="3" s="1"/>
  <c r="D343" i="3"/>
  <c r="C343" i="3"/>
  <c r="B343" i="3"/>
  <c r="A343" i="3"/>
  <c r="J342" i="3"/>
  <c r="H342" i="3"/>
  <c r="K342" i="3" s="1"/>
  <c r="G342" i="3"/>
  <c r="F342" i="3"/>
  <c r="L342" i="3" s="1"/>
  <c r="E342" i="3"/>
  <c r="I342" i="3" s="1"/>
  <c r="D342" i="3"/>
  <c r="C342" i="3"/>
  <c r="B342" i="3"/>
  <c r="A342" i="3"/>
  <c r="J341" i="3"/>
  <c r="H341" i="3"/>
  <c r="K341" i="3" s="1"/>
  <c r="G341" i="3"/>
  <c r="F341" i="3"/>
  <c r="L341" i="3" s="1"/>
  <c r="E341" i="3"/>
  <c r="I341" i="3" s="1"/>
  <c r="D341" i="3"/>
  <c r="C341" i="3"/>
  <c r="B341" i="3"/>
  <c r="A341" i="3"/>
  <c r="J340" i="3"/>
  <c r="H340" i="3"/>
  <c r="K340" i="3" s="1"/>
  <c r="G340" i="3"/>
  <c r="F340" i="3"/>
  <c r="L340" i="3" s="1"/>
  <c r="E340" i="3"/>
  <c r="I340" i="3" s="1"/>
  <c r="D340" i="3"/>
  <c r="C340" i="3"/>
  <c r="B340" i="3"/>
  <c r="A340" i="3"/>
  <c r="J339" i="3"/>
  <c r="H339" i="3"/>
  <c r="K339" i="3" s="1"/>
  <c r="G339" i="3"/>
  <c r="F339" i="3"/>
  <c r="L339" i="3" s="1"/>
  <c r="E339" i="3"/>
  <c r="I339" i="3" s="1"/>
  <c r="D339" i="3"/>
  <c r="C339" i="3"/>
  <c r="B339" i="3"/>
  <c r="A339" i="3"/>
  <c r="J338" i="3"/>
  <c r="H338" i="3"/>
  <c r="K338" i="3" s="1"/>
  <c r="G338" i="3"/>
  <c r="F338" i="3"/>
  <c r="L338" i="3" s="1"/>
  <c r="E338" i="3"/>
  <c r="I338" i="3" s="1"/>
  <c r="D338" i="3"/>
  <c r="C338" i="3"/>
  <c r="B338" i="3"/>
  <c r="A338" i="3"/>
  <c r="J337" i="3"/>
  <c r="H337" i="3"/>
  <c r="K337" i="3" s="1"/>
  <c r="G337" i="3"/>
  <c r="F337" i="3"/>
  <c r="L337" i="3" s="1"/>
  <c r="E337" i="3"/>
  <c r="I337" i="3" s="1"/>
  <c r="D337" i="3"/>
  <c r="C337" i="3"/>
  <c r="B337" i="3"/>
  <c r="A337" i="3"/>
  <c r="J336" i="3"/>
  <c r="H336" i="3"/>
  <c r="K336" i="3" s="1"/>
  <c r="G336" i="3"/>
  <c r="F336" i="3"/>
  <c r="L336" i="3" s="1"/>
  <c r="E336" i="3"/>
  <c r="I336" i="3" s="1"/>
  <c r="D336" i="3"/>
  <c r="C336" i="3"/>
  <c r="B336" i="3"/>
  <c r="A336" i="3"/>
  <c r="J335" i="3"/>
  <c r="H335" i="3"/>
  <c r="K335" i="3" s="1"/>
  <c r="G335" i="3"/>
  <c r="F335" i="3"/>
  <c r="L335" i="3" s="1"/>
  <c r="E335" i="3"/>
  <c r="I335" i="3" s="1"/>
  <c r="D335" i="3"/>
  <c r="C335" i="3"/>
  <c r="B335" i="3"/>
  <c r="A335" i="3"/>
  <c r="J334" i="3"/>
  <c r="H334" i="3"/>
  <c r="K334" i="3" s="1"/>
  <c r="G334" i="3"/>
  <c r="F334" i="3"/>
  <c r="L334" i="3" s="1"/>
  <c r="E334" i="3"/>
  <c r="I334" i="3" s="1"/>
  <c r="D334" i="3"/>
  <c r="C334" i="3"/>
  <c r="B334" i="3"/>
  <c r="A334" i="3"/>
  <c r="J333" i="3"/>
  <c r="H333" i="3"/>
  <c r="K333" i="3" s="1"/>
  <c r="G333" i="3"/>
  <c r="F333" i="3"/>
  <c r="L333" i="3" s="1"/>
  <c r="E333" i="3"/>
  <c r="I333" i="3" s="1"/>
  <c r="D333" i="3"/>
  <c r="C333" i="3"/>
  <c r="B333" i="3"/>
  <c r="A333" i="3"/>
  <c r="J332" i="3"/>
  <c r="H332" i="3"/>
  <c r="K332" i="3" s="1"/>
  <c r="G332" i="3"/>
  <c r="F332" i="3"/>
  <c r="L332" i="3" s="1"/>
  <c r="E332" i="3"/>
  <c r="I332" i="3" s="1"/>
  <c r="D332" i="3"/>
  <c r="C332" i="3"/>
  <c r="B332" i="3"/>
  <c r="A332" i="3"/>
  <c r="J331" i="3"/>
  <c r="H331" i="3"/>
  <c r="K331" i="3" s="1"/>
  <c r="G331" i="3"/>
  <c r="F331" i="3"/>
  <c r="L331" i="3" s="1"/>
  <c r="E331" i="3"/>
  <c r="I331" i="3" s="1"/>
  <c r="D331" i="3"/>
  <c r="C331" i="3"/>
  <c r="B331" i="3"/>
  <c r="A331" i="3"/>
  <c r="J330" i="3"/>
  <c r="H330" i="3"/>
  <c r="K330" i="3" s="1"/>
  <c r="G330" i="3"/>
  <c r="F330" i="3"/>
  <c r="L330" i="3" s="1"/>
  <c r="E330" i="3"/>
  <c r="I330" i="3" s="1"/>
  <c r="D330" i="3"/>
  <c r="C330" i="3"/>
  <c r="B330" i="3"/>
  <c r="A330" i="3"/>
  <c r="J329" i="3"/>
  <c r="H329" i="3"/>
  <c r="K329" i="3" s="1"/>
  <c r="G329" i="3"/>
  <c r="F329" i="3"/>
  <c r="L329" i="3" s="1"/>
  <c r="E329" i="3"/>
  <c r="I329" i="3" s="1"/>
  <c r="D329" i="3"/>
  <c r="C329" i="3"/>
  <c r="B329" i="3"/>
  <c r="A329" i="3"/>
  <c r="J328" i="3"/>
  <c r="H328" i="3"/>
  <c r="K328" i="3" s="1"/>
  <c r="G328" i="3"/>
  <c r="F328" i="3"/>
  <c r="L328" i="3" s="1"/>
  <c r="E328" i="3"/>
  <c r="I328" i="3" s="1"/>
  <c r="D328" i="3"/>
  <c r="C328" i="3"/>
  <c r="B328" i="3"/>
  <c r="A328" i="3"/>
  <c r="J327" i="3"/>
  <c r="H327" i="3"/>
  <c r="K327" i="3" s="1"/>
  <c r="G327" i="3"/>
  <c r="F327" i="3"/>
  <c r="L327" i="3" s="1"/>
  <c r="E327" i="3"/>
  <c r="I327" i="3" s="1"/>
  <c r="D327" i="3"/>
  <c r="C327" i="3"/>
  <c r="B327" i="3"/>
  <c r="A327" i="3"/>
  <c r="J326" i="3"/>
  <c r="H326" i="3"/>
  <c r="K326" i="3" s="1"/>
  <c r="G326" i="3"/>
  <c r="F326" i="3"/>
  <c r="L326" i="3" s="1"/>
  <c r="E326" i="3"/>
  <c r="I326" i="3" s="1"/>
  <c r="D326" i="3"/>
  <c r="C326" i="3"/>
  <c r="B326" i="3"/>
  <c r="A326" i="3"/>
  <c r="J325" i="3"/>
  <c r="H325" i="3"/>
  <c r="K325" i="3" s="1"/>
  <c r="G325" i="3"/>
  <c r="F325" i="3"/>
  <c r="L325" i="3" s="1"/>
  <c r="E325" i="3"/>
  <c r="I325" i="3" s="1"/>
  <c r="D325" i="3"/>
  <c r="C325" i="3"/>
  <c r="B325" i="3"/>
  <c r="A325" i="3"/>
  <c r="J324" i="3"/>
  <c r="H324" i="3"/>
  <c r="K324" i="3" s="1"/>
  <c r="G324" i="3"/>
  <c r="F324" i="3"/>
  <c r="L324" i="3" s="1"/>
  <c r="E324" i="3"/>
  <c r="I324" i="3" s="1"/>
  <c r="D324" i="3"/>
  <c r="C324" i="3"/>
  <c r="B324" i="3"/>
  <c r="A324" i="3"/>
  <c r="J323" i="3"/>
  <c r="H323" i="3"/>
  <c r="K323" i="3" s="1"/>
  <c r="G323" i="3"/>
  <c r="F323" i="3"/>
  <c r="L323" i="3" s="1"/>
  <c r="E323" i="3"/>
  <c r="I323" i="3" s="1"/>
  <c r="D323" i="3"/>
  <c r="C323" i="3"/>
  <c r="B323" i="3"/>
  <c r="A323" i="3"/>
  <c r="J322" i="3"/>
  <c r="H322" i="3"/>
  <c r="K322" i="3" s="1"/>
  <c r="G322" i="3"/>
  <c r="F322" i="3"/>
  <c r="L322" i="3" s="1"/>
  <c r="E322" i="3"/>
  <c r="I322" i="3" s="1"/>
  <c r="D322" i="3"/>
  <c r="C322" i="3"/>
  <c r="B322" i="3"/>
  <c r="A322" i="3"/>
  <c r="J321" i="3"/>
  <c r="H321" i="3"/>
  <c r="K321" i="3" s="1"/>
  <c r="G321" i="3"/>
  <c r="F321" i="3"/>
  <c r="L321" i="3" s="1"/>
  <c r="E321" i="3"/>
  <c r="I321" i="3" s="1"/>
  <c r="D321" i="3"/>
  <c r="C321" i="3"/>
  <c r="B321" i="3"/>
  <c r="A321" i="3"/>
  <c r="J320" i="3"/>
  <c r="H320" i="3"/>
  <c r="K320" i="3" s="1"/>
  <c r="G320" i="3"/>
  <c r="F320" i="3"/>
  <c r="L320" i="3" s="1"/>
  <c r="E320" i="3"/>
  <c r="I320" i="3" s="1"/>
  <c r="D320" i="3"/>
  <c r="C320" i="3"/>
  <c r="B320" i="3"/>
  <c r="A320" i="3"/>
  <c r="J319" i="3"/>
  <c r="H319" i="3"/>
  <c r="K319" i="3" s="1"/>
  <c r="G319" i="3"/>
  <c r="F319" i="3"/>
  <c r="L319" i="3" s="1"/>
  <c r="E319" i="3"/>
  <c r="I319" i="3" s="1"/>
  <c r="D319" i="3"/>
  <c r="C319" i="3"/>
  <c r="B319" i="3"/>
  <c r="A319" i="3"/>
  <c r="J318" i="3"/>
  <c r="H318" i="3"/>
  <c r="K318" i="3" s="1"/>
  <c r="G318" i="3"/>
  <c r="F318" i="3"/>
  <c r="L318" i="3" s="1"/>
  <c r="E318" i="3"/>
  <c r="I318" i="3" s="1"/>
  <c r="D318" i="3"/>
  <c r="C318" i="3"/>
  <c r="B318" i="3"/>
  <c r="A318" i="3"/>
  <c r="J317" i="3"/>
  <c r="H317" i="3"/>
  <c r="K317" i="3" s="1"/>
  <c r="G317" i="3"/>
  <c r="F317" i="3"/>
  <c r="L317" i="3" s="1"/>
  <c r="E317" i="3"/>
  <c r="I317" i="3" s="1"/>
  <c r="D317" i="3"/>
  <c r="C317" i="3"/>
  <c r="B317" i="3"/>
  <c r="A317" i="3"/>
  <c r="J316" i="3"/>
  <c r="H316" i="3"/>
  <c r="K316" i="3" s="1"/>
  <c r="G316" i="3"/>
  <c r="F316" i="3"/>
  <c r="L316" i="3" s="1"/>
  <c r="E316" i="3"/>
  <c r="I316" i="3" s="1"/>
  <c r="D316" i="3"/>
  <c r="C316" i="3"/>
  <c r="B316" i="3"/>
  <c r="A316" i="3"/>
  <c r="J315" i="3"/>
  <c r="H315" i="3"/>
  <c r="K315" i="3" s="1"/>
  <c r="G315" i="3"/>
  <c r="F315" i="3"/>
  <c r="L315" i="3" s="1"/>
  <c r="E315" i="3"/>
  <c r="I315" i="3" s="1"/>
  <c r="D315" i="3"/>
  <c r="C315" i="3"/>
  <c r="B315" i="3"/>
  <c r="A315" i="3"/>
  <c r="J314" i="3"/>
  <c r="H314" i="3"/>
  <c r="K314" i="3" s="1"/>
  <c r="G314" i="3"/>
  <c r="F314" i="3"/>
  <c r="L314" i="3" s="1"/>
  <c r="E314" i="3"/>
  <c r="I314" i="3" s="1"/>
  <c r="D314" i="3"/>
  <c r="C314" i="3"/>
  <c r="B314" i="3"/>
  <c r="A314" i="3"/>
  <c r="J313" i="3"/>
  <c r="H313" i="3"/>
  <c r="K313" i="3" s="1"/>
  <c r="G313" i="3"/>
  <c r="F313" i="3"/>
  <c r="L313" i="3" s="1"/>
  <c r="E313" i="3"/>
  <c r="I313" i="3" s="1"/>
  <c r="D313" i="3"/>
  <c r="C313" i="3"/>
  <c r="B313" i="3"/>
  <c r="A313" i="3"/>
  <c r="J312" i="3"/>
  <c r="H312" i="3"/>
  <c r="K312" i="3" s="1"/>
  <c r="G312" i="3"/>
  <c r="F312" i="3"/>
  <c r="L312" i="3" s="1"/>
  <c r="E312" i="3"/>
  <c r="I312" i="3" s="1"/>
  <c r="D312" i="3"/>
  <c r="C312" i="3"/>
  <c r="B312" i="3"/>
  <c r="A312" i="3"/>
  <c r="J311" i="3"/>
  <c r="H311" i="3"/>
  <c r="K311" i="3" s="1"/>
  <c r="G311" i="3"/>
  <c r="F311" i="3"/>
  <c r="L311" i="3" s="1"/>
  <c r="E311" i="3"/>
  <c r="I311" i="3" s="1"/>
  <c r="D311" i="3"/>
  <c r="C311" i="3"/>
  <c r="B311" i="3"/>
  <c r="A311" i="3"/>
  <c r="J310" i="3"/>
  <c r="H310" i="3"/>
  <c r="K310" i="3" s="1"/>
  <c r="G310" i="3"/>
  <c r="F310" i="3"/>
  <c r="L310" i="3" s="1"/>
  <c r="E310" i="3"/>
  <c r="I310" i="3" s="1"/>
  <c r="D310" i="3"/>
  <c r="C310" i="3"/>
  <c r="B310" i="3"/>
  <c r="A310" i="3"/>
  <c r="J309" i="3"/>
  <c r="H309" i="3"/>
  <c r="K309" i="3" s="1"/>
  <c r="G309" i="3"/>
  <c r="F309" i="3"/>
  <c r="L309" i="3" s="1"/>
  <c r="E309" i="3"/>
  <c r="I309" i="3" s="1"/>
  <c r="D309" i="3"/>
  <c r="C309" i="3"/>
  <c r="B309" i="3"/>
  <c r="A309" i="3"/>
  <c r="J308" i="3"/>
  <c r="H308" i="3"/>
  <c r="K308" i="3" s="1"/>
  <c r="G308" i="3"/>
  <c r="F308" i="3"/>
  <c r="L308" i="3" s="1"/>
  <c r="E308" i="3"/>
  <c r="I308" i="3" s="1"/>
  <c r="D308" i="3"/>
  <c r="C308" i="3"/>
  <c r="B308" i="3"/>
  <c r="A308" i="3"/>
  <c r="J307" i="3"/>
  <c r="H307" i="3"/>
  <c r="K307" i="3" s="1"/>
  <c r="G307" i="3"/>
  <c r="F307" i="3"/>
  <c r="L307" i="3" s="1"/>
  <c r="E307" i="3"/>
  <c r="I307" i="3" s="1"/>
  <c r="D307" i="3"/>
  <c r="C307" i="3"/>
  <c r="B307" i="3"/>
  <c r="A307" i="3"/>
  <c r="J306" i="3"/>
  <c r="H306" i="3"/>
  <c r="K306" i="3" s="1"/>
  <c r="G306" i="3"/>
  <c r="F306" i="3"/>
  <c r="L306" i="3" s="1"/>
  <c r="E306" i="3"/>
  <c r="I306" i="3" s="1"/>
  <c r="D306" i="3"/>
  <c r="C306" i="3"/>
  <c r="B306" i="3"/>
  <c r="A306" i="3"/>
  <c r="J305" i="3"/>
  <c r="H305" i="3"/>
  <c r="K305" i="3" s="1"/>
  <c r="G305" i="3"/>
  <c r="F305" i="3"/>
  <c r="L305" i="3" s="1"/>
  <c r="E305" i="3"/>
  <c r="I305" i="3" s="1"/>
  <c r="D305" i="3"/>
  <c r="C305" i="3"/>
  <c r="B305" i="3"/>
  <c r="A305" i="3"/>
  <c r="J304" i="3"/>
  <c r="H304" i="3"/>
  <c r="K304" i="3" s="1"/>
  <c r="G304" i="3"/>
  <c r="F304" i="3"/>
  <c r="L304" i="3" s="1"/>
  <c r="E304" i="3"/>
  <c r="I304" i="3" s="1"/>
  <c r="D304" i="3"/>
  <c r="C304" i="3"/>
  <c r="B304" i="3"/>
  <c r="A304" i="3"/>
  <c r="J303" i="3"/>
  <c r="H303" i="3"/>
  <c r="K303" i="3" s="1"/>
  <c r="G303" i="3"/>
  <c r="F303" i="3"/>
  <c r="L303" i="3" s="1"/>
  <c r="E303" i="3"/>
  <c r="I303" i="3" s="1"/>
  <c r="D303" i="3"/>
  <c r="C303" i="3"/>
  <c r="B303" i="3"/>
  <c r="A303" i="3"/>
  <c r="J302" i="3"/>
  <c r="H302" i="3"/>
  <c r="K302" i="3" s="1"/>
  <c r="G302" i="3"/>
  <c r="F302" i="3"/>
  <c r="L302" i="3" s="1"/>
  <c r="E302" i="3"/>
  <c r="I302" i="3" s="1"/>
  <c r="D302" i="3"/>
  <c r="C302" i="3"/>
  <c r="B302" i="3"/>
  <c r="A302" i="3"/>
  <c r="J301" i="3"/>
  <c r="H301" i="3"/>
  <c r="K301" i="3" s="1"/>
  <c r="G301" i="3"/>
  <c r="F301" i="3"/>
  <c r="L301" i="3" s="1"/>
  <c r="E301" i="3"/>
  <c r="I301" i="3" s="1"/>
  <c r="D301" i="3"/>
  <c r="C301" i="3"/>
  <c r="B301" i="3"/>
  <c r="A301" i="3"/>
  <c r="J300" i="3"/>
  <c r="H300" i="3"/>
  <c r="K300" i="3" s="1"/>
  <c r="G300" i="3"/>
  <c r="F300" i="3"/>
  <c r="L300" i="3" s="1"/>
  <c r="E300" i="3"/>
  <c r="I300" i="3" s="1"/>
  <c r="D300" i="3"/>
  <c r="C300" i="3"/>
  <c r="B300" i="3"/>
  <c r="A300" i="3"/>
  <c r="J299" i="3"/>
  <c r="H299" i="3"/>
  <c r="K299" i="3" s="1"/>
  <c r="G299" i="3"/>
  <c r="F299" i="3"/>
  <c r="L299" i="3" s="1"/>
  <c r="E299" i="3"/>
  <c r="I299" i="3" s="1"/>
  <c r="D299" i="3"/>
  <c r="C299" i="3"/>
  <c r="B299" i="3"/>
  <c r="A299" i="3"/>
  <c r="J298" i="3"/>
  <c r="H298" i="3"/>
  <c r="K298" i="3" s="1"/>
  <c r="G298" i="3"/>
  <c r="F298" i="3"/>
  <c r="L298" i="3" s="1"/>
  <c r="E298" i="3"/>
  <c r="I298" i="3" s="1"/>
  <c r="D298" i="3"/>
  <c r="C298" i="3"/>
  <c r="B298" i="3"/>
  <c r="A298" i="3"/>
  <c r="J297" i="3"/>
  <c r="H297" i="3"/>
  <c r="K297" i="3" s="1"/>
  <c r="G297" i="3"/>
  <c r="F297" i="3"/>
  <c r="L297" i="3" s="1"/>
  <c r="E297" i="3"/>
  <c r="I297" i="3" s="1"/>
  <c r="D297" i="3"/>
  <c r="C297" i="3"/>
  <c r="B297" i="3"/>
  <c r="A297" i="3"/>
  <c r="J296" i="3"/>
  <c r="H296" i="3"/>
  <c r="K296" i="3" s="1"/>
  <c r="G296" i="3"/>
  <c r="F296" i="3"/>
  <c r="L296" i="3" s="1"/>
  <c r="E296" i="3"/>
  <c r="I296" i="3" s="1"/>
  <c r="D296" i="3"/>
  <c r="C296" i="3"/>
  <c r="B296" i="3"/>
  <c r="A296" i="3"/>
  <c r="J295" i="3"/>
  <c r="H295" i="3"/>
  <c r="K295" i="3" s="1"/>
  <c r="G295" i="3"/>
  <c r="F295" i="3"/>
  <c r="L295" i="3" s="1"/>
  <c r="E295" i="3"/>
  <c r="I295" i="3" s="1"/>
  <c r="D295" i="3"/>
  <c r="C295" i="3"/>
  <c r="B295" i="3"/>
  <c r="A295" i="3"/>
  <c r="J294" i="3"/>
  <c r="H294" i="3"/>
  <c r="K294" i="3" s="1"/>
  <c r="G294" i="3"/>
  <c r="F294" i="3"/>
  <c r="L294" i="3" s="1"/>
  <c r="E294" i="3"/>
  <c r="I294" i="3" s="1"/>
  <c r="D294" i="3"/>
  <c r="C294" i="3"/>
  <c r="B294" i="3"/>
  <c r="A294" i="3"/>
  <c r="J293" i="3"/>
  <c r="H293" i="3"/>
  <c r="K293" i="3" s="1"/>
  <c r="G293" i="3"/>
  <c r="F293" i="3"/>
  <c r="L293" i="3" s="1"/>
  <c r="E293" i="3"/>
  <c r="I293" i="3" s="1"/>
  <c r="D293" i="3"/>
  <c r="C293" i="3"/>
  <c r="B293" i="3"/>
  <c r="A293" i="3"/>
  <c r="J292" i="3"/>
  <c r="H292" i="3"/>
  <c r="K292" i="3" s="1"/>
  <c r="G292" i="3"/>
  <c r="F292" i="3"/>
  <c r="L292" i="3" s="1"/>
  <c r="E292" i="3"/>
  <c r="I292" i="3" s="1"/>
  <c r="D292" i="3"/>
  <c r="C292" i="3"/>
  <c r="B292" i="3"/>
  <c r="A292" i="3"/>
  <c r="J291" i="3"/>
  <c r="H291" i="3"/>
  <c r="K291" i="3" s="1"/>
  <c r="G291" i="3"/>
  <c r="F291" i="3"/>
  <c r="L291" i="3" s="1"/>
  <c r="E291" i="3"/>
  <c r="I291" i="3" s="1"/>
  <c r="D291" i="3"/>
  <c r="C291" i="3"/>
  <c r="B291" i="3"/>
  <c r="A291" i="3"/>
  <c r="J290" i="3"/>
  <c r="H290" i="3"/>
  <c r="K290" i="3" s="1"/>
  <c r="G290" i="3"/>
  <c r="F290" i="3"/>
  <c r="L290" i="3" s="1"/>
  <c r="E290" i="3"/>
  <c r="I290" i="3" s="1"/>
  <c r="D290" i="3"/>
  <c r="C290" i="3"/>
  <c r="B290" i="3"/>
  <c r="A290" i="3"/>
  <c r="J289" i="3"/>
  <c r="H289" i="3"/>
  <c r="K289" i="3" s="1"/>
  <c r="G289" i="3"/>
  <c r="F289" i="3"/>
  <c r="L289" i="3" s="1"/>
  <c r="E289" i="3"/>
  <c r="I289" i="3" s="1"/>
  <c r="D289" i="3"/>
  <c r="C289" i="3"/>
  <c r="B289" i="3"/>
  <c r="A289" i="3"/>
  <c r="J288" i="3"/>
  <c r="H288" i="3"/>
  <c r="K288" i="3" s="1"/>
  <c r="G288" i="3"/>
  <c r="F288" i="3"/>
  <c r="L288" i="3" s="1"/>
  <c r="E288" i="3"/>
  <c r="I288" i="3" s="1"/>
  <c r="D288" i="3"/>
  <c r="C288" i="3"/>
  <c r="B288" i="3"/>
  <c r="A288" i="3"/>
  <c r="J287" i="3"/>
  <c r="H287" i="3"/>
  <c r="K287" i="3" s="1"/>
  <c r="G287" i="3"/>
  <c r="F287" i="3"/>
  <c r="L287" i="3" s="1"/>
  <c r="E287" i="3"/>
  <c r="I287" i="3" s="1"/>
  <c r="D287" i="3"/>
  <c r="C287" i="3"/>
  <c r="B287" i="3"/>
  <c r="A287" i="3"/>
  <c r="J286" i="3"/>
  <c r="H286" i="3"/>
  <c r="K286" i="3" s="1"/>
  <c r="G286" i="3"/>
  <c r="F286" i="3"/>
  <c r="L286" i="3" s="1"/>
  <c r="E286" i="3"/>
  <c r="I286" i="3" s="1"/>
  <c r="D286" i="3"/>
  <c r="C286" i="3"/>
  <c r="B286" i="3"/>
  <c r="A286" i="3"/>
  <c r="H285" i="3"/>
  <c r="K285" i="3" s="1"/>
  <c r="G285" i="3"/>
  <c r="F285" i="3"/>
  <c r="L285" i="3" s="1"/>
  <c r="E285" i="3"/>
  <c r="D285" i="3"/>
  <c r="J285" i="3" s="1"/>
  <c r="C285" i="3"/>
  <c r="B285" i="3"/>
  <c r="A285" i="3"/>
  <c r="J284" i="3"/>
  <c r="H284" i="3"/>
  <c r="K284" i="3" s="1"/>
  <c r="G284" i="3"/>
  <c r="F284" i="3"/>
  <c r="L284" i="3" s="1"/>
  <c r="E284" i="3"/>
  <c r="I284" i="3" s="1"/>
  <c r="D284" i="3"/>
  <c r="C284" i="3"/>
  <c r="B284" i="3"/>
  <c r="A284" i="3"/>
  <c r="H283" i="3"/>
  <c r="K283" i="3" s="1"/>
  <c r="G283" i="3"/>
  <c r="F283" i="3"/>
  <c r="L283" i="3" s="1"/>
  <c r="E283" i="3"/>
  <c r="D283" i="3"/>
  <c r="J283" i="3" s="1"/>
  <c r="C283" i="3"/>
  <c r="B283" i="3"/>
  <c r="A283" i="3"/>
  <c r="J282" i="3"/>
  <c r="H282" i="3"/>
  <c r="K282" i="3" s="1"/>
  <c r="G282" i="3"/>
  <c r="F282" i="3"/>
  <c r="L282" i="3" s="1"/>
  <c r="E282" i="3"/>
  <c r="I282" i="3" s="1"/>
  <c r="D282" i="3"/>
  <c r="C282" i="3"/>
  <c r="B282" i="3"/>
  <c r="A282" i="3"/>
  <c r="H281" i="3"/>
  <c r="K281" i="3" s="1"/>
  <c r="G281" i="3"/>
  <c r="F281" i="3"/>
  <c r="L281" i="3" s="1"/>
  <c r="E281" i="3"/>
  <c r="D281" i="3"/>
  <c r="J281" i="3" s="1"/>
  <c r="C281" i="3"/>
  <c r="B281" i="3"/>
  <c r="A281" i="3"/>
  <c r="J280" i="3"/>
  <c r="H280" i="3"/>
  <c r="K280" i="3" s="1"/>
  <c r="G280" i="3"/>
  <c r="F280" i="3"/>
  <c r="L280" i="3" s="1"/>
  <c r="E280" i="3"/>
  <c r="I280" i="3" s="1"/>
  <c r="D280" i="3"/>
  <c r="C280" i="3"/>
  <c r="B280" i="3"/>
  <c r="A280" i="3"/>
  <c r="J279" i="3"/>
  <c r="H279" i="3"/>
  <c r="K279" i="3" s="1"/>
  <c r="G279" i="3"/>
  <c r="F279" i="3"/>
  <c r="L279" i="3" s="1"/>
  <c r="E279" i="3"/>
  <c r="I279" i="3" s="1"/>
  <c r="D279" i="3"/>
  <c r="C279" i="3"/>
  <c r="B279" i="3"/>
  <c r="A279" i="3"/>
  <c r="L278" i="3"/>
  <c r="H278" i="3"/>
  <c r="K278" i="3" s="1"/>
  <c r="G278" i="3"/>
  <c r="F278" i="3"/>
  <c r="E278" i="3"/>
  <c r="I278" i="3" s="1"/>
  <c r="D278" i="3"/>
  <c r="J278" i="3" s="1"/>
  <c r="C278" i="3"/>
  <c r="B278" i="3"/>
  <c r="A278" i="3"/>
  <c r="L277" i="3"/>
  <c r="H277" i="3"/>
  <c r="K277" i="3" s="1"/>
  <c r="G277" i="3"/>
  <c r="F277" i="3"/>
  <c r="E277" i="3"/>
  <c r="I277" i="3" s="1"/>
  <c r="D277" i="3"/>
  <c r="J277" i="3" s="1"/>
  <c r="C277" i="3"/>
  <c r="B277" i="3"/>
  <c r="A277" i="3"/>
  <c r="J276" i="3"/>
  <c r="H276" i="3"/>
  <c r="K276" i="3" s="1"/>
  <c r="G276" i="3"/>
  <c r="F276" i="3"/>
  <c r="L276" i="3" s="1"/>
  <c r="E276" i="3"/>
  <c r="I276" i="3" s="1"/>
  <c r="D276" i="3"/>
  <c r="C276" i="3"/>
  <c r="B276" i="3"/>
  <c r="A276" i="3"/>
  <c r="J275" i="3"/>
  <c r="H275" i="3"/>
  <c r="K275" i="3" s="1"/>
  <c r="G275" i="3"/>
  <c r="F275" i="3"/>
  <c r="L275" i="3" s="1"/>
  <c r="E275" i="3"/>
  <c r="I275" i="3" s="1"/>
  <c r="D275" i="3"/>
  <c r="C275" i="3"/>
  <c r="B275" i="3"/>
  <c r="A275" i="3"/>
  <c r="L274" i="3"/>
  <c r="H274" i="3"/>
  <c r="K274" i="3" s="1"/>
  <c r="G274" i="3"/>
  <c r="F274" i="3"/>
  <c r="E274" i="3"/>
  <c r="I274" i="3" s="1"/>
  <c r="D274" i="3"/>
  <c r="J274" i="3" s="1"/>
  <c r="C274" i="3"/>
  <c r="B274" i="3"/>
  <c r="A274" i="3"/>
  <c r="L273" i="3"/>
  <c r="H273" i="3"/>
  <c r="K273" i="3" s="1"/>
  <c r="G273" i="3"/>
  <c r="F273" i="3"/>
  <c r="E273" i="3"/>
  <c r="I273" i="3" s="1"/>
  <c r="D273" i="3"/>
  <c r="J273" i="3" s="1"/>
  <c r="C273" i="3"/>
  <c r="B273" i="3"/>
  <c r="A273" i="3"/>
  <c r="J272" i="3"/>
  <c r="H272" i="3"/>
  <c r="K272" i="3" s="1"/>
  <c r="G272" i="3"/>
  <c r="F272" i="3"/>
  <c r="L272" i="3" s="1"/>
  <c r="E272" i="3"/>
  <c r="I272" i="3" s="1"/>
  <c r="D272" i="3"/>
  <c r="C272" i="3"/>
  <c r="B272" i="3"/>
  <c r="A272" i="3"/>
  <c r="J271" i="3"/>
  <c r="H271" i="3"/>
  <c r="K271" i="3" s="1"/>
  <c r="G271" i="3"/>
  <c r="F271" i="3"/>
  <c r="L271" i="3" s="1"/>
  <c r="E271" i="3"/>
  <c r="I271" i="3" s="1"/>
  <c r="D271" i="3"/>
  <c r="C271" i="3"/>
  <c r="B271" i="3"/>
  <c r="A271" i="3"/>
  <c r="L270" i="3"/>
  <c r="H270" i="3"/>
  <c r="K270" i="3" s="1"/>
  <c r="G270" i="3"/>
  <c r="F270" i="3"/>
  <c r="E270" i="3"/>
  <c r="I270" i="3" s="1"/>
  <c r="D270" i="3"/>
  <c r="J270" i="3" s="1"/>
  <c r="C270" i="3"/>
  <c r="B270" i="3"/>
  <c r="A270" i="3"/>
  <c r="L269" i="3"/>
  <c r="H269" i="3"/>
  <c r="K269" i="3" s="1"/>
  <c r="G269" i="3"/>
  <c r="F269" i="3"/>
  <c r="E269" i="3"/>
  <c r="I269" i="3" s="1"/>
  <c r="D269" i="3"/>
  <c r="J269" i="3" s="1"/>
  <c r="C269" i="3"/>
  <c r="B269" i="3"/>
  <c r="A269" i="3"/>
  <c r="J268" i="3"/>
  <c r="H268" i="3"/>
  <c r="K268" i="3" s="1"/>
  <c r="G268" i="3"/>
  <c r="F268" i="3"/>
  <c r="L268" i="3" s="1"/>
  <c r="E268" i="3"/>
  <c r="I268" i="3" s="1"/>
  <c r="D268" i="3"/>
  <c r="C268" i="3"/>
  <c r="B268" i="3"/>
  <c r="A268" i="3"/>
  <c r="J267" i="3"/>
  <c r="H267" i="3"/>
  <c r="K267" i="3" s="1"/>
  <c r="G267" i="3"/>
  <c r="F267" i="3"/>
  <c r="L267" i="3" s="1"/>
  <c r="E267" i="3"/>
  <c r="I267" i="3" s="1"/>
  <c r="D267" i="3"/>
  <c r="C267" i="3"/>
  <c r="B267" i="3"/>
  <c r="A267" i="3"/>
  <c r="L266" i="3"/>
  <c r="H266" i="3"/>
  <c r="K266" i="3" s="1"/>
  <c r="G266" i="3"/>
  <c r="F266" i="3"/>
  <c r="E266" i="3"/>
  <c r="I266" i="3" s="1"/>
  <c r="D266" i="3"/>
  <c r="J266" i="3" s="1"/>
  <c r="C266" i="3"/>
  <c r="B266" i="3"/>
  <c r="A266" i="3"/>
  <c r="L265" i="3"/>
  <c r="H265" i="3"/>
  <c r="K265" i="3" s="1"/>
  <c r="G265" i="3"/>
  <c r="F265" i="3"/>
  <c r="E265" i="3"/>
  <c r="I265" i="3" s="1"/>
  <c r="D265" i="3"/>
  <c r="J265" i="3" s="1"/>
  <c r="C265" i="3"/>
  <c r="B265" i="3"/>
  <c r="A265" i="3"/>
  <c r="J264" i="3"/>
  <c r="H264" i="3"/>
  <c r="K264" i="3" s="1"/>
  <c r="G264" i="3"/>
  <c r="F264" i="3"/>
  <c r="L264" i="3" s="1"/>
  <c r="E264" i="3"/>
  <c r="I264" i="3" s="1"/>
  <c r="D264" i="3"/>
  <c r="C264" i="3"/>
  <c r="B264" i="3"/>
  <c r="A264" i="3"/>
  <c r="J263" i="3"/>
  <c r="H263" i="3"/>
  <c r="K263" i="3" s="1"/>
  <c r="G263" i="3"/>
  <c r="F263" i="3"/>
  <c r="L263" i="3" s="1"/>
  <c r="E263" i="3"/>
  <c r="I263" i="3" s="1"/>
  <c r="D263" i="3"/>
  <c r="C263" i="3"/>
  <c r="B263" i="3"/>
  <c r="A263" i="3"/>
  <c r="L262" i="3"/>
  <c r="H262" i="3"/>
  <c r="K262" i="3" s="1"/>
  <c r="G262" i="3"/>
  <c r="F262" i="3"/>
  <c r="E262" i="3"/>
  <c r="I262" i="3" s="1"/>
  <c r="D262" i="3"/>
  <c r="J262" i="3" s="1"/>
  <c r="C262" i="3"/>
  <c r="B262" i="3"/>
  <c r="A262" i="3"/>
  <c r="L261" i="3"/>
  <c r="H261" i="3"/>
  <c r="K261" i="3" s="1"/>
  <c r="G261" i="3"/>
  <c r="F261" i="3"/>
  <c r="E261" i="3"/>
  <c r="I261" i="3" s="1"/>
  <c r="D261" i="3"/>
  <c r="J261" i="3" s="1"/>
  <c r="C261" i="3"/>
  <c r="B261" i="3"/>
  <c r="A261" i="3"/>
  <c r="J260" i="3"/>
  <c r="H260" i="3"/>
  <c r="K260" i="3" s="1"/>
  <c r="G260" i="3"/>
  <c r="F260" i="3"/>
  <c r="L260" i="3" s="1"/>
  <c r="E260" i="3"/>
  <c r="I260" i="3" s="1"/>
  <c r="D260" i="3"/>
  <c r="C260" i="3"/>
  <c r="B260" i="3"/>
  <c r="A260" i="3"/>
  <c r="J259" i="3"/>
  <c r="H259" i="3"/>
  <c r="K259" i="3" s="1"/>
  <c r="G259" i="3"/>
  <c r="F259" i="3"/>
  <c r="L259" i="3" s="1"/>
  <c r="E259" i="3"/>
  <c r="I259" i="3" s="1"/>
  <c r="D259" i="3"/>
  <c r="C259" i="3"/>
  <c r="B259" i="3"/>
  <c r="A259" i="3"/>
  <c r="L258" i="3"/>
  <c r="H258" i="3"/>
  <c r="K258" i="3" s="1"/>
  <c r="G258" i="3"/>
  <c r="F258" i="3"/>
  <c r="E258" i="3"/>
  <c r="I258" i="3" s="1"/>
  <c r="D258" i="3"/>
  <c r="J258" i="3" s="1"/>
  <c r="C258" i="3"/>
  <c r="B258" i="3"/>
  <c r="A258" i="3"/>
  <c r="L257" i="3"/>
  <c r="H257" i="3"/>
  <c r="K257" i="3" s="1"/>
  <c r="G257" i="3"/>
  <c r="F257" i="3"/>
  <c r="E257" i="3"/>
  <c r="I257" i="3" s="1"/>
  <c r="D257" i="3"/>
  <c r="J257" i="3" s="1"/>
  <c r="C257" i="3"/>
  <c r="B257" i="3"/>
  <c r="A257" i="3"/>
  <c r="J256" i="3"/>
  <c r="H256" i="3"/>
  <c r="K256" i="3" s="1"/>
  <c r="G256" i="3"/>
  <c r="F256" i="3"/>
  <c r="L256" i="3" s="1"/>
  <c r="E256" i="3"/>
  <c r="I256" i="3" s="1"/>
  <c r="D256" i="3"/>
  <c r="C256" i="3"/>
  <c r="B256" i="3"/>
  <c r="A256" i="3"/>
  <c r="J255" i="3"/>
  <c r="H255" i="3"/>
  <c r="K255" i="3" s="1"/>
  <c r="G255" i="3"/>
  <c r="F255" i="3"/>
  <c r="L255" i="3" s="1"/>
  <c r="E255" i="3"/>
  <c r="I255" i="3" s="1"/>
  <c r="D255" i="3"/>
  <c r="C255" i="3"/>
  <c r="B255" i="3"/>
  <c r="A255" i="3"/>
  <c r="L254" i="3"/>
  <c r="H254" i="3"/>
  <c r="K254" i="3" s="1"/>
  <c r="G254" i="3"/>
  <c r="F254" i="3"/>
  <c r="E254" i="3"/>
  <c r="I254" i="3" s="1"/>
  <c r="D254" i="3"/>
  <c r="J254" i="3" s="1"/>
  <c r="C254" i="3"/>
  <c r="B254" i="3"/>
  <c r="A254" i="3"/>
  <c r="L253" i="3"/>
  <c r="H253" i="3"/>
  <c r="K253" i="3" s="1"/>
  <c r="G253" i="3"/>
  <c r="F253" i="3"/>
  <c r="E253" i="3"/>
  <c r="I253" i="3" s="1"/>
  <c r="D253" i="3"/>
  <c r="J253" i="3" s="1"/>
  <c r="C253" i="3"/>
  <c r="B253" i="3"/>
  <c r="A253" i="3"/>
  <c r="J252" i="3"/>
  <c r="H252" i="3"/>
  <c r="K252" i="3" s="1"/>
  <c r="G252" i="3"/>
  <c r="F252" i="3"/>
  <c r="L252" i="3" s="1"/>
  <c r="E252" i="3"/>
  <c r="I252" i="3" s="1"/>
  <c r="D252" i="3"/>
  <c r="C252" i="3"/>
  <c r="B252" i="3"/>
  <c r="A252" i="3"/>
  <c r="J251" i="3"/>
  <c r="H251" i="3"/>
  <c r="K251" i="3" s="1"/>
  <c r="G251" i="3"/>
  <c r="F251" i="3"/>
  <c r="L251" i="3" s="1"/>
  <c r="E251" i="3"/>
  <c r="I251" i="3" s="1"/>
  <c r="D251" i="3"/>
  <c r="C251" i="3"/>
  <c r="B251" i="3"/>
  <c r="A251" i="3"/>
  <c r="L250" i="3"/>
  <c r="H250" i="3"/>
  <c r="K250" i="3" s="1"/>
  <c r="G250" i="3"/>
  <c r="F250" i="3"/>
  <c r="E250" i="3"/>
  <c r="I250" i="3" s="1"/>
  <c r="D250" i="3"/>
  <c r="J250" i="3" s="1"/>
  <c r="C250" i="3"/>
  <c r="B250" i="3"/>
  <c r="A250" i="3"/>
  <c r="L249" i="3"/>
  <c r="H249" i="3"/>
  <c r="K249" i="3" s="1"/>
  <c r="G249" i="3"/>
  <c r="F249" i="3"/>
  <c r="E249" i="3"/>
  <c r="I249" i="3" s="1"/>
  <c r="D249" i="3"/>
  <c r="J249" i="3" s="1"/>
  <c r="C249" i="3"/>
  <c r="B249" i="3"/>
  <c r="A249" i="3"/>
  <c r="J248" i="3"/>
  <c r="H248" i="3"/>
  <c r="K248" i="3" s="1"/>
  <c r="G248" i="3"/>
  <c r="F248" i="3"/>
  <c r="L248" i="3" s="1"/>
  <c r="E248" i="3"/>
  <c r="I248" i="3" s="1"/>
  <c r="D248" i="3"/>
  <c r="C248" i="3"/>
  <c r="B248" i="3"/>
  <c r="A248" i="3"/>
  <c r="J247" i="3"/>
  <c r="H247" i="3"/>
  <c r="K247" i="3" s="1"/>
  <c r="G247" i="3"/>
  <c r="F247" i="3"/>
  <c r="L247" i="3" s="1"/>
  <c r="E247" i="3"/>
  <c r="I247" i="3" s="1"/>
  <c r="D247" i="3"/>
  <c r="C247" i="3"/>
  <c r="B247" i="3"/>
  <c r="A247" i="3"/>
  <c r="L246" i="3"/>
  <c r="H246" i="3"/>
  <c r="K246" i="3" s="1"/>
  <c r="G246" i="3"/>
  <c r="F246" i="3"/>
  <c r="E246" i="3"/>
  <c r="I246" i="3" s="1"/>
  <c r="D246" i="3"/>
  <c r="J246" i="3" s="1"/>
  <c r="C246" i="3"/>
  <c r="B246" i="3"/>
  <c r="A246" i="3"/>
  <c r="L245" i="3"/>
  <c r="H245" i="3"/>
  <c r="K245" i="3" s="1"/>
  <c r="G245" i="3"/>
  <c r="F245" i="3"/>
  <c r="E245" i="3"/>
  <c r="I245" i="3" s="1"/>
  <c r="D245" i="3"/>
  <c r="J245" i="3" s="1"/>
  <c r="C245" i="3"/>
  <c r="B245" i="3"/>
  <c r="A245" i="3"/>
  <c r="J244" i="3"/>
  <c r="H244" i="3"/>
  <c r="K244" i="3" s="1"/>
  <c r="G244" i="3"/>
  <c r="F244" i="3"/>
  <c r="L244" i="3" s="1"/>
  <c r="E244" i="3"/>
  <c r="I244" i="3" s="1"/>
  <c r="D244" i="3"/>
  <c r="C244" i="3"/>
  <c r="B244" i="3"/>
  <c r="A244" i="3"/>
  <c r="J243" i="3"/>
  <c r="H243" i="3"/>
  <c r="K243" i="3" s="1"/>
  <c r="G243" i="3"/>
  <c r="F243" i="3"/>
  <c r="L243" i="3" s="1"/>
  <c r="E243" i="3"/>
  <c r="I243" i="3" s="1"/>
  <c r="D243" i="3"/>
  <c r="C243" i="3"/>
  <c r="B243" i="3"/>
  <c r="A243" i="3"/>
  <c r="L242" i="3"/>
  <c r="H242" i="3"/>
  <c r="K242" i="3" s="1"/>
  <c r="G242" i="3"/>
  <c r="F242" i="3"/>
  <c r="E242" i="3"/>
  <c r="I242" i="3" s="1"/>
  <c r="D242" i="3"/>
  <c r="J242" i="3" s="1"/>
  <c r="C242" i="3"/>
  <c r="B242" i="3"/>
  <c r="A242" i="3"/>
  <c r="L241" i="3"/>
  <c r="H241" i="3"/>
  <c r="K241" i="3" s="1"/>
  <c r="G241" i="3"/>
  <c r="F241" i="3"/>
  <c r="E241" i="3"/>
  <c r="I241" i="3" s="1"/>
  <c r="D241" i="3"/>
  <c r="J241" i="3" s="1"/>
  <c r="C241" i="3"/>
  <c r="B241" i="3"/>
  <c r="A241" i="3"/>
  <c r="J240" i="3"/>
  <c r="H240" i="3"/>
  <c r="K240" i="3" s="1"/>
  <c r="G240" i="3"/>
  <c r="F240" i="3"/>
  <c r="L240" i="3" s="1"/>
  <c r="E240" i="3"/>
  <c r="I240" i="3" s="1"/>
  <c r="D240" i="3"/>
  <c r="C240" i="3"/>
  <c r="B240" i="3"/>
  <c r="A240" i="3"/>
  <c r="J239" i="3"/>
  <c r="H239" i="3"/>
  <c r="K239" i="3" s="1"/>
  <c r="G239" i="3"/>
  <c r="F239" i="3"/>
  <c r="L239" i="3" s="1"/>
  <c r="E239" i="3"/>
  <c r="I239" i="3" s="1"/>
  <c r="D239" i="3"/>
  <c r="C239" i="3"/>
  <c r="B239" i="3"/>
  <c r="A239" i="3"/>
  <c r="L238" i="3"/>
  <c r="H238" i="3"/>
  <c r="K238" i="3" s="1"/>
  <c r="G238" i="3"/>
  <c r="F238" i="3"/>
  <c r="E238" i="3"/>
  <c r="I238" i="3" s="1"/>
  <c r="D238" i="3"/>
  <c r="J238" i="3" s="1"/>
  <c r="C238" i="3"/>
  <c r="B238" i="3"/>
  <c r="A238" i="3"/>
  <c r="L237" i="3"/>
  <c r="H237" i="3"/>
  <c r="K237" i="3" s="1"/>
  <c r="G237" i="3"/>
  <c r="F237" i="3"/>
  <c r="E237" i="3"/>
  <c r="I237" i="3" s="1"/>
  <c r="D237" i="3"/>
  <c r="J237" i="3" s="1"/>
  <c r="C237" i="3"/>
  <c r="B237" i="3"/>
  <c r="A237" i="3"/>
  <c r="J236" i="3"/>
  <c r="H236" i="3"/>
  <c r="K236" i="3" s="1"/>
  <c r="G236" i="3"/>
  <c r="F236" i="3"/>
  <c r="L236" i="3" s="1"/>
  <c r="E236" i="3"/>
  <c r="I236" i="3" s="1"/>
  <c r="D236" i="3"/>
  <c r="C236" i="3"/>
  <c r="B236" i="3"/>
  <c r="A236" i="3"/>
  <c r="J235" i="3"/>
  <c r="H235" i="3"/>
  <c r="K235" i="3" s="1"/>
  <c r="G235" i="3"/>
  <c r="F235" i="3"/>
  <c r="L235" i="3" s="1"/>
  <c r="E235" i="3"/>
  <c r="I235" i="3" s="1"/>
  <c r="D235" i="3"/>
  <c r="C235" i="3"/>
  <c r="B235" i="3"/>
  <c r="A235" i="3"/>
  <c r="L234" i="3"/>
  <c r="H234" i="3"/>
  <c r="K234" i="3" s="1"/>
  <c r="G234" i="3"/>
  <c r="F234" i="3"/>
  <c r="E234" i="3"/>
  <c r="I234" i="3" s="1"/>
  <c r="D234" i="3"/>
  <c r="J234" i="3" s="1"/>
  <c r="C234" i="3"/>
  <c r="B234" i="3"/>
  <c r="A234" i="3"/>
  <c r="L233" i="3"/>
  <c r="H233" i="3"/>
  <c r="K233" i="3" s="1"/>
  <c r="G233" i="3"/>
  <c r="F233" i="3"/>
  <c r="E233" i="3"/>
  <c r="I233" i="3" s="1"/>
  <c r="D233" i="3"/>
  <c r="J233" i="3" s="1"/>
  <c r="C233" i="3"/>
  <c r="B233" i="3"/>
  <c r="A233" i="3"/>
  <c r="J232" i="3"/>
  <c r="H232" i="3"/>
  <c r="K232" i="3" s="1"/>
  <c r="G232" i="3"/>
  <c r="F232" i="3"/>
  <c r="L232" i="3" s="1"/>
  <c r="E232" i="3"/>
  <c r="I232" i="3" s="1"/>
  <c r="D232" i="3"/>
  <c r="C232" i="3"/>
  <c r="B232" i="3"/>
  <c r="A232" i="3"/>
  <c r="J231" i="3"/>
  <c r="H231" i="3"/>
  <c r="K231" i="3" s="1"/>
  <c r="G231" i="3"/>
  <c r="F231" i="3"/>
  <c r="L231" i="3" s="1"/>
  <c r="E231" i="3"/>
  <c r="I231" i="3" s="1"/>
  <c r="D231" i="3"/>
  <c r="C231" i="3"/>
  <c r="B231" i="3"/>
  <c r="A231" i="3"/>
  <c r="L230" i="3"/>
  <c r="H230" i="3"/>
  <c r="K230" i="3" s="1"/>
  <c r="G230" i="3"/>
  <c r="F230" i="3"/>
  <c r="E230" i="3"/>
  <c r="I230" i="3" s="1"/>
  <c r="D230" i="3"/>
  <c r="J230" i="3" s="1"/>
  <c r="C230" i="3"/>
  <c r="B230" i="3"/>
  <c r="A230" i="3"/>
  <c r="L229" i="3"/>
  <c r="H229" i="3"/>
  <c r="K229" i="3" s="1"/>
  <c r="G229" i="3"/>
  <c r="F229" i="3"/>
  <c r="E229" i="3"/>
  <c r="I229" i="3" s="1"/>
  <c r="D229" i="3"/>
  <c r="J229" i="3" s="1"/>
  <c r="C229" i="3"/>
  <c r="B229" i="3"/>
  <c r="A229" i="3"/>
  <c r="J228" i="3"/>
  <c r="H228" i="3"/>
  <c r="K228" i="3" s="1"/>
  <c r="G228" i="3"/>
  <c r="F228" i="3"/>
  <c r="L228" i="3" s="1"/>
  <c r="E228" i="3"/>
  <c r="I228" i="3" s="1"/>
  <c r="D228" i="3"/>
  <c r="C228" i="3"/>
  <c r="B228" i="3"/>
  <c r="A228" i="3"/>
  <c r="J227" i="3"/>
  <c r="H227" i="3"/>
  <c r="K227" i="3" s="1"/>
  <c r="G227" i="3"/>
  <c r="F227" i="3"/>
  <c r="L227" i="3" s="1"/>
  <c r="E227" i="3"/>
  <c r="I227" i="3" s="1"/>
  <c r="D227" i="3"/>
  <c r="C227" i="3"/>
  <c r="B227" i="3"/>
  <c r="A227" i="3"/>
  <c r="L226" i="3"/>
  <c r="H226" i="3"/>
  <c r="K226" i="3" s="1"/>
  <c r="G226" i="3"/>
  <c r="F226" i="3"/>
  <c r="E226" i="3"/>
  <c r="I226" i="3" s="1"/>
  <c r="D226" i="3"/>
  <c r="J226" i="3" s="1"/>
  <c r="C226" i="3"/>
  <c r="B226" i="3"/>
  <c r="A226" i="3"/>
  <c r="L225" i="3"/>
  <c r="H225" i="3"/>
  <c r="K225" i="3" s="1"/>
  <c r="G225" i="3"/>
  <c r="F225" i="3"/>
  <c r="E225" i="3"/>
  <c r="I225" i="3" s="1"/>
  <c r="D225" i="3"/>
  <c r="J225" i="3" s="1"/>
  <c r="C225" i="3"/>
  <c r="B225" i="3"/>
  <c r="A225" i="3"/>
  <c r="J224" i="3"/>
  <c r="H224" i="3"/>
  <c r="K224" i="3" s="1"/>
  <c r="G224" i="3"/>
  <c r="F224" i="3"/>
  <c r="L224" i="3" s="1"/>
  <c r="E224" i="3"/>
  <c r="I224" i="3" s="1"/>
  <c r="D224" i="3"/>
  <c r="C224" i="3"/>
  <c r="B224" i="3"/>
  <c r="A224" i="3"/>
  <c r="J223" i="3"/>
  <c r="H223" i="3"/>
  <c r="K223" i="3" s="1"/>
  <c r="G223" i="3"/>
  <c r="F223" i="3"/>
  <c r="L223" i="3" s="1"/>
  <c r="E223" i="3"/>
  <c r="I223" i="3" s="1"/>
  <c r="D223" i="3"/>
  <c r="C223" i="3"/>
  <c r="B223" i="3"/>
  <c r="A223" i="3"/>
  <c r="L222" i="3"/>
  <c r="H222" i="3"/>
  <c r="K222" i="3" s="1"/>
  <c r="G222" i="3"/>
  <c r="F222" i="3"/>
  <c r="E222" i="3"/>
  <c r="I222" i="3" s="1"/>
  <c r="D222" i="3"/>
  <c r="J222" i="3" s="1"/>
  <c r="C222" i="3"/>
  <c r="B222" i="3"/>
  <c r="A222" i="3"/>
  <c r="L221" i="3"/>
  <c r="H221" i="3"/>
  <c r="K221" i="3" s="1"/>
  <c r="G221" i="3"/>
  <c r="F221" i="3"/>
  <c r="E221" i="3"/>
  <c r="I221" i="3" s="1"/>
  <c r="D221" i="3"/>
  <c r="J221" i="3" s="1"/>
  <c r="C221" i="3"/>
  <c r="B221" i="3"/>
  <c r="A221" i="3"/>
  <c r="J220" i="3"/>
  <c r="H220" i="3"/>
  <c r="K220" i="3" s="1"/>
  <c r="G220" i="3"/>
  <c r="F220" i="3"/>
  <c r="L220" i="3" s="1"/>
  <c r="E220" i="3"/>
  <c r="I220" i="3" s="1"/>
  <c r="D220" i="3"/>
  <c r="C220" i="3"/>
  <c r="B220" i="3"/>
  <c r="A220" i="3"/>
  <c r="J219" i="3"/>
  <c r="H219" i="3"/>
  <c r="K219" i="3" s="1"/>
  <c r="G219" i="3"/>
  <c r="F219" i="3"/>
  <c r="L219" i="3" s="1"/>
  <c r="E219" i="3"/>
  <c r="I219" i="3" s="1"/>
  <c r="D219" i="3"/>
  <c r="C219" i="3"/>
  <c r="B219" i="3"/>
  <c r="A219" i="3"/>
  <c r="J218" i="3"/>
  <c r="H218" i="3"/>
  <c r="K218" i="3" s="1"/>
  <c r="G218" i="3"/>
  <c r="F218" i="3"/>
  <c r="L218" i="3" s="1"/>
  <c r="E218" i="3"/>
  <c r="I218" i="3" s="1"/>
  <c r="D218" i="3"/>
  <c r="C218" i="3"/>
  <c r="B218" i="3"/>
  <c r="A218" i="3"/>
  <c r="J217" i="3"/>
  <c r="H217" i="3"/>
  <c r="K217" i="3" s="1"/>
  <c r="G217" i="3"/>
  <c r="F217" i="3"/>
  <c r="L217" i="3" s="1"/>
  <c r="E217" i="3"/>
  <c r="I217" i="3" s="1"/>
  <c r="D217" i="3"/>
  <c r="C217" i="3"/>
  <c r="B217" i="3"/>
  <c r="A217" i="3"/>
  <c r="J216" i="3"/>
  <c r="H216" i="3"/>
  <c r="K216" i="3" s="1"/>
  <c r="G216" i="3"/>
  <c r="F216" i="3"/>
  <c r="L216" i="3" s="1"/>
  <c r="E216" i="3"/>
  <c r="I216" i="3" s="1"/>
  <c r="D216" i="3"/>
  <c r="C216" i="3"/>
  <c r="B216" i="3"/>
  <c r="A216" i="3"/>
  <c r="J215" i="3"/>
  <c r="H215" i="3"/>
  <c r="K215" i="3" s="1"/>
  <c r="G215" i="3"/>
  <c r="F215" i="3"/>
  <c r="L215" i="3" s="1"/>
  <c r="E215" i="3"/>
  <c r="I215" i="3" s="1"/>
  <c r="D215" i="3"/>
  <c r="C215" i="3"/>
  <c r="B215" i="3"/>
  <c r="A215" i="3"/>
  <c r="J214" i="3"/>
  <c r="H214" i="3"/>
  <c r="K214" i="3" s="1"/>
  <c r="G214" i="3"/>
  <c r="F214" i="3"/>
  <c r="L214" i="3" s="1"/>
  <c r="E214" i="3"/>
  <c r="I214" i="3" s="1"/>
  <c r="D214" i="3"/>
  <c r="C214" i="3"/>
  <c r="B214" i="3"/>
  <c r="A214" i="3"/>
  <c r="J213" i="3"/>
  <c r="H213" i="3"/>
  <c r="K213" i="3" s="1"/>
  <c r="G213" i="3"/>
  <c r="F213" i="3"/>
  <c r="L213" i="3" s="1"/>
  <c r="E213" i="3"/>
  <c r="I213" i="3" s="1"/>
  <c r="D213" i="3"/>
  <c r="C213" i="3"/>
  <c r="B213" i="3"/>
  <c r="A213" i="3"/>
  <c r="J212" i="3"/>
  <c r="H212" i="3"/>
  <c r="K212" i="3" s="1"/>
  <c r="G212" i="3"/>
  <c r="F212" i="3"/>
  <c r="L212" i="3" s="1"/>
  <c r="E212" i="3"/>
  <c r="I212" i="3" s="1"/>
  <c r="D212" i="3"/>
  <c r="C212" i="3"/>
  <c r="B212" i="3"/>
  <c r="A212" i="3"/>
  <c r="J211" i="3"/>
  <c r="H211" i="3"/>
  <c r="K211" i="3" s="1"/>
  <c r="G211" i="3"/>
  <c r="F211" i="3"/>
  <c r="L211" i="3" s="1"/>
  <c r="E211" i="3"/>
  <c r="I211" i="3" s="1"/>
  <c r="D211" i="3"/>
  <c r="C211" i="3"/>
  <c r="B211" i="3"/>
  <c r="A211" i="3"/>
  <c r="J210" i="3"/>
  <c r="H210" i="3"/>
  <c r="K210" i="3" s="1"/>
  <c r="G210" i="3"/>
  <c r="F210" i="3"/>
  <c r="L210" i="3" s="1"/>
  <c r="E210" i="3"/>
  <c r="I210" i="3" s="1"/>
  <c r="D210" i="3"/>
  <c r="C210" i="3"/>
  <c r="B210" i="3"/>
  <c r="A210" i="3"/>
  <c r="J209" i="3"/>
  <c r="H209" i="3"/>
  <c r="K209" i="3" s="1"/>
  <c r="G209" i="3"/>
  <c r="F209" i="3"/>
  <c r="L209" i="3" s="1"/>
  <c r="E209" i="3"/>
  <c r="I209" i="3" s="1"/>
  <c r="D209" i="3"/>
  <c r="C209" i="3"/>
  <c r="B209" i="3"/>
  <c r="A209" i="3"/>
  <c r="J208" i="3"/>
  <c r="H208" i="3"/>
  <c r="K208" i="3" s="1"/>
  <c r="G208" i="3"/>
  <c r="F208" i="3"/>
  <c r="L208" i="3" s="1"/>
  <c r="E208" i="3"/>
  <c r="I208" i="3" s="1"/>
  <c r="D208" i="3"/>
  <c r="C208" i="3"/>
  <c r="B208" i="3"/>
  <c r="A208" i="3"/>
  <c r="J207" i="3"/>
  <c r="H207" i="3"/>
  <c r="K207" i="3" s="1"/>
  <c r="G207" i="3"/>
  <c r="F207" i="3"/>
  <c r="L207" i="3" s="1"/>
  <c r="E207" i="3"/>
  <c r="I207" i="3" s="1"/>
  <c r="D207" i="3"/>
  <c r="C207" i="3"/>
  <c r="B207" i="3"/>
  <c r="A207" i="3"/>
  <c r="J206" i="3"/>
  <c r="H206" i="3"/>
  <c r="K206" i="3" s="1"/>
  <c r="G206" i="3"/>
  <c r="F206" i="3"/>
  <c r="L206" i="3" s="1"/>
  <c r="E206" i="3"/>
  <c r="I206" i="3" s="1"/>
  <c r="D206" i="3"/>
  <c r="C206" i="3"/>
  <c r="B206" i="3"/>
  <c r="A206" i="3"/>
  <c r="J205" i="3"/>
  <c r="H205" i="3"/>
  <c r="K205" i="3" s="1"/>
  <c r="G205" i="3"/>
  <c r="F205" i="3"/>
  <c r="L205" i="3" s="1"/>
  <c r="E205" i="3"/>
  <c r="I205" i="3" s="1"/>
  <c r="D205" i="3"/>
  <c r="C205" i="3"/>
  <c r="B205" i="3"/>
  <c r="A205" i="3"/>
  <c r="J204" i="3"/>
  <c r="H204" i="3"/>
  <c r="K204" i="3" s="1"/>
  <c r="G204" i="3"/>
  <c r="F204" i="3"/>
  <c r="L204" i="3" s="1"/>
  <c r="E204" i="3"/>
  <c r="I204" i="3" s="1"/>
  <c r="D204" i="3"/>
  <c r="C204" i="3"/>
  <c r="B204" i="3"/>
  <c r="A204" i="3"/>
  <c r="J203" i="3"/>
  <c r="H203" i="3"/>
  <c r="K203" i="3" s="1"/>
  <c r="G203" i="3"/>
  <c r="F203" i="3"/>
  <c r="L203" i="3" s="1"/>
  <c r="E203" i="3"/>
  <c r="I203" i="3" s="1"/>
  <c r="D203" i="3"/>
  <c r="C203" i="3"/>
  <c r="B203" i="3"/>
  <c r="A203" i="3"/>
  <c r="J202" i="3"/>
  <c r="H202" i="3"/>
  <c r="K202" i="3" s="1"/>
  <c r="G202" i="3"/>
  <c r="F202" i="3"/>
  <c r="L202" i="3" s="1"/>
  <c r="E202" i="3"/>
  <c r="I202" i="3" s="1"/>
  <c r="D202" i="3"/>
  <c r="C202" i="3"/>
  <c r="B202" i="3"/>
  <c r="A202" i="3"/>
  <c r="J201" i="3"/>
  <c r="H201" i="3"/>
  <c r="K201" i="3" s="1"/>
  <c r="G201" i="3"/>
  <c r="F201" i="3"/>
  <c r="L201" i="3" s="1"/>
  <c r="E201" i="3"/>
  <c r="I201" i="3" s="1"/>
  <c r="D201" i="3"/>
  <c r="C201" i="3"/>
  <c r="B201" i="3"/>
  <c r="A201" i="3"/>
  <c r="J200" i="3"/>
  <c r="H200" i="3"/>
  <c r="K200" i="3" s="1"/>
  <c r="G200" i="3"/>
  <c r="F200" i="3"/>
  <c r="L200" i="3" s="1"/>
  <c r="E200" i="3"/>
  <c r="I200" i="3" s="1"/>
  <c r="D200" i="3"/>
  <c r="C200" i="3"/>
  <c r="B200" i="3"/>
  <c r="A200" i="3"/>
  <c r="J199" i="3"/>
  <c r="H199" i="3"/>
  <c r="K199" i="3" s="1"/>
  <c r="G199" i="3"/>
  <c r="F199" i="3"/>
  <c r="L199" i="3" s="1"/>
  <c r="E199" i="3"/>
  <c r="I199" i="3" s="1"/>
  <c r="D199" i="3"/>
  <c r="C199" i="3"/>
  <c r="B199" i="3"/>
  <c r="A199" i="3"/>
  <c r="J198" i="3"/>
  <c r="H198" i="3"/>
  <c r="K198" i="3" s="1"/>
  <c r="G198" i="3"/>
  <c r="F198" i="3"/>
  <c r="L198" i="3" s="1"/>
  <c r="E198" i="3"/>
  <c r="I198" i="3" s="1"/>
  <c r="D198" i="3"/>
  <c r="C198" i="3"/>
  <c r="B198" i="3"/>
  <c r="A198" i="3"/>
  <c r="J197" i="3"/>
  <c r="H197" i="3"/>
  <c r="K197" i="3" s="1"/>
  <c r="G197" i="3"/>
  <c r="F197" i="3"/>
  <c r="L197" i="3" s="1"/>
  <c r="E197" i="3"/>
  <c r="I197" i="3" s="1"/>
  <c r="D197" i="3"/>
  <c r="C197" i="3"/>
  <c r="B197" i="3"/>
  <c r="A197" i="3"/>
  <c r="J196" i="3"/>
  <c r="H196" i="3"/>
  <c r="K196" i="3" s="1"/>
  <c r="G196" i="3"/>
  <c r="F196" i="3"/>
  <c r="L196" i="3" s="1"/>
  <c r="E196" i="3"/>
  <c r="I196" i="3" s="1"/>
  <c r="D196" i="3"/>
  <c r="C196" i="3"/>
  <c r="B196" i="3"/>
  <c r="A196" i="3"/>
  <c r="J195" i="3"/>
  <c r="H195" i="3"/>
  <c r="K195" i="3" s="1"/>
  <c r="G195" i="3"/>
  <c r="F195" i="3"/>
  <c r="L195" i="3" s="1"/>
  <c r="E195" i="3"/>
  <c r="I195" i="3" s="1"/>
  <c r="D195" i="3"/>
  <c r="C195" i="3"/>
  <c r="B195" i="3"/>
  <c r="A195" i="3"/>
  <c r="J194" i="3"/>
  <c r="H194" i="3"/>
  <c r="K194" i="3" s="1"/>
  <c r="G194" i="3"/>
  <c r="F194" i="3"/>
  <c r="L194" i="3" s="1"/>
  <c r="E194" i="3"/>
  <c r="I194" i="3" s="1"/>
  <c r="D194" i="3"/>
  <c r="C194" i="3"/>
  <c r="B194" i="3"/>
  <c r="A194" i="3"/>
  <c r="J193" i="3"/>
  <c r="H193" i="3"/>
  <c r="K193" i="3" s="1"/>
  <c r="G193" i="3"/>
  <c r="F193" i="3"/>
  <c r="L193" i="3" s="1"/>
  <c r="E193" i="3"/>
  <c r="I193" i="3" s="1"/>
  <c r="D193" i="3"/>
  <c r="C193" i="3"/>
  <c r="B193" i="3"/>
  <c r="A193" i="3"/>
  <c r="J192" i="3"/>
  <c r="H192" i="3"/>
  <c r="K192" i="3" s="1"/>
  <c r="G192" i="3"/>
  <c r="F192" i="3"/>
  <c r="L192" i="3" s="1"/>
  <c r="E192" i="3"/>
  <c r="I192" i="3" s="1"/>
  <c r="D192" i="3"/>
  <c r="C192" i="3"/>
  <c r="B192" i="3"/>
  <c r="A192" i="3"/>
  <c r="J191" i="3"/>
  <c r="H191" i="3"/>
  <c r="K191" i="3" s="1"/>
  <c r="G191" i="3"/>
  <c r="F191" i="3"/>
  <c r="L191" i="3" s="1"/>
  <c r="E191" i="3"/>
  <c r="I191" i="3" s="1"/>
  <c r="D191" i="3"/>
  <c r="C191" i="3"/>
  <c r="B191" i="3"/>
  <c r="A191" i="3"/>
  <c r="J190" i="3"/>
  <c r="H190" i="3"/>
  <c r="K190" i="3" s="1"/>
  <c r="G190" i="3"/>
  <c r="F190" i="3"/>
  <c r="L190" i="3" s="1"/>
  <c r="E190" i="3"/>
  <c r="I190" i="3" s="1"/>
  <c r="D190" i="3"/>
  <c r="C190" i="3"/>
  <c r="B190" i="3"/>
  <c r="A190" i="3"/>
  <c r="J189" i="3"/>
  <c r="H189" i="3"/>
  <c r="K189" i="3" s="1"/>
  <c r="G189" i="3"/>
  <c r="F189" i="3"/>
  <c r="L189" i="3" s="1"/>
  <c r="E189" i="3"/>
  <c r="I189" i="3" s="1"/>
  <c r="D189" i="3"/>
  <c r="C189" i="3"/>
  <c r="B189" i="3"/>
  <c r="A189" i="3"/>
  <c r="J188" i="3"/>
  <c r="H188" i="3"/>
  <c r="K188" i="3" s="1"/>
  <c r="G188" i="3"/>
  <c r="F188" i="3"/>
  <c r="L188" i="3" s="1"/>
  <c r="E188" i="3"/>
  <c r="I188" i="3" s="1"/>
  <c r="D188" i="3"/>
  <c r="C188" i="3"/>
  <c r="B188" i="3"/>
  <c r="A188" i="3"/>
  <c r="J187" i="3"/>
  <c r="H187" i="3"/>
  <c r="K187" i="3" s="1"/>
  <c r="G187" i="3"/>
  <c r="F187" i="3"/>
  <c r="L187" i="3" s="1"/>
  <c r="E187" i="3"/>
  <c r="I187" i="3" s="1"/>
  <c r="D187" i="3"/>
  <c r="C187" i="3"/>
  <c r="B187" i="3"/>
  <c r="A187" i="3"/>
  <c r="J186" i="3"/>
  <c r="H186" i="3"/>
  <c r="K186" i="3" s="1"/>
  <c r="G186" i="3"/>
  <c r="F186" i="3"/>
  <c r="L186" i="3" s="1"/>
  <c r="E186" i="3"/>
  <c r="I186" i="3" s="1"/>
  <c r="D186" i="3"/>
  <c r="C186" i="3"/>
  <c r="B186" i="3"/>
  <c r="A186" i="3"/>
  <c r="J185" i="3"/>
  <c r="H185" i="3"/>
  <c r="K185" i="3" s="1"/>
  <c r="G185" i="3"/>
  <c r="F185" i="3"/>
  <c r="L185" i="3" s="1"/>
  <c r="E185" i="3"/>
  <c r="I185" i="3" s="1"/>
  <c r="D185" i="3"/>
  <c r="C185" i="3"/>
  <c r="B185" i="3"/>
  <c r="A185" i="3"/>
  <c r="J184" i="3"/>
  <c r="H184" i="3"/>
  <c r="K184" i="3" s="1"/>
  <c r="G184" i="3"/>
  <c r="F184" i="3"/>
  <c r="L184" i="3" s="1"/>
  <c r="E184" i="3"/>
  <c r="I184" i="3" s="1"/>
  <c r="D184" i="3"/>
  <c r="C184" i="3"/>
  <c r="B184" i="3"/>
  <c r="A184" i="3"/>
  <c r="J183" i="3"/>
  <c r="H183" i="3"/>
  <c r="K183" i="3" s="1"/>
  <c r="G183" i="3"/>
  <c r="F183" i="3"/>
  <c r="L183" i="3" s="1"/>
  <c r="E183" i="3"/>
  <c r="I183" i="3" s="1"/>
  <c r="D183" i="3"/>
  <c r="C183" i="3"/>
  <c r="B183" i="3"/>
  <c r="A183" i="3"/>
  <c r="J182" i="3"/>
  <c r="H182" i="3"/>
  <c r="K182" i="3" s="1"/>
  <c r="G182" i="3"/>
  <c r="F182" i="3"/>
  <c r="L182" i="3" s="1"/>
  <c r="E182" i="3"/>
  <c r="I182" i="3" s="1"/>
  <c r="D182" i="3"/>
  <c r="C182" i="3"/>
  <c r="B182" i="3"/>
  <c r="A182" i="3"/>
  <c r="J181" i="3"/>
  <c r="H181" i="3"/>
  <c r="K181" i="3" s="1"/>
  <c r="G181" i="3"/>
  <c r="F181" i="3"/>
  <c r="L181" i="3" s="1"/>
  <c r="E181" i="3"/>
  <c r="I181" i="3" s="1"/>
  <c r="D181" i="3"/>
  <c r="C181" i="3"/>
  <c r="B181" i="3"/>
  <c r="A181" i="3"/>
  <c r="J180" i="3"/>
  <c r="H180" i="3"/>
  <c r="K180" i="3" s="1"/>
  <c r="G180" i="3"/>
  <c r="F180" i="3"/>
  <c r="L180" i="3" s="1"/>
  <c r="E180" i="3"/>
  <c r="I180" i="3" s="1"/>
  <c r="D180" i="3"/>
  <c r="C180" i="3"/>
  <c r="B180" i="3"/>
  <c r="A180" i="3"/>
  <c r="J179" i="3"/>
  <c r="H179" i="3"/>
  <c r="K179" i="3" s="1"/>
  <c r="G179" i="3"/>
  <c r="F179" i="3"/>
  <c r="L179" i="3" s="1"/>
  <c r="E179" i="3"/>
  <c r="I179" i="3" s="1"/>
  <c r="D179" i="3"/>
  <c r="C179" i="3"/>
  <c r="B179" i="3"/>
  <c r="A179" i="3"/>
  <c r="J178" i="3"/>
  <c r="H178" i="3"/>
  <c r="K178" i="3" s="1"/>
  <c r="G178" i="3"/>
  <c r="F178" i="3"/>
  <c r="L178" i="3" s="1"/>
  <c r="E178" i="3"/>
  <c r="I178" i="3" s="1"/>
  <c r="D178" i="3"/>
  <c r="C178" i="3"/>
  <c r="B178" i="3"/>
  <c r="A178" i="3"/>
  <c r="J177" i="3"/>
  <c r="H177" i="3"/>
  <c r="K177" i="3" s="1"/>
  <c r="G177" i="3"/>
  <c r="F177" i="3"/>
  <c r="L177" i="3" s="1"/>
  <c r="E177" i="3"/>
  <c r="I177" i="3" s="1"/>
  <c r="D177" i="3"/>
  <c r="C177" i="3"/>
  <c r="B177" i="3"/>
  <c r="A177" i="3"/>
  <c r="J176" i="3"/>
  <c r="H176" i="3"/>
  <c r="K176" i="3" s="1"/>
  <c r="G176" i="3"/>
  <c r="F176" i="3"/>
  <c r="L176" i="3" s="1"/>
  <c r="E176" i="3"/>
  <c r="I176" i="3" s="1"/>
  <c r="D176" i="3"/>
  <c r="C176" i="3"/>
  <c r="B176" i="3"/>
  <c r="A176" i="3"/>
  <c r="J175" i="3"/>
  <c r="H175" i="3"/>
  <c r="K175" i="3" s="1"/>
  <c r="G175" i="3"/>
  <c r="F175" i="3"/>
  <c r="L175" i="3" s="1"/>
  <c r="E175" i="3"/>
  <c r="I175" i="3" s="1"/>
  <c r="D175" i="3"/>
  <c r="C175" i="3"/>
  <c r="B175" i="3"/>
  <c r="A175" i="3"/>
  <c r="J174" i="3"/>
  <c r="H174" i="3"/>
  <c r="K174" i="3" s="1"/>
  <c r="G174" i="3"/>
  <c r="F174" i="3"/>
  <c r="L174" i="3" s="1"/>
  <c r="E174" i="3"/>
  <c r="I174" i="3" s="1"/>
  <c r="D174" i="3"/>
  <c r="C174" i="3"/>
  <c r="B174" i="3"/>
  <c r="A174" i="3"/>
  <c r="J173" i="3"/>
  <c r="H173" i="3"/>
  <c r="K173" i="3" s="1"/>
  <c r="G173" i="3"/>
  <c r="F173" i="3"/>
  <c r="L173" i="3" s="1"/>
  <c r="E173" i="3"/>
  <c r="I173" i="3" s="1"/>
  <c r="D173" i="3"/>
  <c r="C173" i="3"/>
  <c r="B173" i="3"/>
  <c r="A173" i="3"/>
  <c r="J172" i="3"/>
  <c r="H172" i="3"/>
  <c r="K172" i="3" s="1"/>
  <c r="G172" i="3"/>
  <c r="F172" i="3"/>
  <c r="L172" i="3" s="1"/>
  <c r="E172" i="3"/>
  <c r="I172" i="3" s="1"/>
  <c r="D172" i="3"/>
  <c r="C172" i="3"/>
  <c r="B172" i="3"/>
  <c r="A172" i="3"/>
  <c r="J171" i="3"/>
  <c r="H171" i="3"/>
  <c r="K171" i="3" s="1"/>
  <c r="G171" i="3"/>
  <c r="F171" i="3"/>
  <c r="L171" i="3" s="1"/>
  <c r="E171" i="3"/>
  <c r="I171" i="3" s="1"/>
  <c r="D171" i="3"/>
  <c r="C171" i="3"/>
  <c r="B171" i="3"/>
  <c r="A171" i="3"/>
  <c r="J170" i="3"/>
  <c r="H170" i="3"/>
  <c r="K170" i="3" s="1"/>
  <c r="G170" i="3"/>
  <c r="F170" i="3"/>
  <c r="L170" i="3" s="1"/>
  <c r="E170" i="3"/>
  <c r="I170" i="3" s="1"/>
  <c r="D170" i="3"/>
  <c r="C170" i="3"/>
  <c r="B170" i="3"/>
  <c r="A170" i="3"/>
  <c r="J169" i="3"/>
  <c r="H169" i="3"/>
  <c r="K169" i="3" s="1"/>
  <c r="G169" i="3"/>
  <c r="F169" i="3"/>
  <c r="L169" i="3" s="1"/>
  <c r="E169" i="3"/>
  <c r="I169" i="3" s="1"/>
  <c r="D169" i="3"/>
  <c r="C169" i="3"/>
  <c r="B169" i="3"/>
  <c r="A169" i="3"/>
  <c r="J168" i="3"/>
  <c r="H168" i="3"/>
  <c r="K168" i="3" s="1"/>
  <c r="G168" i="3"/>
  <c r="F168" i="3"/>
  <c r="L168" i="3" s="1"/>
  <c r="E168" i="3"/>
  <c r="I168" i="3" s="1"/>
  <c r="D168" i="3"/>
  <c r="C168" i="3"/>
  <c r="B168" i="3"/>
  <c r="A168" i="3"/>
  <c r="J167" i="3"/>
  <c r="H167" i="3"/>
  <c r="K167" i="3" s="1"/>
  <c r="G167" i="3"/>
  <c r="F167" i="3"/>
  <c r="L167" i="3" s="1"/>
  <c r="E167" i="3"/>
  <c r="I167" i="3" s="1"/>
  <c r="D167" i="3"/>
  <c r="C167" i="3"/>
  <c r="B167" i="3"/>
  <c r="A167" i="3"/>
  <c r="J166" i="3"/>
  <c r="H166" i="3"/>
  <c r="K166" i="3" s="1"/>
  <c r="G166" i="3"/>
  <c r="F166" i="3"/>
  <c r="L166" i="3" s="1"/>
  <c r="E166" i="3"/>
  <c r="I166" i="3" s="1"/>
  <c r="D166" i="3"/>
  <c r="C166" i="3"/>
  <c r="B166" i="3"/>
  <c r="A166" i="3"/>
  <c r="J165" i="3"/>
  <c r="H165" i="3"/>
  <c r="K165" i="3" s="1"/>
  <c r="G165" i="3"/>
  <c r="F165" i="3"/>
  <c r="L165" i="3" s="1"/>
  <c r="E165" i="3"/>
  <c r="I165" i="3" s="1"/>
  <c r="D165" i="3"/>
  <c r="C165" i="3"/>
  <c r="B165" i="3"/>
  <c r="A165" i="3"/>
  <c r="J164" i="3"/>
  <c r="H164" i="3"/>
  <c r="K164" i="3" s="1"/>
  <c r="G164" i="3"/>
  <c r="F164" i="3"/>
  <c r="L164" i="3" s="1"/>
  <c r="E164" i="3"/>
  <c r="I164" i="3" s="1"/>
  <c r="D164" i="3"/>
  <c r="C164" i="3"/>
  <c r="B164" i="3"/>
  <c r="A164" i="3"/>
  <c r="J163" i="3"/>
  <c r="H163" i="3"/>
  <c r="K163" i="3" s="1"/>
  <c r="G163" i="3"/>
  <c r="F163" i="3"/>
  <c r="L163" i="3" s="1"/>
  <c r="E163" i="3"/>
  <c r="I163" i="3" s="1"/>
  <c r="D163" i="3"/>
  <c r="C163" i="3"/>
  <c r="B163" i="3"/>
  <c r="A163" i="3"/>
  <c r="J162" i="3"/>
  <c r="H162" i="3"/>
  <c r="K162" i="3" s="1"/>
  <c r="G162" i="3"/>
  <c r="F162" i="3"/>
  <c r="L162" i="3" s="1"/>
  <c r="E162" i="3"/>
  <c r="I162" i="3" s="1"/>
  <c r="D162" i="3"/>
  <c r="C162" i="3"/>
  <c r="B162" i="3"/>
  <c r="A162" i="3"/>
  <c r="J161" i="3"/>
  <c r="H161" i="3"/>
  <c r="K161" i="3" s="1"/>
  <c r="G161" i="3"/>
  <c r="F161" i="3"/>
  <c r="L161" i="3" s="1"/>
  <c r="E161" i="3"/>
  <c r="I161" i="3" s="1"/>
  <c r="D161" i="3"/>
  <c r="C161" i="3"/>
  <c r="B161" i="3"/>
  <c r="A161" i="3"/>
  <c r="J160" i="3"/>
  <c r="H160" i="3"/>
  <c r="K160" i="3" s="1"/>
  <c r="G160" i="3"/>
  <c r="F160" i="3"/>
  <c r="L160" i="3" s="1"/>
  <c r="E160" i="3"/>
  <c r="I160" i="3" s="1"/>
  <c r="D160" i="3"/>
  <c r="C160" i="3"/>
  <c r="B160" i="3"/>
  <c r="A160" i="3"/>
  <c r="J159" i="3"/>
  <c r="H159" i="3"/>
  <c r="K159" i="3" s="1"/>
  <c r="G159" i="3"/>
  <c r="F159" i="3"/>
  <c r="L159" i="3" s="1"/>
  <c r="E159" i="3"/>
  <c r="I159" i="3" s="1"/>
  <c r="D159" i="3"/>
  <c r="C159" i="3"/>
  <c r="B159" i="3"/>
  <c r="A159" i="3"/>
  <c r="J158" i="3"/>
  <c r="H158" i="3"/>
  <c r="K158" i="3" s="1"/>
  <c r="G158" i="3"/>
  <c r="F158" i="3"/>
  <c r="L158" i="3" s="1"/>
  <c r="E158" i="3"/>
  <c r="I158" i="3" s="1"/>
  <c r="D158" i="3"/>
  <c r="C158" i="3"/>
  <c r="B158" i="3"/>
  <c r="A158" i="3"/>
  <c r="J157" i="3"/>
  <c r="H157" i="3"/>
  <c r="K157" i="3" s="1"/>
  <c r="G157" i="3"/>
  <c r="F157" i="3"/>
  <c r="L157" i="3" s="1"/>
  <c r="E157" i="3"/>
  <c r="I157" i="3" s="1"/>
  <c r="D157" i="3"/>
  <c r="C157" i="3"/>
  <c r="B157" i="3"/>
  <c r="A157" i="3"/>
  <c r="J156" i="3"/>
  <c r="H156" i="3"/>
  <c r="K156" i="3" s="1"/>
  <c r="G156" i="3"/>
  <c r="F156" i="3"/>
  <c r="L156" i="3" s="1"/>
  <c r="E156" i="3"/>
  <c r="I156" i="3" s="1"/>
  <c r="D156" i="3"/>
  <c r="C156" i="3"/>
  <c r="B156" i="3"/>
  <c r="A156" i="3"/>
  <c r="J155" i="3"/>
  <c r="H155" i="3"/>
  <c r="K155" i="3" s="1"/>
  <c r="G155" i="3"/>
  <c r="F155" i="3"/>
  <c r="L155" i="3" s="1"/>
  <c r="E155" i="3"/>
  <c r="I155" i="3" s="1"/>
  <c r="D155" i="3"/>
  <c r="C155" i="3"/>
  <c r="B155" i="3"/>
  <c r="A155" i="3"/>
  <c r="J154" i="3"/>
  <c r="H154" i="3"/>
  <c r="K154" i="3" s="1"/>
  <c r="G154" i="3"/>
  <c r="F154" i="3"/>
  <c r="L154" i="3" s="1"/>
  <c r="E154" i="3"/>
  <c r="I154" i="3" s="1"/>
  <c r="D154" i="3"/>
  <c r="C154" i="3"/>
  <c r="B154" i="3"/>
  <c r="A154" i="3"/>
  <c r="J153" i="3"/>
  <c r="H153" i="3"/>
  <c r="K153" i="3" s="1"/>
  <c r="G153" i="3"/>
  <c r="F153" i="3"/>
  <c r="L153" i="3" s="1"/>
  <c r="E153" i="3"/>
  <c r="I153" i="3" s="1"/>
  <c r="D153" i="3"/>
  <c r="C153" i="3"/>
  <c r="B153" i="3"/>
  <c r="A153" i="3"/>
  <c r="J152" i="3"/>
  <c r="H152" i="3"/>
  <c r="K152" i="3" s="1"/>
  <c r="G152" i="3"/>
  <c r="F152" i="3"/>
  <c r="L152" i="3" s="1"/>
  <c r="E152" i="3"/>
  <c r="I152" i="3" s="1"/>
  <c r="D152" i="3"/>
  <c r="C152" i="3"/>
  <c r="B152" i="3"/>
  <c r="A152" i="3"/>
  <c r="J151" i="3"/>
  <c r="H151" i="3"/>
  <c r="K151" i="3" s="1"/>
  <c r="G151" i="3"/>
  <c r="F151" i="3"/>
  <c r="L151" i="3" s="1"/>
  <c r="E151" i="3"/>
  <c r="I151" i="3" s="1"/>
  <c r="D151" i="3"/>
  <c r="C151" i="3"/>
  <c r="B151" i="3"/>
  <c r="A151" i="3"/>
  <c r="J150" i="3"/>
  <c r="H150" i="3"/>
  <c r="K150" i="3" s="1"/>
  <c r="G150" i="3"/>
  <c r="F150" i="3"/>
  <c r="L150" i="3" s="1"/>
  <c r="E150" i="3"/>
  <c r="I150" i="3" s="1"/>
  <c r="D150" i="3"/>
  <c r="C150" i="3"/>
  <c r="B150" i="3"/>
  <c r="A150" i="3"/>
  <c r="J149" i="3"/>
  <c r="H149" i="3"/>
  <c r="K149" i="3" s="1"/>
  <c r="G149" i="3"/>
  <c r="F149" i="3"/>
  <c r="L149" i="3" s="1"/>
  <c r="E149" i="3"/>
  <c r="I149" i="3" s="1"/>
  <c r="D149" i="3"/>
  <c r="C149" i="3"/>
  <c r="B149" i="3"/>
  <c r="A149" i="3"/>
  <c r="J148" i="3"/>
  <c r="H148" i="3"/>
  <c r="K148" i="3" s="1"/>
  <c r="G148" i="3"/>
  <c r="F148" i="3"/>
  <c r="L148" i="3" s="1"/>
  <c r="E148" i="3"/>
  <c r="I148" i="3" s="1"/>
  <c r="D148" i="3"/>
  <c r="C148" i="3"/>
  <c r="B148" i="3"/>
  <c r="A148" i="3"/>
  <c r="J147" i="3"/>
  <c r="H147" i="3"/>
  <c r="K147" i="3" s="1"/>
  <c r="G147" i="3"/>
  <c r="F147" i="3"/>
  <c r="L147" i="3" s="1"/>
  <c r="E147" i="3"/>
  <c r="I147" i="3" s="1"/>
  <c r="D147" i="3"/>
  <c r="C147" i="3"/>
  <c r="B147" i="3"/>
  <c r="A147" i="3"/>
  <c r="J146" i="3"/>
  <c r="H146" i="3"/>
  <c r="K146" i="3" s="1"/>
  <c r="G146" i="3"/>
  <c r="F146" i="3"/>
  <c r="L146" i="3" s="1"/>
  <c r="E146" i="3"/>
  <c r="I146" i="3" s="1"/>
  <c r="D146" i="3"/>
  <c r="C146" i="3"/>
  <c r="B146" i="3"/>
  <c r="A146" i="3"/>
  <c r="J145" i="3"/>
  <c r="H145" i="3"/>
  <c r="K145" i="3" s="1"/>
  <c r="G145" i="3"/>
  <c r="F145" i="3"/>
  <c r="L145" i="3" s="1"/>
  <c r="E145" i="3"/>
  <c r="I145" i="3" s="1"/>
  <c r="D145" i="3"/>
  <c r="C145" i="3"/>
  <c r="B145" i="3"/>
  <c r="A145" i="3"/>
  <c r="J144" i="3"/>
  <c r="H144" i="3"/>
  <c r="K144" i="3" s="1"/>
  <c r="G144" i="3"/>
  <c r="F144" i="3"/>
  <c r="L144" i="3" s="1"/>
  <c r="E144" i="3"/>
  <c r="I144" i="3" s="1"/>
  <c r="D144" i="3"/>
  <c r="C144" i="3"/>
  <c r="B144" i="3"/>
  <c r="A144" i="3"/>
  <c r="J143" i="3"/>
  <c r="H143" i="3"/>
  <c r="K143" i="3" s="1"/>
  <c r="G143" i="3"/>
  <c r="F143" i="3"/>
  <c r="L143" i="3" s="1"/>
  <c r="E143" i="3"/>
  <c r="I143" i="3" s="1"/>
  <c r="D143" i="3"/>
  <c r="C143" i="3"/>
  <c r="B143" i="3"/>
  <c r="A143" i="3"/>
  <c r="J142" i="3"/>
  <c r="H142" i="3"/>
  <c r="K142" i="3" s="1"/>
  <c r="G142" i="3"/>
  <c r="F142" i="3"/>
  <c r="L142" i="3" s="1"/>
  <c r="E142" i="3"/>
  <c r="I142" i="3" s="1"/>
  <c r="D142" i="3"/>
  <c r="C142" i="3"/>
  <c r="B142" i="3"/>
  <c r="A142" i="3"/>
  <c r="J141" i="3"/>
  <c r="H141" i="3"/>
  <c r="K141" i="3" s="1"/>
  <c r="G141" i="3"/>
  <c r="F141" i="3"/>
  <c r="L141" i="3" s="1"/>
  <c r="E141" i="3"/>
  <c r="I141" i="3" s="1"/>
  <c r="D141" i="3"/>
  <c r="C141" i="3"/>
  <c r="B141" i="3"/>
  <c r="A141" i="3"/>
  <c r="J140" i="3"/>
  <c r="H140" i="3"/>
  <c r="K140" i="3" s="1"/>
  <c r="G140" i="3"/>
  <c r="F140" i="3"/>
  <c r="L140" i="3" s="1"/>
  <c r="E140" i="3"/>
  <c r="I140" i="3" s="1"/>
  <c r="D140" i="3"/>
  <c r="C140" i="3"/>
  <c r="B140" i="3"/>
  <c r="A140" i="3"/>
  <c r="J139" i="3"/>
  <c r="H139" i="3"/>
  <c r="K139" i="3" s="1"/>
  <c r="G139" i="3"/>
  <c r="F139" i="3"/>
  <c r="L139" i="3" s="1"/>
  <c r="E139" i="3"/>
  <c r="I139" i="3" s="1"/>
  <c r="D139" i="3"/>
  <c r="C139" i="3"/>
  <c r="B139" i="3"/>
  <c r="A139" i="3"/>
  <c r="J138" i="3"/>
  <c r="H138" i="3"/>
  <c r="K138" i="3" s="1"/>
  <c r="G138" i="3"/>
  <c r="F138" i="3"/>
  <c r="L138" i="3" s="1"/>
  <c r="E138" i="3"/>
  <c r="I138" i="3" s="1"/>
  <c r="D138" i="3"/>
  <c r="C138" i="3"/>
  <c r="B138" i="3"/>
  <c r="A138" i="3"/>
  <c r="J137" i="3"/>
  <c r="H137" i="3"/>
  <c r="K137" i="3" s="1"/>
  <c r="G137" i="3"/>
  <c r="F137" i="3"/>
  <c r="L137" i="3" s="1"/>
  <c r="E137" i="3"/>
  <c r="I137" i="3" s="1"/>
  <c r="D137" i="3"/>
  <c r="C137" i="3"/>
  <c r="B137" i="3"/>
  <c r="A137" i="3"/>
  <c r="J136" i="3"/>
  <c r="H136" i="3"/>
  <c r="K136" i="3" s="1"/>
  <c r="G136" i="3"/>
  <c r="F136" i="3"/>
  <c r="L136" i="3" s="1"/>
  <c r="E136" i="3"/>
  <c r="I136" i="3" s="1"/>
  <c r="D136" i="3"/>
  <c r="C136" i="3"/>
  <c r="B136" i="3"/>
  <c r="A136" i="3"/>
  <c r="J135" i="3"/>
  <c r="H135" i="3"/>
  <c r="K135" i="3" s="1"/>
  <c r="G135" i="3"/>
  <c r="F135" i="3"/>
  <c r="L135" i="3" s="1"/>
  <c r="E135" i="3"/>
  <c r="I135" i="3" s="1"/>
  <c r="D135" i="3"/>
  <c r="C135" i="3"/>
  <c r="B135" i="3"/>
  <c r="A135" i="3"/>
  <c r="J134" i="3"/>
  <c r="H134" i="3"/>
  <c r="K134" i="3" s="1"/>
  <c r="G134" i="3"/>
  <c r="F134" i="3"/>
  <c r="L134" i="3" s="1"/>
  <c r="E134" i="3"/>
  <c r="I134" i="3" s="1"/>
  <c r="D134" i="3"/>
  <c r="C134" i="3"/>
  <c r="B134" i="3"/>
  <c r="A134" i="3"/>
  <c r="J133" i="3"/>
  <c r="H133" i="3"/>
  <c r="K133" i="3" s="1"/>
  <c r="G133" i="3"/>
  <c r="F133" i="3"/>
  <c r="L133" i="3" s="1"/>
  <c r="E133" i="3"/>
  <c r="I133" i="3" s="1"/>
  <c r="D133" i="3"/>
  <c r="C133" i="3"/>
  <c r="B133" i="3"/>
  <c r="A133" i="3"/>
  <c r="J132" i="3"/>
  <c r="H132" i="3"/>
  <c r="K132" i="3" s="1"/>
  <c r="G132" i="3"/>
  <c r="F132" i="3"/>
  <c r="L132" i="3" s="1"/>
  <c r="E132" i="3"/>
  <c r="I132" i="3" s="1"/>
  <c r="D132" i="3"/>
  <c r="C132" i="3"/>
  <c r="B132" i="3"/>
  <c r="A132" i="3"/>
  <c r="J131" i="3"/>
  <c r="H131" i="3"/>
  <c r="K131" i="3" s="1"/>
  <c r="G131" i="3"/>
  <c r="F131" i="3"/>
  <c r="L131" i="3" s="1"/>
  <c r="E131" i="3"/>
  <c r="I131" i="3" s="1"/>
  <c r="D131" i="3"/>
  <c r="C131" i="3"/>
  <c r="B131" i="3"/>
  <c r="A131" i="3"/>
  <c r="J130" i="3"/>
  <c r="H130" i="3"/>
  <c r="K130" i="3" s="1"/>
  <c r="G130" i="3"/>
  <c r="F130" i="3"/>
  <c r="L130" i="3" s="1"/>
  <c r="E130" i="3"/>
  <c r="I130" i="3" s="1"/>
  <c r="D130" i="3"/>
  <c r="C130" i="3"/>
  <c r="B130" i="3"/>
  <c r="A130" i="3"/>
  <c r="J129" i="3"/>
  <c r="H129" i="3"/>
  <c r="K129" i="3" s="1"/>
  <c r="G129" i="3"/>
  <c r="F129" i="3"/>
  <c r="L129" i="3" s="1"/>
  <c r="E129" i="3"/>
  <c r="I129" i="3" s="1"/>
  <c r="D129" i="3"/>
  <c r="C129" i="3"/>
  <c r="B129" i="3"/>
  <c r="A129" i="3"/>
  <c r="J128" i="3"/>
  <c r="H128" i="3"/>
  <c r="K128" i="3" s="1"/>
  <c r="G128" i="3"/>
  <c r="F128" i="3"/>
  <c r="L128" i="3" s="1"/>
  <c r="E128" i="3"/>
  <c r="I128" i="3" s="1"/>
  <c r="D128" i="3"/>
  <c r="C128" i="3"/>
  <c r="B128" i="3"/>
  <c r="A128" i="3"/>
  <c r="J127" i="3"/>
  <c r="H127" i="3"/>
  <c r="K127" i="3" s="1"/>
  <c r="G127" i="3"/>
  <c r="F127" i="3"/>
  <c r="L127" i="3" s="1"/>
  <c r="E127" i="3"/>
  <c r="I127" i="3" s="1"/>
  <c r="D127" i="3"/>
  <c r="C127" i="3"/>
  <c r="B127" i="3"/>
  <c r="A127" i="3"/>
  <c r="J126" i="3"/>
  <c r="H126" i="3"/>
  <c r="K126" i="3" s="1"/>
  <c r="G126" i="3"/>
  <c r="F126" i="3"/>
  <c r="L126" i="3" s="1"/>
  <c r="E126" i="3"/>
  <c r="I126" i="3" s="1"/>
  <c r="D126" i="3"/>
  <c r="C126" i="3"/>
  <c r="B126" i="3"/>
  <c r="A126" i="3"/>
  <c r="J125" i="3"/>
  <c r="H125" i="3"/>
  <c r="K125" i="3" s="1"/>
  <c r="G125" i="3"/>
  <c r="F125" i="3"/>
  <c r="L125" i="3" s="1"/>
  <c r="E125" i="3"/>
  <c r="I125" i="3" s="1"/>
  <c r="D125" i="3"/>
  <c r="C125" i="3"/>
  <c r="B125" i="3"/>
  <c r="A125" i="3"/>
  <c r="J124" i="3"/>
  <c r="H124" i="3"/>
  <c r="K124" i="3" s="1"/>
  <c r="G124" i="3"/>
  <c r="F124" i="3"/>
  <c r="L124" i="3" s="1"/>
  <c r="E124" i="3"/>
  <c r="I124" i="3" s="1"/>
  <c r="D124" i="3"/>
  <c r="C124" i="3"/>
  <c r="B124" i="3"/>
  <c r="A124" i="3"/>
  <c r="J123" i="3"/>
  <c r="H123" i="3"/>
  <c r="K123" i="3" s="1"/>
  <c r="G123" i="3"/>
  <c r="F123" i="3"/>
  <c r="L123" i="3" s="1"/>
  <c r="E123" i="3"/>
  <c r="I123" i="3" s="1"/>
  <c r="D123" i="3"/>
  <c r="C123" i="3"/>
  <c r="B123" i="3"/>
  <c r="A123" i="3"/>
  <c r="J122" i="3"/>
  <c r="H122" i="3"/>
  <c r="K122" i="3" s="1"/>
  <c r="G122" i="3"/>
  <c r="F122" i="3"/>
  <c r="L122" i="3" s="1"/>
  <c r="E122" i="3"/>
  <c r="I122" i="3" s="1"/>
  <c r="D122" i="3"/>
  <c r="C122" i="3"/>
  <c r="B122" i="3"/>
  <c r="A122" i="3"/>
  <c r="J121" i="3"/>
  <c r="H121" i="3"/>
  <c r="K121" i="3" s="1"/>
  <c r="G121" i="3"/>
  <c r="F121" i="3"/>
  <c r="L121" i="3" s="1"/>
  <c r="E121" i="3"/>
  <c r="I121" i="3" s="1"/>
  <c r="D121" i="3"/>
  <c r="C121" i="3"/>
  <c r="B121" i="3"/>
  <c r="A121" i="3"/>
  <c r="J120" i="3"/>
  <c r="H120" i="3"/>
  <c r="K120" i="3" s="1"/>
  <c r="G120" i="3"/>
  <c r="F120" i="3"/>
  <c r="L120" i="3" s="1"/>
  <c r="E120" i="3"/>
  <c r="I120" i="3" s="1"/>
  <c r="D120" i="3"/>
  <c r="C120" i="3"/>
  <c r="B120" i="3"/>
  <c r="A120" i="3"/>
  <c r="J119" i="3"/>
  <c r="H119" i="3"/>
  <c r="K119" i="3" s="1"/>
  <c r="G119" i="3"/>
  <c r="F119" i="3"/>
  <c r="L119" i="3" s="1"/>
  <c r="E119" i="3"/>
  <c r="I119" i="3" s="1"/>
  <c r="D119" i="3"/>
  <c r="C119" i="3"/>
  <c r="B119" i="3"/>
  <c r="A119" i="3"/>
  <c r="J118" i="3"/>
  <c r="H118" i="3"/>
  <c r="K118" i="3" s="1"/>
  <c r="G118" i="3"/>
  <c r="F118" i="3"/>
  <c r="L118" i="3" s="1"/>
  <c r="E118" i="3"/>
  <c r="I118" i="3" s="1"/>
  <c r="D118" i="3"/>
  <c r="C118" i="3"/>
  <c r="B118" i="3"/>
  <c r="A118" i="3"/>
  <c r="J117" i="3"/>
  <c r="H117" i="3"/>
  <c r="K117" i="3" s="1"/>
  <c r="G117" i="3"/>
  <c r="F117" i="3"/>
  <c r="L117" i="3" s="1"/>
  <c r="E117" i="3"/>
  <c r="I117" i="3" s="1"/>
  <c r="D117" i="3"/>
  <c r="C117" i="3"/>
  <c r="B117" i="3"/>
  <c r="A117" i="3"/>
  <c r="J116" i="3"/>
  <c r="H116" i="3"/>
  <c r="K116" i="3" s="1"/>
  <c r="G116" i="3"/>
  <c r="F116" i="3"/>
  <c r="L116" i="3" s="1"/>
  <c r="E116" i="3"/>
  <c r="I116" i="3" s="1"/>
  <c r="D116" i="3"/>
  <c r="C116" i="3"/>
  <c r="B116" i="3"/>
  <c r="A116" i="3"/>
  <c r="J115" i="3"/>
  <c r="H115" i="3"/>
  <c r="K115" i="3" s="1"/>
  <c r="G115" i="3"/>
  <c r="F115" i="3"/>
  <c r="L115" i="3" s="1"/>
  <c r="E115" i="3"/>
  <c r="I115" i="3" s="1"/>
  <c r="D115" i="3"/>
  <c r="C115" i="3"/>
  <c r="B115" i="3"/>
  <c r="A115" i="3"/>
  <c r="J114" i="3"/>
  <c r="H114" i="3"/>
  <c r="K114" i="3" s="1"/>
  <c r="G114" i="3"/>
  <c r="F114" i="3"/>
  <c r="L114" i="3" s="1"/>
  <c r="E114" i="3"/>
  <c r="I114" i="3" s="1"/>
  <c r="D114" i="3"/>
  <c r="C114" i="3"/>
  <c r="B114" i="3"/>
  <c r="A114" i="3"/>
  <c r="J113" i="3"/>
  <c r="H113" i="3"/>
  <c r="K113" i="3" s="1"/>
  <c r="G113" i="3"/>
  <c r="F113" i="3"/>
  <c r="L113" i="3" s="1"/>
  <c r="E113" i="3"/>
  <c r="I113" i="3" s="1"/>
  <c r="D113" i="3"/>
  <c r="C113" i="3"/>
  <c r="B113" i="3"/>
  <c r="A113" i="3"/>
  <c r="J112" i="3"/>
  <c r="H112" i="3"/>
  <c r="K112" i="3" s="1"/>
  <c r="G112" i="3"/>
  <c r="F112" i="3"/>
  <c r="L112" i="3" s="1"/>
  <c r="E112" i="3"/>
  <c r="I112" i="3" s="1"/>
  <c r="D112" i="3"/>
  <c r="C112" i="3"/>
  <c r="B112" i="3"/>
  <c r="A112" i="3"/>
  <c r="J111" i="3"/>
  <c r="H111" i="3"/>
  <c r="K111" i="3" s="1"/>
  <c r="G111" i="3"/>
  <c r="F111" i="3"/>
  <c r="L111" i="3" s="1"/>
  <c r="E111" i="3"/>
  <c r="I111" i="3" s="1"/>
  <c r="D111" i="3"/>
  <c r="C111" i="3"/>
  <c r="B111" i="3"/>
  <c r="A111" i="3"/>
  <c r="J110" i="3"/>
  <c r="H110" i="3"/>
  <c r="K110" i="3" s="1"/>
  <c r="G110" i="3"/>
  <c r="F110" i="3"/>
  <c r="L110" i="3" s="1"/>
  <c r="E110" i="3"/>
  <c r="I110" i="3" s="1"/>
  <c r="D110" i="3"/>
  <c r="C110" i="3"/>
  <c r="B110" i="3"/>
  <c r="A110" i="3"/>
  <c r="J109" i="3"/>
  <c r="H109" i="3"/>
  <c r="K109" i="3" s="1"/>
  <c r="G109" i="3"/>
  <c r="F109" i="3"/>
  <c r="L109" i="3" s="1"/>
  <c r="E109" i="3"/>
  <c r="I109" i="3" s="1"/>
  <c r="D109" i="3"/>
  <c r="C109" i="3"/>
  <c r="B109" i="3"/>
  <c r="A109" i="3"/>
  <c r="J108" i="3"/>
  <c r="H108" i="3"/>
  <c r="K108" i="3" s="1"/>
  <c r="G108" i="3"/>
  <c r="F108" i="3"/>
  <c r="L108" i="3" s="1"/>
  <c r="E108" i="3"/>
  <c r="I108" i="3" s="1"/>
  <c r="D108" i="3"/>
  <c r="C108" i="3"/>
  <c r="B108" i="3"/>
  <c r="A108" i="3"/>
  <c r="J107" i="3"/>
  <c r="H107" i="3"/>
  <c r="K107" i="3" s="1"/>
  <c r="G107" i="3"/>
  <c r="F107" i="3"/>
  <c r="L107" i="3" s="1"/>
  <c r="E107" i="3"/>
  <c r="I107" i="3" s="1"/>
  <c r="D107" i="3"/>
  <c r="C107" i="3"/>
  <c r="B107" i="3"/>
  <c r="A107" i="3"/>
  <c r="J106" i="3"/>
  <c r="H106" i="3"/>
  <c r="K106" i="3" s="1"/>
  <c r="G106" i="3"/>
  <c r="F106" i="3"/>
  <c r="L106" i="3" s="1"/>
  <c r="E106" i="3"/>
  <c r="I106" i="3" s="1"/>
  <c r="D106" i="3"/>
  <c r="C106" i="3"/>
  <c r="B106" i="3"/>
  <c r="A106" i="3"/>
  <c r="J105" i="3"/>
  <c r="H105" i="3"/>
  <c r="K105" i="3" s="1"/>
  <c r="G105" i="3"/>
  <c r="F105" i="3"/>
  <c r="L105" i="3" s="1"/>
  <c r="E105" i="3"/>
  <c r="I105" i="3" s="1"/>
  <c r="D105" i="3"/>
  <c r="C105" i="3"/>
  <c r="B105" i="3"/>
  <c r="A105" i="3"/>
  <c r="J104" i="3"/>
  <c r="H104" i="3"/>
  <c r="K104" i="3" s="1"/>
  <c r="G104" i="3"/>
  <c r="F104" i="3"/>
  <c r="L104" i="3" s="1"/>
  <c r="E104" i="3"/>
  <c r="I104" i="3" s="1"/>
  <c r="D104" i="3"/>
  <c r="C104" i="3"/>
  <c r="B104" i="3"/>
  <c r="A104" i="3"/>
  <c r="J103" i="3"/>
  <c r="H103" i="3"/>
  <c r="K103" i="3" s="1"/>
  <c r="G103" i="3"/>
  <c r="F103" i="3"/>
  <c r="L103" i="3" s="1"/>
  <c r="E103" i="3"/>
  <c r="I103" i="3" s="1"/>
  <c r="D103" i="3"/>
  <c r="C103" i="3"/>
  <c r="B103" i="3"/>
  <c r="A103" i="3"/>
  <c r="J102" i="3"/>
  <c r="H102" i="3"/>
  <c r="K102" i="3" s="1"/>
  <c r="G102" i="3"/>
  <c r="F102" i="3"/>
  <c r="L102" i="3" s="1"/>
  <c r="E102" i="3"/>
  <c r="I102" i="3" s="1"/>
  <c r="D102" i="3"/>
  <c r="C102" i="3"/>
  <c r="B102" i="3"/>
  <c r="A102" i="3"/>
  <c r="J101" i="3"/>
  <c r="H101" i="3"/>
  <c r="K101" i="3" s="1"/>
  <c r="G101" i="3"/>
  <c r="F101" i="3"/>
  <c r="L101" i="3" s="1"/>
  <c r="E101" i="3"/>
  <c r="I101" i="3" s="1"/>
  <c r="D101" i="3"/>
  <c r="C101" i="3"/>
  <c r="B101" i="3"/>
  <c r="A101" i="3"/>
  <c r="J100" i="3"/>
  <c r="H100" i="3"/>
  <c r="K100" i="3" s="1"/>
  <c r="G100" i="3"/>
  <c r="F100" i="3"/>
  <c r="L100" i="3" s="1"/>
  <c r="E100" i="3"/>
  <c r="I100" i="3" s="1"/>
  <c r="D100" i="3"/>
  <c r="C100" i="3"/>
  <c r="B100" i="3"/>
  <c r="A100" i="3"/>
  <c r="J99" i="3"/>
  <c r="H99" i="3"/>
  <c r="K99" i="3" s="1"/>
  <c r="G99" i="3"/>
  <c r="F99" i="3"/>
  <c r="L99" i="3" s="1"/>
  <c r="E99" i="3"/>
  <c r="I99" i="3" s="1"/>
  <c r="D99" i="3"/>
  <c r="C99" i="3"/>
  <c r="B99" i="3"/>
  <c r="A99" i="3"/>
  <c r="J98" i="3"/>
  <c r="H98" i="3"/>
  <c r="K98" i="3" s="1"/>
  <c r="G98" i="3"/>
  <c r="F98" i="3"/>
  <c r="L98" i="3" s="1"/>
  <c r="E98" i="3"/>
  <c r="I98" i="3" s="1"/>
  <c r="D98" i="3"/>
  <c r="C98" i="3"/>
  <c r="B98" i="3"/>
  <c r="A98" i="3"/>
  <c r="J97" i="3"/>
  <c r="H97" i="3"/>
  <c r="K97" i="3" s="1"/>
  <c r="G97" i="3"/>
  <c r="F97" i="3"/>
  <c r="L97" i="3" s="1"/>
  <c r="E97" i="3"/>
  <c r="I97" i="3" s="1"/>
  <c r="D97" i="3"/>
  <c r="C97" i="3"/>
  <c r="B97" i="3"/>
  <c r="A97" i="3"/>
  <c r="J96" i="3"/>
  <c r="H96" i="3"/>
  <c r="K96" i="3" s="1"/>
  <c r="G96" i="3"/>
  <c r="F96" i="3"/>
  <c r="L96" i="3" s="1"/>
  <c r="E96" i="3"/>
  <c r="I96" i="3" s="1"/>
  <c r="D96" i="3"/>
  <c r="C96" i="3"/>
  <c r="B96" i="3"/>
  <c r="A96" i="3"/>
  <c r="J95" i="3"/>
  <c r="H95" i="3"/>
  <c r="K95" i="3" s="1"/>
  <c r="G95" i="3"/>
  <c r="F95" i="3"/>
  <c r="L95" i="3" s="1"/>
  <c r="E95" i="3"/>
  <c r="I95" i="3" s="1"/>
  <c r="D95" i="3"/>
  <c r="C95" i="3"/>
  <c r="B95" i="3"/>
  <c r="A95" i="3"/>
  <c r="J94" i="3"/>
  <c r="H94" i="3"/>
  <c r="K94" i="3" s="1"/>
  <c r="G94" i="3"/>
  <c r="F94" i="3"/>
  <c r="L94" i="3" s="1"/>
  <c r="E94" i="3"/>
  <c r="I94" i="3" s="1"/>
  <c r="D94" i="3"/>
  <c r="C94" i="3"/>
  <c r="B94" i="3"/>
  <c r="A94" i="3"/>
  <c r="J93" i="3"/>
  <c r="H93" i="3"/>
  <c r="K93" i="3" s="1"/>
  <c r="G93" i="3"/>
  <c r="F93" i="3"/>
  <c r="L93" i="3" s="1"/>
  <c r="E93" i="3"/>
  <c r="I93" i="3" s="1"/>
  <c r="D93" i="3"/>
  <c r="C93" i="3"/>
  <c r="B93" i="3"/>
  <c r="A93" i="3"/>
  <c r="J92" i="3"/>
  <c r="H92" i="3"/>
  <c r="K92" i="3" s="1"/>
  <c r="G92" i="3"/>
  <c r="F92" i="3"/>
  <c r="L92" i="3" s="1"/>
  <c r="E92" i="3"/>
  <c r="I92" i="3" s="1"/>
  <c r="D92" i="3"/>
  <c r="C92" i="3"/>
  <c r="B92" i="3"/>
  <c r="A92" i="3"/>
  <c r="J91" i="3"/>
  <c r="H91" i="3"/>
  <c r="K91" i="3" s="1"/>
  <c r="G91" i="3"/>
  <c r="F91" i="3"/>
  <c r="L91" i="3" s="1"/>
  <c r="E91" i="3"/>
  <c r="I91" i="3" s="1"/>
  <c r="D91" i="3"/>
  <c r="C91" i="3"/>
  <c r="B91" i="3"/>
  <c r="A91" i="3"/>
  <c r="J90" i="3"/>
  <c r="H90" i="3"/>
  <c r="K90" i="3" s="1"/>
  <c r="G90" i="3"/>
  <c r="F90" i="3"/>
  <c r="L90" i="3" s="1"/>
  <c r="E90" i="3"/>
  <c r="I90" i="3" s="1"/>
  <c r="D90" i="3"/>
  <c r="C90" i="3"/>
  <c r="B90" i="3"/>
  <c r="A90" i="3"/>
  <c r="J89" i="3"/>
  <c r="H89" i="3"/>
  <c r="K89" i="3" s="1"/>
  <c r="G89" i="3"/>
  <c r="F89" i="3"/>
  <c r="L89" i="3" s="1"/>
  <c r="E89" i="3"/>
  <c r="I89" i="3" s="1"/>
  <c r="D89" i="3"/>
  <c r="C89" i="3"/>
  <c r="B89" i="3"/>
  <c r="A89" i="3"/>
  <c r="J88" i="3"/>
  <c r="H88" i="3"/>
  <c r="K88" i="3" s="1"/>
  <c r="G88" i="3"/>
  <c r="F88" i="3"/>
  <c r="L88" i="3" s="1"/>
  <c r="E88" i="3"/>
  <c r="I88" i="3" s="1"/>
  <c r="D88" i="3"/>
  <c r="C88" i="3"/>
  <c r="B88" i="3"/>
  <c r="A88" i="3"/>
  <c r="J87" i="3"/>
  <c r="H87" i="3"/>
  <c r="K87" i="3" s="1"/>
  <c r="G87" i="3"/>
  <c r="F87" i="3"/>
  <c r="L87" i="3" s="1"/>
  <c r="E87" i="3"/>
  <c r="I87" i="3" s="1"/>
  <c r="D87" i="3"/>
  <c r="C87" i="3"/>
  <c r="B87" i="3"/>
  <c r="A87" i="3"/>
  <c r="J86" i="3"/>
  <c r="H86" i="3"/>
  <c r="K86" i="3" s="1"/>
  <c r="G86" i="3"/>
  <c r="F86" i="3"/>
  <c r="L86" i="3" s="1"/>
  <c r="E86" i="3"/>
  <c r="I86" i="3" s="1"/>
  <c r="D86" i="3"/>
  <c r="C86" i="3"/>
  <c r="B86" i="3"/>
  <c r="A86" i="3"/>
  <c r="J85" i="3"/>
  <c r="H85" i="3"/>
  <c r="K85" i="3" s="1"/>
  <c r="G85" i="3"/>
  <c r="F85" i="3"/>
  <c r="L85" i="3" s="1"/>
  <c r="E85" i="3"/>
  <c r="I85" i="3" s="1"/>
  <c r="D85" i="3"/>
  <c r="C85" i="3"/>
  <c r="B85" i="3"/>
  <c r="A85" i="3"/>
  <c r="J84" i="3"/>
  <c r="H84" i="3"/>
  <c r="K84" i="3" s="1"/>
  <c r="G84" i="3"/>
  <c r="F84" i="3"/>
  <c r="L84" i="3" s="1"/>
  <c r="E84" i="3"/>
  <c r="I84" i="3" s="1"/>
  <c r="D84" i="3"/>
  <c r="C84" i="3"/>
  <c r="B84" i="3"/>
  <c r="A84" i="3"/>
  <c r="J83" i="3"/>
  <c r="H83" i="3"/>
  <c r="K83" i="3" s="1"/>
  <c r="G83" i="3"/>
  <c r="F83" i="3"/>
  <c r="L83" i="3" s="1"/>
  <c r="E83" i="3"/>
  <c r="I83" i="3" s="1"/>
  <c r="D83" i="3"/>
  <c r="C83" i="3"/>
  <c r="B83" i="3"/>
  <c r="A83" i="3"/>
  <c r="J82" i="3"/>
  <c r="H82" i="3"/>
  <c r="K82" i="3" s="1"/>
  <c r="G82" i="3"/>
  <c r="F82" i="3"/>
  <c r="L82" i="3" s="1"/>
  <c r="E82" i="3"/>
  <c r="I82" i="3" s="1"/>
  <c r="D82" i="3"/>
  <c r="C82" i="3"/>
  <c r="B82" i="3"/>
  <c r="A82" i="3"/>
  <c r="J81" i="3"/>
  <c r="H81" i="3"/>
  <c r="K81" i="3" s="1"/>
  <c r="G81" i="3"/>
  <c r="F81" i="3"/>
  <c r="L81" i="3" s="1"/>
  <c r="E81" i="3"/>
  <c r="I81" i="3" s="1"/>
  <c r="D81" i="3"/>
  <c r="C81" i="3"/>
  <c r="B81" i="3"/>
  <c r="A81" i="3"/>
  <c r="J80" i="3"/>
  <c r="H80" i="3"/>
  <c r="K80" i="3" s="1"/>
  <c r="G80" i="3"/>
  <c r="F80" i="3"/>
  <c r="L80" i="3" s="1"/>
  <c r="E80" i="3"/>
  <c r="I80" i="3" s="1"/>
  <c r="D80" i="3"/>
  <c r="C80" i="3"/>
  <c r="B80" i="3"/>
  <c r="A80" i="3"/>
  <c r="J79" i="3"/>
  <c r="H79" i="3"/>
  <c r="K79" i="3" s="1"/>
  <c r="G79" i="3"/>
  <c r="F79" i="3"/>
  <c r="L79" i="3" s="1"/>
  <c r="E79" i="3"/>
  <c r="I79" i="3" s="1"/>
  <c r="D79" i="3"/>
  <c r="C79" i="3"/>
  <c r="B79" i="3"/>
  <c r="A79" i="3"/>
  <c r="J78" i="3"/>
  <c r="H78" i="3"/>
  <c r="K78" i="3" s="1"/>
  <c r="G78" i="3"/>
  <c r="F78" i="3"/>
  <c r="L78" i="3" s="1"/>
  <c r="E78" i="3"/>
  <c r="I78" i="3" s="1"/>
  <c r="D78" i="3"/>
  <c r="C78" i="3"/>
  <c r="B78" i="3"/>
  <c r="A78" i="3"/>
  <c r="J77" i="3"/>
  <c r="H77" i="3"/>
  <c r="K77" i="3" s="1"/>
  <c r="G77" i="3"/>
  <c r="F77" i="3"/>
  <c r="L77" i="3" s="1"/>
  <c r="E77" i="3"/>
  <c r="I77" i="3" s="1"/>
  <c r="D77" i="3"/>
  <c r="C77" i="3"/>
  <c r="B77" i="3"/>
  <c r="A77" i="3"/>
  <c r="J76" i="3"/>
  <c r="H76" i="3"/>
  <c r="K76" i="3" s="1"/>
  <c r="G76" i="3"/>
  <c r="F76" i="3"/>
  <c r="L76" i="3" s="1"/>
  <c r="E76" i="3"/>
  <c r="I76" i="3" s="1"/>
  <c r="D76" i="3"/>
  <c r="C76" i="3"/>
  <c r="B76" i="3"/>
  <c r="A76" i="3"/>
  <c r="J75" i="3"/>
  <c r="H75" i="3"/>
  <c r="K75" i="3" s="1"/>
  <c r="G75" i="3"/>
  <c r="F75" i="3"/>
  <c r="L75" i="3" s="1"/>
  <c r="E75" i="3"/>
  <c r="I75" i="3" s="1"/>
  <c r="D75" i="3"/>
  <c r="C75" i="3"/>
  <c r="B75" i="3"/>
  <c r="A75" i="3"/>
  <c r="J74" i="3"/>
  <c r="H74" i="3"/>
  <c r="K74" i="3" s="1"/>
  <c r="G74" i="3"/>
  <c r="F74" i="3"/>
  <c r="L74" i="3" s="1"/>
  <c r="E74" i="3"/>
  <c r="I74" i="3" s="1"/>
  <c r="D74" i="3"/>
  <c r="C74" i="3"/>
  <c r="B74" i="3"/>
  <c r="A74" i="3"/>
  <c r="J73" i="3"/>
  <c r="H73" i="3"/>
  <c r="K73" i="3" s="1"/>
  <c r="G73" i="3"/>
  <c r="F73" i="3"/>
  <c r="L73" i="3" s="1"/>
  <c r="E73" i="3"/>
  <c r="I73" i="3" s="1"/>
  <c r="D73" i="3"/>
  <c r="C73" i="3"/>
  <c r="B73" i="3"/>
  <c r="A73" i="3"/>
  <c r="J72" i="3"/>
  <c r="H72" i="3"/>
  <c r="K72" i="3" s="1"/>
  <c r="G72" i="3"/>
  <c r="F72" i="3"/>
  <c r="L72" i="3" s="1"/>
  <c r="E72" i="3"/>
  <c r="I72" i="3" s="1"/>
  <c r="D72" i="3"/>
  <c r="C72" i="3"/>
  <c r="B72" i="3"/>
  <c r="A72" i="3"/>
  <c r="J71" i="3"/>
  <c r="H71" i="3"/>
  <c r="K71" i="3" s="1"/>
  <c r="G71" i="3"/>
  <c r="F71" i="3"/>
  <c r="L71" i="3" s="1"/>
  <c r="E71" i="3"/>
  <c r="I71" i="3" s="1"/>
  <c r="D71" i="3"/>
  <c r="C71" i="3"/>
  <c r="B71" i="3"/>
  <c r="A71" i="3"/>
  <c r="J70" i="3"/>
  <c r="H70" i="3"/>
  <c r="K70" i="3" s="1"/>
  <c r="G70" i="3"/>
  <c r="F70" i="3"/>
  <c r="L70" i="3" s="1"/>
  <c r="E70" i="3"/>
  <c r="I70" i="3" s="1"/>
  <c r="D70" i="3"/>
  <c r="C70" i="3"/>
  <c r="B70" i="3"/>
  <c r="A70" i="3"/>
  <c r="J69" i="3"/>
  <c r="H69" i="3"/>
  <c r="K69" i="3" s="1"/>
  <c r="G69" i="3"/>
  <c r="F69" i="3"/>
  <c r="L69" i="3" s="1"/>
  <c r="E69" i="3"/>
  <c r="I69" i="3" s="1"/>
  <c r="D69" i="3"/>
  <c r="C69" i="3"/>
  <c r="B69" i="3"/>
  <c r="A69" i="3"/>
  <c r="J68" i="3"/>
  <c r="H68" i="3"/>
  <c r="K68" i="3" s="1"/>
  <c r="G68" i="3"/>
  <c r="F68" i="3"/>
  <c r="L68" i="3" s="1"/>
  <c r="E68" i="3"/>
  <c r="I68" i="3" s="1"/>
  <c r="D68" i="3"/>
  <c r="C68" i="3"/>
  <c r="B68" i="3"/>
  <c r="A68" i="3"/>
  <c r="J67" i="3"/>
  <c r="H67" i="3"/>
  <c r="K67" i="3" s="1"/>
  <c r="G67" i="3"/>
  <c r="F67" i="3"/>
  <c r="L67" i="3" s="1"/>
  <c r="E67" i="3"/>
  <c r="I67" i="3" s="1"/>
  <c r="D67" i="3"/>
  <c r="C67" i="3"/>
  <c r="B67" i="3"/>
  <c r="A67" i="3"/>
  <c r="J66" i="3"/>
  <c r="H66" i="3"/>
  <c r="K66" i="3" s="1"/>
  <c r="G66" i="3"/>
  <c r="F66" i="3"/>
  <c r="L66" i="3" s="1"/>
  <c r="E66" i="3"/>
  <c r="I66" i="3" s="1"/>
  <c r="D66" i="3"/>
  <c r="C66" i="3"/>
  <c r="B66" i="3"/>
  <c r="A66" i="3"/>
  <c r="J65" i="3"/>
  <c r="H65" i="3"/>
  <c r="K65" i="3" s="1"/>
  <c r="G65" i="3"/>
  <c r="F65" i="3"/>
  <c r="L65" i="3" s="1"/>
  <c r="E65" i="3"/>
  <c r="I65" i="3" s="1"/>
  <c r="D65" i="3"/>
  <c r="C65" i="3"/>
  <c r="B65" i="3"/>
  <c r="A65" i="3"/>
  <c r="J64" i="3"/>
  <c r="H64" i="3"/>
  <c r="K64" i="3" s="1"/>
  <c r="G64" i="3"/>
  <c r="F64" i="3"/>
  <c r="L64" i="3" s="1"/>
  <c r="E64" i="3"/>
  <c r="I64" i="3" s="1"/>
  <c r="D64" i="3"/>
  <c r="C64" i="3"/>
  <c r="B64" i="3"/>
  <c r="A64" i="3"/>
  <c r="J63" i="3"/>
  <c r="H63" i="3"/>
  <c r="K63" i="3" s="1"/>
  <c r="G63" i="3"/>
  <c r="F63" i="3"/>
  <c r="L63" i="3" s="1"/>
  <c r="E63" i="3"/>
  <c r="I63" i="3" s="1"/>
  <c r="D63" i="3"/>
  <c r="C63" i="3"/>
  <c r="B63" i="3"/>
  <c r="A63" i="3"/>
  <c r="J62" i="3"/>
  <c r="H62" i="3"/>
  <c r="K62" i="3" s="1"/>
  <c r="G62" i="3"/>
  <c r="F62" i="3"/>
  <c r="L62" i="3" s="1"/>
  <c r="E62" i="3"/>
  <c r="I62" i="3" s="1"/>
  <c r="D62" i="3"/>
  <c r="C62" i="3"/>
  <c r="B62" i="3"/>
  <c r="A62" i="3"/>
  <c r="J61" i="3"/>
  <c r="H61" i="3"/>
  <c r="K61" i="3" s="1"/>
  <c r="G61" i="3"/>
  <c r="F61" i="3"/>
  <c r="L61" i="3" s="1"/>
  <c r="E61" i="3"/>
  <c r="I61" i="3" s="1"/>
  <c r="D61" i="3"/>
  <c r="C61" i="3"/>
  <c r="B61" i="3"/>
  <c r="A61" i="3"/>
  <c r="J60" i="3"/>
  <c r="H60" i="3"/>
  <c r="K60" i="3" s="1"/>
  <c r="G60" i="3"/>
  <c r="F60" i="3"/>
  <c r="L60" i="3" s="1"/>
  <c r="E60" i="3"/>
  <c r="I60" i="3" s="1"/>
  <c r="D60" i="3"/>
  <c r="C60" i="3"/>
  <c r="B60" i="3"/>
  <c r="A60" i="3"/>
  <c r="J59" i="3"/>
  <c r="H59" i="3"/>
  <c r="K59" i="3" s="1"/>
  <c r="G59" i="3"/>
  <c r="F59" i="3"/>
  <c r="L59" i="3" s="1"/>
  <c r="E59" i="3"/>
  <c r="I59" i="3" s="1"/>
  <c r="D59" i="3"/>
  <c r="C59" i="3"/>
  <c r="B59" i="3"/>
  <c r="A59" i="3"/>
  <c r="J58" i="3"/>
  <c r="H58" i="3"/>
  <c r="K58" i="3" s="1"/>
  <c r="G58" i="3"/>
  <c r="F58" i="3"/>
  <c r="L58" i="3" s="1"/>
  <c r="E58" i="3"/>
  <c r="I58" i="3" s="1"/>
  <c r="D58" i="3"/>
  <c r="C58" i="3"/>
  <c r="B58" i="3"/>
  <c r="A58" i="3"/>
  <c r="J57" i="3"/>
  <c r="H57" i="3"/>
  <c r="K57" i="3" s="1"/>
  <c r="G57" i="3"/>
  <c r="F57" i="3"/>
  <c r="L57" i="3" s="1"/>
  <c r="E57" i="3"/>
  <c r="I57" i="3" s="1"/>
  <c r="D57" i="3"/>
  <c r="C57" i="3"/>
  <c r="B57" i="3"/>
  <c r="A57" i="3"/>
  <c r="J56" i="3"/>
  <c r="H56" i="3"/>
  <c r="K56" i="3" s="1"/>
  <c r="G56" i="3"/>
  <c r="F56" i="3"/>
  <c r="L56" i="3" s="1"/>
  <c r="E56" i="3"/>
  <c r="I56" i="3" s="1"/>
  <c r="D56" i="3"/>
  <c r="C56" i="3"/>
  <c r="B56" i="3"/>
  <c r="A56" i="3"/>
  <c r="J55" i="3"/>
  <c r="H55" i="3"/>
  <c r="K55" i="3" s="1"/>
  <c r="G55" i="3"/>
  <c r="F55" i="3"/>
  <c r="L55" i="3" s="1"/>
  <c r="E55" i="3"/>
  <c r="I55" i="3" s="1"/>
  <c r="D55" i="3"/>
  <c r="C55" i="3"/>
  <c r="B55" i="3"/>
  <c r="A55" i="3"/>
  <c r="J54" i="3"/>
  <c r="H54" i="3"/>
  <c r="K54" i="3" s="1"/>
  <c r="G54" i="3"/>
  <c r="F54" i="3"/>
  <c r="L54" i="3" s="1"/>
  <c r="E54" i="3"/>
  <c r="I54" i="3" s="1"/>
  <c r="D54" i="3"/>
  <c r="C54" i="3"/>
  <c r="B54" i="3"/>
  <c r="A54" i="3"/>
  <c r="J53" i="3"/>
  <c r="H53" i="3"/>
  <c r="K53" i="3" s="1"/>
  <c r="G53" i="3"/>
  <c r="F53" i="3"/>
  <c r="L53" i="3" s="1"/>
  <c r="E53" i="3"/>
  <c r="I53" i="3" s="1"/>
  <c r="D53" i="3"/>
  <c r="C53" i="3"/>
  <c r="B53" i="3"/>
  <c r="A53" i="3"/>
  <c r="J52" i="3"/>
  <c r="H52" i="3"/>
  <c r="K52" i="3" s="1"/>
  <c r="G52" i="3"/>
  <c r="F52" i="3"/>
  <c r="L52" i="3" s="1"/>
  <c r="E52" i="3"/>
  <c r="I52" i="3" s="1"/>
  <c r="D52" i="3"/>
  <c r="C52" i="3"/>
  <c r="B52" i="3"/>
  <c r="A52" i="3"/>
  <c r="J51" i="3"/>
  <c r="H51" i="3"/>
  <c r="K51" i="3" s="1"/>
  <c r="G51" i="3"/>
  <c r="F51" i="3"/>
  <c r="L51" i="3" s="1"/>
  <c r="E51" i="3"/>
  <c r="I51" i="3" s="1"/>
  <c r="D51" i="3"/>
  <c r="C51" i="3"/>
  <c r="B51" i="3"/>
  <c r="A51" i="3"/>
  <c r="J50" i="3"/>
  <c r="H50" i="3"/>
  <c r="K50" i="3" s="1"/>
  <c r="G50" i="3"/>
  <c r="F50" i="3"/>
  <c r="L50" i="3" s="1"/>
  <c r="E50" i="3"/>
  <c r="I50" i="3" s="1"/>
  <c r="D50" i="3"/>
  <c r="C50" i="3"/>
  <c r="B50" i="3"/>
  <c r="A50" i="3"/>
  <c r="J49" i="3"/>
  <c r="H49" i="3"/>
  <c r="K49" i="3" s="1"/>
  <c r="G49" i="3"/>
  <c r="F49" i="3"/>
  <c r="L49" i="3" s="1"/>
  <c r="E49" i="3"/>
  <c r="I49" i="3" s="1"/>
  <c r="D49" i="3"/>
  <c r="C49" i="3"/>
  <c r="B49" i="3"/>
  <c r="A49" i="3"/>
  <c r="J48" i="3"/>
  <c r="H48" i="3"/>
  <c r="K48" i="3" s="1"/>
  <c r="G48" i="3"/>
  <c r="F48" i="3"/>
  <c r="L48" i="3" s="1"/>
  <c r="E48" i="3"/>
  <c r="I48" i="3" s="1"/>
  <c r="D48" i="3"/>
  <c r="C48" i="3"/>
  <c r="B48" i="3"/>
  <c r="A48" i="3"/>
  <c r="J47" i="3"/>
  <c r="H47" i="3"/>
  <c r="K47" i="3" s="1"/>
  <c r="G47" i="3"/>
  <c r="F47" i="3"/>
  <c r="L47" i="3" s="1"/>
  <c r="E47" i="3"/>
  <c r="I47" i="3" s="1"/>
  <c r="D47" i="3"/>
  <c r="C47" i="3"/>
  <c r="B47" i="3"/>
  <c r="A47" i="3"/>
  <c r="J46" i="3"/>
  <c r="H46" i="3"/>
  <c r="K46" i="3" s="1"/>
  <c r="G46" i="3"/>
  <c r="F46" i="3"/>
  <c r="L46" i="3" s="1"/>
  <c r="E46" i="3"/>
  <c r="I46" i="3" s="1"/>
  <c r="D46" i="3"/>
  <c r="C46" i="3"/>
  <c r="B46" i="3"/>
  <c r="A46" i="3"/>
  <c r="J45" i="3"/>
  <c r="H45" i="3"/>
  <c r="K45" i="3" s="1"/>
  <c r="G45" i="3"/>
  <c r="F45" i="3"/>
  <c r="L45" i="3" s="1"/>
  <c r="E45" i="3"/>
  <c r="I45" i="3" s="1"/>
  <c r="D45" i="3"/>
  <c r="C45" i="3"/>
  <c r="B45" i="3"/>
  <c r="A45" i="3"/>
  <c r="J44" i="3"/>
  <c r="H44" i="3"/>
  <c r="K44" i="3" s="1"/>
  <c r="G44" i="3"/>
  <c r="F44" i="3"/>
  <c r="L44" i="3" s="1"/>
  <c r="E44" i="3"/>
  <c r="I44" i="3" s="1"/>
  <c r="D44" i="3"/>
  <c r="C44" i="3"/>
  <c r="B44" i="3"/>
  <c r="A44" i="3"/>
  <c r="J43" i="3"/>
  <c r="H43" i="3"/>
  <c r="K43" i="3" s="1"/>
  <c r="G43" i="3"/>
  <c r="F43" i="3"/>
  <c r="L43" i="3" s="1"/>
  <c r="E43" i="3"/>
  <c r="I43" i="3" s="1"/>
  <c r="D43" i="3"/>
  <c r="C43" i="3"/>
  <c r="B43" i="3"/>
  <c r="A43" i="3"/>
  <c r="J42" i="3"/>
  <c r="H42" i="3"/>
  <c r="K42" i="3" s="1"/>
  <c r="G42" i="3"/>
  <c r="F42" i="3"/>
  <c r="L42" i="3" s="1"/>
  <c r="E42" i="3"/>
  <c r="I42" i="3" s="1"/>
  <c r="D42" i="3"/>
  <c r="C42" i="3"/>
  <c r="B42" i="3"/>
  <c r="A42" i="3"/>
  <c r="J41" i="3"/>
  <c r="H41" i="3"/>
  <c r="K41" i="3" s="1"/>
  <c r="G41" i="3"/>
  <c r="F41" i="3"/>
  <c r="L41" i="3" s="1"/>
  <c r="E41" i="3"/>
  <c r="I41" i="3" s="1"/>
  <c r="D41" i="3"/>
  <c r="C41" i="3"/>
  <c r="B41" i="3"/>
  <c r="A41" i="3"/>
  <c r="J40" i="3"/>
  <c r="H40" i="3"/>
  <c r="K40" i="3" s="1"/>
  <c r="G40" i="3"/>
  <c r="F40" i="3"/>
  <c r="L40" i="3" s="1"/>
  <c r="E40" i="3"/>
  <c r="I40" i="3" s="1"/>
  <c r="D40" i="3"/>
  <c r="C40" i="3"/>
  <c r="B40" i="3"/>
  <c r="A40" i="3"/>
  <c r="J39" i="3"/>
  <c r="H39" i="3"/>
  <c r="K39" i="3" s="1"/>
  <c r="G39" i="3"/>
  <c r="F39" i="3"/>
  <c r="L39" i="3" s="1"/>
  <c r="E39" i="3"/>
  <c r="I39" i="3" s="1"/>
  <c r="D39" i="3"/>
  <c r="C39" i="3"/>
  <c r="B39" i="3"/>
  <c r="A39" i="3"/>
  <c r="J38" i="3"/>
  <c r="H38" i="3"/>
  <c r="K38" i="3" s="1"/>
  <c r="G38" i="3"/>
  <c r="F38" i="3"/>
  <c r="L38" i="3" s="1"/>
  <c r="E38" i="3"/>
  <c r="I38" i="3" s="1"/>
  <c r="D38" i="3"/>
  <c r="C38" i="3"/>
  <c r="B38" i="3"/>
  <c r="A38" i="3"/>
  <c r="J37" i="3"/>
  <c r="H37" i="3"/>
  <c r="K37" i="3" s="1"/>
  <c r="G37" i="3"/>
  <c r="F37" i="3"/>
  <c r="L37" i="3" s="1"/>
  <c r="E37" i="3"/>
  <c r="I37" i="3" s="1"/>
  <c r="D37" i="3"/>
  <c r="C37" i="3"/>
  <c r="B37" i="3"/>
  <c r="A37" i="3"/>
  <c r="J36" i="3"/>
  <c r="H36" i="3"/>
  <c r="K36" i="3" s="1"/>
  <c r="G36" i="3"/>
  <c r="F36" i="3"/>
  <c r="L36" i="3" s="1"/>
  <c r="E36" i="3"/>
  <c r="I36" i="3" s="1"/>
  <c r="D36" i="3"/>
  <c r="C36" i="3"/>
  <c r="B36" i="3"/>
  <c r="A36" i="3"/>
  <c r="J35" i="3"/>
  <c r="H35" i="3"/>
  <c r="K35" i="3" s="1"/>
  <c r="G35" i="3"/>
  <c r="F35" i="3"/>
  <c r="L35" i="3" s="1"/>
  <c r="E35" i="3"/>
  <c r="I35" i="3" s="1"/>
  <c r="D35" i="3"/>
  <c r="C35" i="3"/>
  <c r="B35" i="3"/>
  <c r="A35" i="3"/>
  <c r="J34" i="3"/>
  <c r="H34" i="3"/>
  <c r="K34" i="3" s="1"/>
  <c r="G34" i="3"/>
  <c r="F34" i="3"/>
  <c r="L34" i="3" s="1"/>
  <c r="E34" i="3"/>
  <c r="I34" i="3" s="1"/>
  <c r="D34" i="3"/>
  <c r="C34" i="3"/>
  <c r="B34" i="3"/>
  <c r="A34" i="3"/>
  <c r="J33" i="3"/>
  <c r="H33" i="3"/>
  <c r="K33" i="3" s="1"/>
  <c r="G33" i="3"/>
  <c r="F33" i="3"/>
  <c r="L33" i="3" s="1"/>
  <c r="E33" i="3"/>
  <c r="I33" i="3" s="1"/>
  <c r="D33" i="3"/>
  <c r="C33" i="3"/>
  <c r="B33" i="3"/>
  <c r="A33" i="3"/>
  <c r="J32" i="3"/>
  <c r="H32" i="3"/>
  <c r="K32" i="3" s="1"/>
  <c r="G32" i="3"/>
  <c r="F32" i="3"/>
  <c r="L32" i="3" s="1"/>
  <c r="E32" i="3"/>
  <c r="I32" i="3" s="1"/>
  <c r="D32" i="3"/>
  <c r="C32" i="3"/>
  <c r="B32" i="3"/>
  <c r="A32" i="3"/>
  <c r="J31" i="3"/>
  <c r="H31" i="3"/>
  <c r="K31" i="3" s="1"/>
  <c r="G31" i="3"/>
  <c r="F31" i="3"/>
  <c r="L31" i="3" s="1"/>
  <c r="E31" i="3"/>
  <c r="I31" i="3" s="1"/>
  <c r="D31" i="3"/>
  <c r="C31" i="3"/>
  <c r="B31" i="3"/>
  <c r="A31" i="3"/>
  <c r="J30" i="3"/>
  <c r="H30" i="3"/>
  <c r="K30" i="3" s="1"/>
  <c r="G30" i="3"/>
  <c r="F30" i="3"/>
  <c r="L30" i="3" s="1"/>
  <c r="E30" i="3"/>
  <c r="I30" i="3" s="1"/>
  <c r="D30" i="3"/>
  <c r="C30" i="3"/>
  <c r="B30" i="3"/>
  <c r="A30" i="3"/>
  <c r="J29" i="3"/>
  <c r="H29" i="3"/>
  <c r="K29" i="3" s="1"/>
  <c r="G29" i="3"/>
  <c r="F29" i="3"/>
  <c r="L29" i="3" s="1"/>
  <c r="E29" i="3"/>
  <c r="I29" i="3" s="1"/>
  <c r="D29" i="3"/>
  <c r="C29" i="3"/>
  <c r="B29" i="3"/>
  <c r="A29" i="3"/>
  <c r="J28" i="3"/>
  <c r="H28" i="3"/>
  <c r="K28" i="3" s="1"/>
  <c r="G28" i="3"/>
  <c r="F28" i="3"/>
  <c r="L28" i="3" s="1"/>
  <c r="E28" i="3"/>
  <c r="I28" i="3" s="1"/>
  <c r="D28" i="3"/>
  <c r="C28" i="3"/>
  <c r="B28" i="3"/>
  <c r="A28" i="3"/>
  <c r="J27" i="3"/>
  <c r="H27" i="3"/>
  <c r="K27" i="3" s="1"/>
  <c r="G27" i="3"/>
  <c r="F27" i="3"/>
  <c r="L27" i="3" s="1"/>
  <c r="E27" i="3"/>
  <c r="I27" i="3" s="1"/>
  <c r="D27" i="3"/>
  <c r="C27" i="3"/>
  <c r="B27" i="3"/>
  <c r="A27" i="3"/>
  <c r="J26" i="3"/>
  <c r="H26" i="3"/>
  <c r="K26" i="3" s="1"/>
  <c r="G26" i="3"/>
  <c r="F26" i="3"/>
  <c r="L26" i="3" s="1"/>
  <c r="E26" i="3"/>
  <c r="I26" i="3" s="1"/>
  <c r="D26" i="3"/>
  <c r="C26" i="3"/>
  <c r="B26" i="3"/>
  <c r="A26" i="3"/>
  <c r="J25" i="3"/>
  <c r="H25" i="3"/>
  <c r="K25" i="3" s="1"/>
  <c r="G25" i="3"/>
  <c r="F25" i="3"/>
  <c r="L25" i="3" s="1"/>
  <c r="E25" i="3"/>
  <c r="I25" i="3" s="1"/>
  <c r="D25" i="3"/>
  <c r="C25" i="3"/>
  <c r="B25" i="3"/>
  <c r="A25" i="3"/>
  <c r="J24" i="3"/>
  <c r="H24" i="3"/>
  <c r="K24" i="3" s="1"/>
  <c r="G24" i="3"/>
  <c r="F24" i="3"/>
  <c r="L24" i="3" s="1"/>
  <c r="E24" i="3"/>
  <c r="I24" i="3" s="1"/>
  <c r="D24" i="3"/>
  <c r="C24" i="3"/>
  <c r="B24" i="3"/>
  <c r="A24" i="3"/>
  <c r="J23" i="3"/>
  <c r="H23" i="3"/>
  <c r="K23" i="3" s="1"/>
  <c r="G23" i="3"/>
  <c r="F23" i="3"/>
  <c r="L23" i="3" s="1"/>
  <c r="E23" i="3"/>
  <c r="I23" i="3" s="1"/>
  <c r="D23" i="3"/>
  <c r="C23" i="3"/>
  <c r="B23" i="3"/>
  <c r="A23" i="3"/>
  <c r="J22" i="3"/>
  <c r="H22" i="3"/>
  <c r="K22" i="3" s="1"/>
  <c r="G22" i="3"/>
  <c r="F22" i="3"/>
  <c r="L22" i="3" s="1"/>
  <c r="E22" i="3"/>
  <c r="I22" i="3" s="1"/>
  <c r="D22" i="3"/>
  <c r="C22" i="3"/>
  <c r="B22" i="3"/>
  <c r="A22" i="3"/>
  <c r="J21" i="3"/>
  <c r="H21" i="3"/>
  <c r="K21" i="3" s="1"/>
  <c r="G21" i="3"/>
  <c r="F21" i="3"/>
  <c r="L21" i="3" s="1"/>
  <c r="E21" i="3"/>
  <c r="I21" i="3" s="1"/>
  <c r="D21" i="3"/>
  <c r="C21" i="3"/>
  <c r="B21" i="3"/>
  <c r="A21" i="3"/>
  <c r="J20" i="3"/>
  <c r="H20" i="3"/>
  <c r="K20" i="3" s="1"/>
  <c r="G20" i="3"/>
  <c r="F20" i="3"/>
  <c r="L20" i="3" s="1"/>
  <c r="E20" i="3"/>
  <c r="I20" i="3" s="1"/>
  <c r="D20" i="3"/>
  <c r="C20" i="3"/>
  <c r="B20" i="3"/>
  <c r="A20" i="3"/>
  <c r="J19" i="3"/>
  <c r="H19" i="3"/>
  <c r="K19" i="3" s="1"/>
  <c r="G19" i="3"/>
  <c r="F19" i="3"/>
  <c r="L19" i="3" s="1"/>
  <c r="E19" i="3"/>
  <c r="I19" i="3" s="1"/>
  <c r="D19" i="3"/>
  <c r="C19" i="3"/>
  <c r="B19" i="3"/>
  <c r="A19" i="3"/>
  <c r="J18" i="3"/>
  <c r="H18" i="3"/>
  <c r="K18" i="3" s="1"/>
  <c r="G18" i="3"/>
  <c r="F18" i="3"/>
  <c r="L18" i="3" s="1"/>
  <c r="E18" i="3"/>
  <c r="I18" i="3" s="1"/>
  <c r="D18" i="3"/>
  <c r="C18" i="3"/>
  <c r="B18" i="3"/>
  <c r="A18" i="3"/>
  <c r="J17" i="3"/>
  <c r="H17" i="3"/>
  <c r="K17" i="3" s="1"/>
  <c r="G17" i="3"/>
  <c r="F17" i="3"/>
  <c r="L17" i="3" s="1"/>
  <c r="E17" i="3"/>
  <c r="I17" i="3" s="1"/>
  <c r="D17" i="3"/>
  <c r="C17" i="3"/>
  <c r="B17" i="3"/>
  <c r="A17" i="3"/>
  <c r="J16" i="3"/>
  <c r="H16" i="3"/>
  <c r="K16" i="3" s="1"/>
  <c r="G16" i="3"/>
  <c r="F16" i="3"/>
  <c r="L16" i="3" s="1"/>
  <c r="E16" i="3"/>
  <c r="I16" i="3" s="1"/>
  <c r="D16" i="3"/>
  <c r="C16" i="3"/>
  <c r="B16" i="3"/>
  <c r="A16" i="3"/>
  <c r="J15" i="3"/>
  <c r="H15" i="3"/>
  <c r="K15" i="3" s="1"/>
  <c r="G15" i="3"/>
  <c r="F15" i="3"/>
  <c r="L15" i="3" s="1"/>
  <c r="E15" i="3"/>
  <c r="I15" i="3" s="1"/>
  <c r="D15" i="3"/>
  <c r="C15" i="3"/>
  <c r="B15" i="3"/>
  <c r="A15" i="3"/>
  <c r="J14" i="3"/>
  <c r="H14" i="3"/>
  <c r="K14" i="3" s="1"/>
  <c r="G14" i="3"/>
  <c r="F14" i="3"/>
  <c r="L14" i="3" s="1"/>
  <c r="E14" i="3"/>
  <c r="I14" i="3" s="1"/>
  <c r="D14" i="3"/>
  <c r="C14" i="3"/>
  <c r="B14" i="3"/>
  <c r="A14" i="3"/>
  <c r="J13" i="3"/>
  <c r="H13" i="3"/>
  <c r="K13" i="3" s="1"/>
  <c r="G13" i="3"/>
  <c r="F13" i="3"/>
  <c r="L13" i="3" s="1"/>
  <c r="E13" i="3"/>
  <c r="I13" i="3" s="1"/>
  <c r="D13" i="3"/>
  <c r="C13" i="3"/>
  <c r="B13" i="3"/>
  <c r="A13" i="3"/>
  <c r="H12" i="3"/>
  <c r="K12" i="3" s="1"/>
  <c r="G12" i="3"/>
  <c r="F12" i="3"/>
  <c r="L12" i="3" s="1"/>
  <c r="E12" i="3"/>
  <c r="I12" i="3" s="1"/>
  <c r="D12" i="3"/>
  <c r="J12" i="3" s="1"/>
  <c r="C12" i="3"/>
  <c r="B12" i="3"/>
  <c r="A12" i="3"/>
  <c r="J11" i="3"/>
  <c r="H11" i="3"/>
  <c r="K11" i="3" s="1"/>
  <c r="G11" i="3"/>
  <c r="F11" i="3"/>
  <c r="L11" i="3" s="1"/>
  <c r="E11" i="3"/>
  <c r="I11" i="3" s="1"/>
  <c r="D11" i="3"/>
  <c r="C11" i="3"/>
  <c r="B11" i="3"/>
  <c r="A11" i="3"/>
  <c r="J10" i="3"/>
  <c r="H10" i="3"/>
  <c r="K10" i="3" s="1"/>
  <c r="G10" i="3"/>
  <c r="F10" i="3"/>
  <c r="L10" i="3" s="1"/>
  <c r="E10" i="3"/>
  <c r="I10" i="3" s="1"/>
  <c r="D10" i="3"/>
  <c r="C10" i="3"/>
  <c r="B10" i="3"/>
  <c r="A10" i="3"/>
  <c r="J9" i="3"/>
  <c r="H9" i="3"/>
  <c r="K9" i="3" s="1"/>
  <c r="G9" i="3"/>
  <c r="F9" i="3"/>
  <c r="L9" i="3" s="1"/>
  <c r="E9" i="3"/>
  <c r="I9" i="3" s="1"/>
  <c r="D9" i="3"/>
  <c r="C9" i="3"/>
  <c r="B9" i="3"/>
  <c r="A9" i="3"/>
  <c r="J8" i="3"/>
  <c r="H8" i="3"/>
  <c r="K8" i="3" s="1"/>
  <c r="G8" i="3"/>
  <c r="F8" i="3"/>
  <c r="L8" i="3" s="1"/>
  <c r="E8" i="3"/>
  <c r="I8" i="3" s="1"/>
  <c r="D8" i="3"/>
  <c r="C8" i="3"/>
  <c r="B8" i="3"/>
  <c r="A8" i="3"/>
  <c r="J7" i="3"/>
  <c r="H7" i="3"/>
  <c r="K7" i="3" s="1"/>
  <c r="G7" i="3"/>
  <c r="F7" i="3"/>
  <c r="L7" i="3" s="1"/>
  <c r="E7" i="3"/>
  <c r="I7" i="3" s="1"/>
  <c r="D7" i="3"/>
  <c r="C7" i="3"/>
  <c r="B7" i="3"/>
  <c r="A7" i="3"/>
  <c r="J6" i="3"/>
  <c r="H6" i="3"/>
  <c r="K6" i="3" s="1"/>
  <c r="G6" i="3"/>
  <c r="F6" i="3"/>
  <c r="L6" i="3" s="1"/>
  <c r="E6" i="3"/>
  <c r="I6" i="3" s="1"/>
  <c r="D6" i="3"/>
  <c r="C6" i="3"/>
  <c r="B6" i="3"/>
  <c r="A6" i="3"/>
  <c r="J5" i="3"/>
  <c r="H5" i="3"/>
  <c r="K5" i="3" s="1"/>
  <c r="G5" i="3"/>
  <c r="F5" i="3"/>
  <c r="L5" i="3" s="1"/>
  <c r="E5" i="3"/>
  <c r="I5" i="3" s="1"/>
  <c r="D5" i="3"/>
  <c r="C5" i="3"/>
  <c r="B5" i="3"/>
  <c r="A5" i="3"/>
  <c r="J4" i="3"/>
  <c r="H4" i="3"/>
  <c r="K4" i="3" s="1"/>
  <c r="G4" i="3"/>
  <c r="F4" i="3"/>
  <c r="L4" i="3" s="1"/>
  <c r="E4" i="3"/>
  <c r="I4" i="3" s="1"/>
  <c r="D4" i="3"/>
  <c r="C4" i="3"/>
  <c r="B4" i="3"/>
  <c r="A4" i="3"/>
  <c r="J3" i="3"/>
  <c r="H3" i="3"/>
  <c r="K3" i="3" s="1"/>
  <c r="G3" i="3"/>
  <c r="F3" i="3"/>
  <c r="L3" i="3" s="1"/>
  <c r="E3" i="3"/>
  <c r="I3" i="3" s="1"/>
  <c r="D3" i="3"/>
  <c r="C3" i="3"/>
  <c r="B3" i="3"/>
  <c r="A3" i="3"/>
  <c r="J2" i="3"/>
  <c r="H2" i="3"/>
  <c r="N6" i="7" s="1"/>
  <c r="G2" i="3"/>
  <c r="F6" i="7" s="1"/>
  <c r="F2" i="3"/>
  <c r="J6" i="7" s="1"/>
  <c r="E2" i="3"/>
  <c r="I2" i="3" s="1"/>
  <c r="D2" i="3"/>
  <c r="C2" i="3"/>
  <c r="B2" i="3"/>
  <c r="A2" i="3"/>
  <c r="B6" i="7" s="1"/>
  <c r="L2" i="3" l="1"/>
  <c r="D10" i="5"/>
  <c r="E9" i="5"/>
  <c r="F8" i="5"/>
  <c r="B8" i="5"/>
  <c r="C7" i="5"/>
  <c r="D6" i="5"/>
  <c r="E5" i="5"/>
  <c r="F4" i="5"/>
  <c r="B4" i="5"/>
  <c r="C3" i="5"/>
  <c r="D2" i="5"/>
  <c r="C10" i="5"/>
  <c r="D9" i="5"/>
  <c r="E8" i="5"/>
  <c r="F7" i="5"/>
  <c r="B7" i="5"/>
  <c r="C6" i="5"/>
  <c r="D5" i="5"/>
  <c r="E4" i="5"/>
  <c r="F3" i="5"/>
  <c r="B3" i="5"/>
  <c r="C2" i="5"/>
  <c r="F10" i="5"/>
  <c r="B10" i="5"/>
  <c r="C9" i="5"/>
  <c r="D8" i="5"/>
  <c r="E7" i="5"/>
  <c r="F6" i="5"/>
  <c r="B6" i="5"/>
  <c r="C5" i="5"/>
  <c r="D4" i="5"/>
  <c r="E3" i="5"/>
  <c r="F2" i="5"/>
  <c r="B2" i="5"/>
  <c r="E10" i="5"/>
  <c r="F9" i="5"/>
  <c r="B9" i="5"/>
  <c r="C8" i="5"/>
  <c r="D7" i="5"/>
  <c r="E6" i="5"/>
  <c r="F5" i="5"/>
  <c r="B5" i="5"/>
  <c r="C4" i="5"/>
  <c r="D3" i="5"/>
  <c r="E2" i="5"/>
  <c r="K2" i="3"/>
  <c r="I281" i="3"/>
  <c r="R6" i="7" s="1"/>
  <c r="I283" i="3"/>
  <c r="I285" i="3"/>
  <c r="D11" i="4"/>
  <c r="F10" i="4"/>
  <c r="B10" i="4"/>
  <c r="D9" i="4"/>
  <c r="F8" i="4"/>
  <c r="B8" i="4"/>
  <c r="D7" i="4"/>
  <c r="F6" i="4"/>
  <c r="B6" i="4"/>
  <c r="D5" i="4"/>
  <c r="F4" i="4"/>
  <c r="B4" i="4"/>
  <c r="D3" i="4"/>
  <c r="F2" i="4"/>
  <c r="B2" i="4"/>
  <c r="G11" i="4"/>
  <c r="C11" i="4"/>
  <c r="E10" i="4"/>
  <c r="G9" i="4"/>
  <c r="C9" i="4"/>
  <c r="E8" i="4"/>
  <c r="G7" i="4"/>
  <c r="C7" i="4"/>
  <c r="E6" i="4"/>
  <c r="G5" i="4"/>
  <c r="C5" i="4"/>
  <c r="E4" i="4"/>
  <c r="G3" i="4"/>
  <c r="C3" i="4"/>
  <c r="E2" i="4"/>
  <c r="F11" i="4"/>
  <c r="B11" i="4"/>
  <c r="D10" i="4"/>
  <c r="F9" i="4"/>
  <c r="B9" i="4"/>
  <c r="D8" i="4"/>
  <c r="F7" i="4"/>
  <c r="B7" i="4"/>
  <c r="D6" i="4"/>
  <c r="F5" i="4"/>
  <c r="B5" i="4"/>
  <c r="D4" i="4"/>
  <c r="F3" i="4"/>
  <c r="B3" i="4"/>
  <c r="D2" i="4"/>
  <c r="E11" i="4"/>
  <c r="G10" i="4"/>
  <c r="C10" i="4"/>
  <c r="E9" i="4"/>
  <c r="G8" i="4"/>
  <c r="C8" i="4"/>
  <c r="E7" i="4"/>
  <c r="G6" i="4"/>
  <c r="C6" i="4"/>
  <c r="E5" i="4"/>
  <c r="G4" i="4"/>
  <c r="C4" i="4"/>
  <c r="E3" i="4"/>
  <c r="G2" i="4"/>
  <c r="G12" i="4" s="1"/>
  <c r="C2" i="4"/>
  <c r="I619" i="3"/>
  <c r="I623" i="3"/>
  <c r="I627" i="3"/>
  <c r="I631" i="3"/>
  <c r="I635" i="3"/>
  <c r="I639" i="3"/>
  <c r="I643" i="3"/>
  <c r="I647" i="3"/>
  <c r="I617" i="3"/>
  <c r="I621" i="3"/>
  <c r="I625" i="3"/>
  <c r="I629" i="3"/>
  <c r="I633" i="3"/>
  <c r="I637" i="3"/>
  <c r="I641" i="3"/>
  <c r="I645" i="3"/>
  <c r="I793" i="3"/>
  <c r="I797" i="3"/>
  <c r="I801" i="3"/>
  <c r="I805" i="3"/>
  <c r="I809" i="3"/>
  <c r="I813" i="3"/>
  <c r="I817" i="3"/>
  <c r="I821" i="3"/>
  <c r="I768" i="3"/>
  <c r="I770" i="3"/>
  <c r="I772" i="3"/>
  <c r="I791" i="3"/>
  <c r="I795" i="3"/>
  <c r="I799" i="3"/>
  <c r="I803" i="3"/>
  <c r="I807" i="3"/>
  <c r="I811" i="3"/>
  <c r="I815" i="3"/>
  <c r="I819" i="3"/>
  <c r="I769" i="3"/>
  <c r="I771" i="3"/>
  <c r="I773" i="3"/>
  <c r="I775" i="3"/>
  <c r="I777" i="3"/>
  <c r="I779" i="3"/>
  <c r="I781" i="3"/>
  <c r="I783" i="3"/>
  <c r="I785" i="3"/>
  <c r="I932" i="3"/>
  <c r="I934" i="3"/>
  <c r="I938" i="3"/>
  <c r="I942" i="3"/>
  <c r="I946" i="3"/>
  <c r="I950" i="3"/>
  <c r="I954" i="3"/>
  <c r="I931" i="3"/>
  <c r="I933" i="3"/>
  <c r="I936" i="3"/>
  <c r="I940" i="3"/>
  <c r="I944" i="3"/>
  <c r="I948" i="3"/>
  <c r="I952" i="3"/>
  <c r="I1125" i="3"/>
  <c r="I1129" i="3"/>
  <c r="I1131" i="3"/>
  <c r="I1146" i="3"/>
  <c r="I1148" i="3"/>
  <c r="I1150" i="3"/>
  <c r="I1152" i="3"/>
  <c r="I1154" i="3"/>
  <c r="I1156" i="3"/>
  <c r="I1158" i="3"/>
  <c r="I1160" i="3"/>
  <c r="I1162" i="3"/>
  <c r="I1164" i="3"/>
  <c r="I1166" i="3"/>
  <c r="I1168" i="3"/>
  <c r="I1170" i="3"/>
  <c r="I1173" i="3"/>
  <c r="I1177" i="3"/>
  <c r="I1181" i="3"/>
  <c r="I1185" i="3"/>
  <c r="I1189" i="3"/>
  <c r="I1193" i="3"/>
  <c r="I1145" i="3"/>
  <c r="I1147" i="3"/>
  <c r="I1149" i="3"/>
  <c r="I1151" i="3"/>
  <c r="I1153" i="3"/>
  <c r="I1155" i="3"/>
  <c r="I1157" i="3"/>
  <c r="I1159" i="3"/>
  <c r="I1161" i="3"/>
  <c r="I1163" i="3"/>
  <c r="I1165" i="3"/>
  <c r="I1167" i="3"/>
  <c r="I1169" i="3"/>
  <c r="I1171" i="3"/>
  <c r="I1175" i="3"/>
  <c r="I1179" i="3"/>
  <c r="I1183" i="3"/>
  <c r="I1187" i="3"/>
  <c r="I1191" i="3"/>
  <c r="I1195" i="3"/>
  <c r="I1390" i="3"/>
  <c r="I1394" i="3"/>
  <c r="I1398" i="3"/>
  <c r="I1402" i="3"/>
  <c r="I1406" i="3"/>
  <c r="I1373" i="3"/>
  <c r="I1375" i="3"/>
  <c r="I1377" i="3"/>
  <c r="I1379" i="3"/>
  <c r="I1381" i="3"/>
  <c r="I1383" i="3"/>
  <c r="I1385" i="3"/>
  <c r="I1388" i="3"/>
  <c r="I1372" i="3"/>
  <c r="I1374" i="3"/>
  <c r="I1376" i="3"/>
  <c r="I1378" i="3"/>
  <c r="I1380" i="3"/>
  <c r="I1382" i="3"/>
  <c r="I1384" i="3"/>
  <c r="I1386" i="3"/>
  <c r="I1389" i="3"/>
  <c r="I1393" i="3"/>
  <c r="I1397" i="3"/>
  <c r="I1401" i="3"/>
  <c r="I1405" i="3"/>
  <c r="I1409" i="3"/>
  <c r="I1453" i="3"/>
  <c r="I1455" i="3"/>
  <c r="I1452" i="3"/>
  <c r="I1454" i="3"/>
  <c r="C17" i="6" l="1"/>
  <c r="E16" i="6"/>
  <c r="C15" i="6"/>
  <c r="E14" i="6"/>
  <c r="C13" i="6"/>
  <c r="E12" i="6"/>
  <c r="C11" i="6"/>
  <c r="E10" i="6"/>
  <c r="C9" i="6"/>
  <c r="E8" i="6"/>
  <c r="C7" i="6"/>
  <c r="E6" i="6"/>
  <c r="C5" i="6"/>
  <c r="E4" i="6"/>
  <c r="C3" i="6"/>
  <c r="F17" i="6"/>
  <c r="B17" i="6"/>
  <c r="G17" i="6" s="1"/>
  <c r="D16" i="6"/>
  <c r="F15" i="6"/>
  <c r="B15" i="6"/>
  <c r="G15" i="6" s="1"/>
  <c r="D14" i="6"/>
  <c r="F13" i="6"/>
  <c r="B13" i="6"/>
  <c r="G13" i="6" s="1"/>
  <c r="D12" i="6"/>
  <c r="F11" i="6"/>
  <c r="B11" i="6"/>
  <c r="G11" i="6" s="1"/>
  <c r="D10" i="6"/>
  <c r="F9" i="6"/>
  <c r="B9" i="6"/>
  <c r="G9" i="6" s="1"/>
  <c r="D8" i="6"/>
  <c r="F7" i="6"/>
  <c r="B7" i="6"/>
  <c r="G7" i="6" s="1"/>
  <c r="D6" i="6"/>
  <c r="F5" i="6"/>
  <c r="B5" i="6"/>
  <c r="G5" i="6" s="1"/>
  <c r="D4" i="6"/>
  <c r="F3" i="6"/>
  <c r="B3" i="6"/>
  <c r="G3" i="6" s="1"/>
  <c r="E17" i="6"/>
  <c r="C16" i="6"/>
  <c r="E15" i="6"/>
  <c r="C14" i="6"/>
  <c r="E13" i="6"/>
  <c r="C12" i="6"/>
  <c r="E11" i="6"/>
  <c r="C10" i="6"/>
  <c r="E9" i="6"/>
  <c r="C8" i="6"/>
  <c r="E7" i="6"/>
  <c r="C6" i="6"/>
  <c r="E5" i="6"/>
  <c r="C4" i="6"/>
  <c r="E3" i="6"/>
  <c r="D17" i="6"/>
  <c r="F16" i="6"/>
  <c r="B16" i="6"/>
  <c r="G16" i="6" s="1"/>
  <c r="D15" i="6"/>
  <c r="F14" i="6"/>
  <c r="B14" i="6"/>
  <c r="G14" i="6" s="1"/>
  <c r="D13" i="6"/>
  <c r="F12" i="6"/>
  <c r="B12" i="6"/>
  <c r="G12" i="6" s="1"/>
  <c r="D11" i="6"/>
  <c r="F10" i="6"/>
  <c r="B10" i="6"/>
  <c r="G10" i="6" s="1"/>
  <c r="D9" i="6"/>
  <c r="F8" i="6"/>
  <c r="B8" i="6"/>
  <c r="G8" i="6" s="1"/>
  <c r="D7" i="6"/>
  <c r="F6" i="6"/>
  <c r="B6" i="6"/>
  <c r="G6" i="6" s="1"/>
  <c r="D5" i="6"/>
  <c r="F4" i="6"/>
  <c r="B4" i="6"/>
  <c r="G4" i="6" s="1"/>
  <c r="D3" i="6"/>
  <c r="B12" i="4"/>
  <c r="C35" i="6"/>
  <c r="D34" i="6"/>
  <c r="E33" i="6"/>
  <c r="F32" i="6"/>
  <c r="B32" i="6"/>
  <c r="C31" i="6"/>
  <c r="D30" i="6"/>
  <c r="E29" i="6"/>
  <c r="F28" i="6"/>
  <c r="B28" i="6"/>
  <c r="C27" i="6"/>
  <c r="D26" i="6"/>
  <c r="E25" i="6"/>
  <c r="F24" i="6"/>
  <c r="B24" i="6"/>
  <c r="C23" i="6"/>
  <c r="D22" i="6"/>
  <c r="E21" i="6"/>
  <c r="F35" i="6"/>
  <c r="B35" i="6"/>
  <c r="C34" i="6"/>
  <c r="D33" i="6"/>
  <c r="E32" i="6"/>
  <c r="F31" i="6"/>
  <c r="B31" i="6"/>
  <c r="C30" i="6"/>
  <c r="D29" i="6"/>
  <c r="E28" i="6"/>
  <c r="F27" i="6"/>
  <c r="B27" i="6"/>
  <c r="C26" i="6"/>
  <c r="D25" i="6"/>
  <c r="E24" i="6"/>
  <c r="F23" i="6"/>
  <c r="B23" i="6"/>
  <c r="C22" i="6"/>
  <c r="D21" i="6"/>
  <c r="E35" i="6"/>
  <c r="F34" i="6"/>
  <c r="B34" i="6"/>
  <c r="C33" i="6"/>
  <c r="D32" i="6"/>
  <c r="E31" i="6"/>
  <c r="F30" i="6"/>
  <c r="B30" i="6"/>
  <c r="C29" i="6"/>
  <c r="D28" i="6"/>
  <c r="E27" i="6"/>
  <c r="F26" i="6"/>
  <c r="B26" i="6"/>
  <c r="C25" i="6"/>
  <c r="D24" i="6"/>
  <c r="E23" i="6"/>
  <c r="F22" i="6"/>
  <c r="B22" i="6"/>
  <c r="C21" i="6"/>
  <c r="D35" i="6"/>
  <c r="E34" i="6"/>
  <c r="F33" i="6"/>
  <c r="B33" i="6"/>
  <c r="C32" i="6"/>
  <c r="D31" i="6"/>
  <c r="E30" i="6"/>
  <c r="F29" i="6"/>
  <c r="B29" i="6"/>
  <c r="C28" i="6"/>
  <c r="D27" i="6"/>
  <c r="E26" i="6"/>
  <c r="F25" i="6"/>
  <c r="B25" i="6"/>
  <c r="C24" i="6"/>
  <c r="D23" i="6"/>
  <c r="E22" i="6"/>
  <c r="F21" i="6"/>
  <c r="B21" i="6"/>
</calcChain>
</file>

<file path=xl/sharedStrings.xml><?xml version="1.0" encoding="utf-8"?>
<sst xmlns="http://schemas.openxmlformats.org/spreadsheetml/2006/main" count="10343" uniqueCount="3700">
  <si>
    <t>Amazon Sales Dataset — Analysis &amp; Dashboard</t>
  </si>
  <si>
    <t>End-to-end Excel project: data cleaning, KPI calculation, and visual dashboard</t>
  </si>
  <si>
    <t>Source data</t>
  </si>
  <si>
    <t>1,465 Amazon.in product listings (Raw_Data sheet) — name, category, prices, discount %, rating, review count.</t>
  </si>
  <si>
    <t>Data cleaning</t>
  </si>
  <si>
    <t>Clean_Data sheet converts currency text (₹, commas) and percentages into real numbers using formulas, and extracts Brand and top-level Category.</t>
  </si>
  <si>
    <t>Brand_Summary</t>
  </si>
  <si>
    <t>Aggregated metrics (avg price, avg discount, avg rating, total reviews) for the 10 most-reviewed brands, built with AVERAGEIF / SUMIF / COUNTIF.</t>
  </si>
  <si>
    <t>Category_Summary</t>
  </si>
  <si>
    <t>Same aggregation rolled up by top-level product category.</t>
  </si>
  <si>
    <t>Top_Products</t>
  </si>
  <si>
    <t>Top 15 products ranked by review volume and by discount %, pulled dynamically with LARGE + INDEX/MATCH.</t>
  </si>
  <si>
    <t>Dashboard</t>
  </si>
  <si>
    <t>KPI cards plus 8 charts (combo, clustered bar, radar, scatter, area, pie, doughnut, ranked bar) summarizing pricing and review patterns.</t>
  </si>
  <si>
    <t>How to refresh</t>
  </si>
  <si>
    <t>Paste new rows into Raw_Data — every formula, summary table and chart recalculates automatically.</t>
  </si>
  <si>
    <t>Product Name</t>
  </si>
  <si>
    <t>Category (Full Path)</t>
  </si>
  <si>
    <t>Discounted Price (raw)</t>
  </si>
  <si>
    <t>Actual Price (raw)</t>
  </si>
  <si>
    <t>Discount % (raw)</t>
  </si>
  <si>
    <t>Rating (raw)</t>
  </si>
  <si>
    <t>Rating Count (raw)</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</si>
  <si>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</si>
  <si>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</si>
  <si>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</si>
  <si>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</si>
  <si>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64%</t>
  </si>
  <si>
    <t>4.2</t>
  </si>
  <si>
    <t>24,269</t>
  </si>
  <si>
    <t>Ambrane Unbreakable 60W / 3A Fast Charging 1.5m Braided Type C Cable for Smartphones, Tablets, Laptops &amp; other Type C devices, PD Technology, 480Mbps Data Sync, Quick Charge 3.0 (RCT15A, Black)</t>
  </si>
  <si>
    <t>₹199</t>
  </si>
  <si>
    <t>₹349</t>
  </si>
  <si>
    <t>43%</t>
  </si>
  <si>
    <t>4.0</t>
  </si>
  <si>
    <t>43,994</t>
  </si>
  <si>
    <t>Sounce Fast Phone Charging Cable &amp; Data Sync USB Cable Compatible for iPhone 13, 12,11, X, 8, 7, 6, 5, iPad Air, Pro, Mini &amp; iOS Devices</t>
  </si>
  <si>
    <t>₹1,899</t>
  </si>
  <si>
    <t>90%</t>
  </si>
  <si>
    <t>3.9</t>
  </si>
  <si>
    <t>7,928</t>
  </si>
  <si>
    <t>boAt Deuce USB 300 2 in 1 Type-C &amp; Micro USB Stress Resistant, Tangle-Free, Sturdy Cable with 3A Fast Charging &amp; 480mbps Data Transmission, 10000+ Bends Lifespan and Extended 1.5m Length(Martian Red)</t>
  </si>
  <si>
    <t>₹329</t>
  </si>
  <si>
    <t>₹699</t>
  </si>
  <si>
    <t>53%</t>
  </si>
  <si>
    <t>94,363</t>
  </si>
  <si>
    <t>Portronics Konnect L 1.2M Fast Charging 3A 8 Pin USB Cable with Charge &amp; Sync Function for iPhone, iPad (Grey)</t>
  </si>
  <si>
    <t>₹154</t>
  </si>
  <si>
    <t>61%</t>
  </si>
  <si>
    <t>16,905</t>
  </si>
  <si>
    <t>pTron Solero TB301 3A Type-C Data and Fast Charging Cable, Made in India, 480Mbps Data Sync, Strong and Durable 1.5-Meter Nylon Braided USB Cable for Type-C Devices for Charging Adapter (Black)</t>
  </si>
  <si>
    <t>₹149</t>
  </si>
  <si>
    <t>₹1,000</t>
  </si>
  <si>
    <t>85%</t>
  </si>
  <si>
    <t>24,871</t>
  </si>
  <si>
    <t>boAt Micro USB 55 Tangle-free, Sturdy Micro USB Cable with 3A Fast Charging &amp; 480mbps Data Transmission (Black)</t>
  </si>
  <si>
    <t>₹176.63</t>
  </si>
  <si>
    <t>₹499</t>
  </si>
  <si>
    <t>65%</t>
  </si>
  <si>
    <t>4.1</t>
  </si>
  <si>
    <t>15,188</t>
  </si>
  <si>
    <t>MI Usb Type-C Cable Smartphone (Black)</t>
  </si>
  <si>
    <t>₹229</t>
  </si>
  <si>
    <t>₹299</t>
  </si>
  <si>
    <t>23%</t>
  </si>
  <si>
    <t>4.3</t>
  </si>
  <si>
    <t>30,411</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</si>
  <si>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</si>
  <si>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</si>
  <si>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</si>
  <si>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50%</t>
  </si>
  <si>
    <t>1,79,691</t>
  </si>
  <si>
    <t>Ambrane Unbreakable 60W / 3A Fast Charging 1.5m Braided Micro USB Cable for Smartphones, Tablets, Laptops &amp; Other Micro USB Devices, 480Mbps Data Sync, Quick Charge 3.0 (RCM15, Black)</t>
  </si>
  <si>
    <t>33%</t>
  </si>
  <si>
    <t>Portronics Konnect L POR-1081 Fast Charging 3A Type-C Cable 1.2Meter with Charge &amp; Sync Function for All Type-C Devices (Grey)</t>
  </si>
  <si>
    <t>₹339</t>
  </si>
  <si>
    <t>55%</t>
  </si>
  <si>
    <t>13,391</t>
  </si>
  <si>
    <t>boAt Rugged v3 Extra Tough Unbreakable Braided Micro USB Cable 1.5 Meter (Black)</t>
  </si>
  <si>
    <t>₹799</t>
  </si>
  <si>
    <t>63%</t>
  </si>
  <si>
    <t>AmazonBasics Flexible Premium HDMI Cable (Black, 4K@60Hz, 18Gbps), 3-Foot</t>
  </si>
  <si>
    <t>Electronics|HomeTheater,TV&amp;Video|Accessories|Cables|HDMICables</t>
  </si>
  <si>
    <t>₹219</t>
  </si>
  <si>
    <t>₹700</t>
  </si>
  <si>
    <t>69%</t>
  </si>
  <si>
    <t>4.4</t>
  </si>
  <si>
    <t>4,26,973</t>
  </si>
  <si>
    <t>Portronics Konnect CL 20W POR-1067 Type-C to 8 Pin USB 1.2M Cable with Power Delivery &amp; 3A Quick Charge Support, Nylon Braided for All Type-C and 8 Pin Devices, Green</t>
  </si>
  <si>
    <t>₹350</t>
  </si>
  <si>
    <t>₹899</t>
  </si>
  <si>
    <t>2,262</t>
  </si>
  <si>
    <t>Portronics Konnect L 1.2M POR-1401 Fast Charging 3A 8 Pin USB Cable with Charge &amp; Sync Function (White)</t>
  </si>
  <si>
    <t>₹159</t>
  </si>
  <si>
    <t>60%</t>
  </si>
  <si>
    <t>4,768</t>
  </si>
  <si>
    <t>MI Braided USB Type-C Cable for Charging Adapter (Red)</t>
  </si>
  <si>
    <t>13%</t>
  </si>
  <si>
    <t>18,757</t>
  </si>
  <si>
    <t>MI 80 cm (32 inches) 5A Series HD Ready Smart Android LED TV L32M7-5AIN (Black)</t>
  </si>
  <si>
    <t>Electronics|HomeTheater,TV&amp;Video|Televisions|SmartTelevisions</t>
  </si>
  <si>
    <t>₹13,999</t>
  </si>
  <si>
    <t>₹24,999</t>
  </si>
  <si>
    <t>44%</t>
  </si>
  <si>
    <t>32,840</t>
  </si>
  <si>
    <t>Ambrane Unbreakable 60W / 3A Fast Charging 1.5m Braided Type C to Type C Cable for Smartphones, Tablets, Laptops &amp; Other Type C Devices, PD Technology, 480Mbps Data Sync (RCTT15, Black)</t>
  </si>
  <si>
    <t>₹249</t>
  </si>
  <si>
    <t>38%</t>
  </si>
  <si>
    <t>boAt Type C A325 Tangle-free, Sturdy Type C Cable with 3A Rapid Charging &amp; 480mbps Data Transmission(Black)</t>
  </si>
  <si>
    <t>13,045</t>
  </si>
  <si>
    <t>LG 80 cm (32 inches) HD Ready Smart LED TV 32LM563BPTC (Dark Iron Gray)</t>
  </si>
  <si>
    <t>₹13,490</t>
  </si>
  <si>
    <t>₹21,990</t>
  </si>
  <si>
    <t>39%</t>
  </si>
  <si>
    <t>11,976</t>
  </si>
  <si>
    <t>Duracell USB Lightning Apple Certified (Mfi) Braided Sync &amp; Charge Cable For Iphone, Ipad And Ipod. Fast Charging Lightning Cable, 3.9 Feet (1.2M) - Black</t>
  </si>
  <si>
    <t>₹970</t>
  </si>
  <si>
    <t>₹1,799</t>
  </si>
  <si>
    <t>46%</t>
  </si>
  <si>
    <t>4.5</t>
  </si>
  <si>
    <t>815</t>
  </si>
  <si>
    <t>tizum HDMI to VGA Adapter Cable 1080P for Projector, Computer, Laptop, TV, Projectors &amp; TV</t>
  </si>
  <si>
    <t>₹279</t>
  </si>
  <si>
    <t>3.7</t>
  </si>
  <si>
    <t>10,962</t>
  </si>
  <si>
    <t>Samsung 80 cm (32 Inches) Wondertainment Series HD Ready LED Smart TV UA32T4340BKXXL (Glossy Black)</t>
  </si>
  <si>
    <t>₹22,900</t>
  </si>
  <si>
    <t>41%</t>
  </si>
  <si>
    <t>16,299</t>
  </si>
  <si>
    <t>Flix Micro Usb Cable For Smartphone (Black)</t>
  </si>
  <si>
    <t>₹59</t>
  </si>
  <si>
    <t>70%</t>
  </si>
  <si>
    <t>9,378</t>
  </si>
  <si>
    <t>Acer 80 cm (32 inches) I Series HD Ready Android Smart LED TV AR32AR2841HDFL (Black)</t>
  </si>
  <si>
    <t>₹11,499</t>
  </si>
  <si>
    <t>₹19,990</t>
  </si>
  <si>
    <t>42%</t>
  </si>
  <si>
    <t>4,703</t>
  </si>
  <si>
    <t>Tizum High Speed HDMI Cable with Ethernet | Supports 3D 4K | for All HDMI Devices Laptop Computer Gaming Console TV Set Top Box (1.5 Meter/ 5 Feet)</t>
  </si>
  <si>
    <t>72%</t>
  </si>
  <si>
    <t>12,153</t>
  </si>
  <si>
    <t>OnePlus 80 cm (32 inches) Y Series HD Ready LED Smart Android TV 32Y1 (Black)</t>
  </si>
  <si>
    <t>₹14,999</t>
  </si>
  <si>
    <t>₹19,999</t>
  </si>
  <si>
    <t>25%</t>
  </si>
  <si>
    <t>34,899</t>
  </si>
  <si>
    <t>Ambrane Unbreakable 3 in 1 Fast Charging Braided Multipurpose Cable for Speaker with 2.1 A Speed - 1.25 meter, Black</t>
  </si>
  <si>
    <t>2,766</t>
  </si>
  <si>
    <t>Duracell USB C To Lightning Apple Certified (Mfi) Braided Sync &amp; Charge Cable For Iphone, Ipad And Ipod. Fast Charging Lightning Cable, 3.9 Feet (1.2M) - Black</t>
  </si>
  <si>
    <t>₹1,999</t>
  </si>
  <si>
    <t>51%</t>
  </si>
  <si>
    <t>184</t>
  </si>
  <si>
    <t>boAt A400 USB Type-C to USB-A 2.0 Male Data Cable, 2 Meter (Black)</t>
  </si>
  <si>
    <t>20,850</t>
  </si>
  <si>
    <t>AmazonBasics USB 2.0 - A-Male to A-Female Extension Cable for Personal Computer, Printer (Black, 9.8 Feet/3 Meters)</t>
  </si>
  <si>
    <t>₹750</t>
  </si>
  <si>
    <t>73%</t>
  </si>
  <si>
    <t>74,976</t>
  </si>
  <si>
    <t>Ambrane 60W / 3A Type C Fast Charging Unbreakable 1.5m L Shaped Braided Cable, PD Technology, 480Mbps Data Transfer for Smartphones, Tablet, Laptops &amp; other type c devices (ABLC10, Black)</t>
  </si>
  <si>
    <t>₹179</t>
  </si>
  <si>
    <t>1,934</t>
  </si>
  <si>
    <t>Zoul USB C 60W Fast Charging 3A 6ft/2M Long Type C Nylon Braided Data Cable Quick Charger Cable QC 3.0 for Samsung Galaxy M31S M30 S10 S9 S20 Plus, Note 10 9 8, A20e A40 A50 A70 (2M, Grey)</t>
  </si>
  <si>
    <t>₹389</t>
  </si>
  <si>
    <t>974</t>
  </si>
  <si>
    <t>Samsung Original Type C to C Cable - 3.28 Feet (1 Meter), White</t>
  </si>
  <si>
    <t>₹599</t>
  </si>
  <si>
    <t>0%</t>
  </si>
  <si>
    <t>355</t>
  </si>
  <si>
    <t>pTron Solero T351 3.5Amps Fast Charging Type-C to Type-C PD Data &amp; Charging USB Cable, Made in India, 480Mbps Data Sync, Durable 1 Meter Long Cable for Type-C Smartphones, Tablets &amp; Laptops (Black)</t>
  </si>
  <si>
    <t>80%</t>
  </si>
  <si>
    <t>1,075</t>
  </si>
  <si>
    <t>pTron Solero MB301 3A Micro USB Data &amp; Charging Cable, Made in India, 480Mbps Data Sync, Strong &amp; Durable 1.5-Meter Nylon Braided USB Cable for Micro USB Devices - (Black)</t>
  </si>
  <si>
    <t>₹99</t>
  </si>
  <si>
    <t>₹666.66</t>
  </si>
  <si>
    <t>Amazonbasics Nylon Braided Usb-C To Lightning Cable, Fast Charging Mfi Certified Smartphone, Iphone Charger (6-Foot, Dark Grey)</t>
  </si>
  <si>
    <t>₹1,900</t>
  </si>
  <si>
    <t>13,552</t>
  </si>
  <si>
    <t>Sounce 65W OnePlus Dash Warp Charge Cable, 6.5A Type-C to USB C PD Data Sync Fast Charging Cable Compatible with One Plus 8T/ 9/ 9R/ 9 pro/ 9RT/ 10R/ Nord &amp; for All Type C Devices – Red, 1 Meter</t>
  </si>
  <si>
    <t>576</t>
  </si>
  <si>
    <t>OnePlus 126 cm (50 inches) Y Series 4K Ultra HD Smart Android LED TV 50Y1S Pro (Black)</t>
  </si>
  <si>
    <t>₹32,999</t>
  </si>
  <si>
    <t>₹45,999</t>
  </si>
  <si>
    <t>28%</t>
  </si>
  <si>
    <t>7,298</t>
  </si>
  <si>
    <t>Duracell Type C To Type C 5A (100W) Braided Sync &amp; Fast Charging Cable, 3.9 Feet (1.2M). USB C to C Cable, Supports PD &amp; QC 3.0 Charging, 5 GBPS Data Transmission – Black</t>
  </si>
  <si>
    <t>462</t>
  </si>
  <si>
    <t>AmazonBasics USB 2.0 Cable - A-Male to B-Male - for Personal Computer, Printer- 6 Feet (1.8 Meters), Black</t>
  </si>
  <si>
    <t>₹209</t>
  </si>
  <si>
    <t>₹695</t>
  </si>
  <si>
    <t>1,07,687</t>
  </si>
  <si>
    <t>Mi 108 cm (43 inches) Full HD Android LED TV 4C | L43M6-INC (Black)</t>
  </si>
  <si>
    <t>₹34,999</t>
  </si>
  <si>
    <t>27,151</t>
  </si>
  <si>
    <t>Wayona Nylon Braided 3A Lightning to USB A Syncing and Fast Charging Data Cable for iPhone, Ipad (3 FT Pack of 1, Black)</t>
  </si>
  <si>
    <t>TP-Link Nano AC600 USB Wi-Fi Adapter(Archer T2U Nano)- 2.4G/5G Dual Band Wireless Network Adapter for PC Desktop Laptop, Mini Travel Size, Supports Windows 11,10, 8.1, 8, 7, XP/Mac OS 10.9-10.15</t>
  </si>
  <si>
    <t>₹1,599</t>
  </si>
  <si>
    <t>12,093</t>
  </si>
  <si>
    <t>FLiX (Beetel USB to Micro USB PVC Data Sync &amp; 2A Fast Charging Cable, Made in India, 480Mbps Data Sync, Solid Cable, 1 Meter Long USB Cable for Micro USB Devices (White)(XCD-M11)</t>
  </si>
  <si>
    <t>Wecool Nylon Braided Multifunction Fast Charging Cable For Android Smartphone, Ios And Type C Usb Devices, 3 In 1 Charging Cable, 3A, (3 Feet) (Black)</t>
  </si>
  <si>
    <t>₹333</t>
  </si>
  <si>
    <t>67%</t>
  </si>
  <si>
    <t>3.3</t>
  </si>
  <si>
    <t>9,792</t>
  </si>
  <si>
    <t>D-Link DWA-131 300 Mbps Wireless Nano USB Adapter (Black)</t>
  </si>
  <si>
    <t>₹507</t>
  </si>
  <si>
    <t>₹1,208</t>
  </si>
  <si>
    <t>58%</t>
  </si>
  <si>
    <t>8,131</t>
  </si>
  <si>
    <t>Amazon Basics High-Speed HDMI Cable, 6 Feet - Supports Ethernet, 3D, 4K video,Black</t>
  </si>
  <si>
    <t>₹309</t>
  </si>
  <si>
    <t>₹475</t>
  </si>
  <si>
    <t>35%</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</si>
  <si>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</si>
  <si>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</si>
  <si>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3.6</t>
  </si>
  <si>
    <t>493</t>
  </si>
  <si>
    <t>Amazonbasics Micro Usb Fast Charging Cable For Android Smartphone,Personal Computer,Printer With Gold Plated Connectors (6 Feet, Black)</t>
  </si>
  <si>
    <t>₹395</t>
  </si>
  <si>
    <t>92,595</t>
  </si>
  <si>
    <t>TP-Link AC600 600 Mbps WiFi Wireless Network USB Adapter for Desktop PC with 2.4GHz/5GHz High Gain Dual Band 5dBi Antenna Wi-Fi, Supports Windows 11/10/8.1/8/7/XP, Mac OS 10.15 and earlier (Archer T2U Plus)</t>
  </si>
  <si>
    <t>₹1,199</t>
  </si>
  <si>
    <t>₹2,199</t>
  </si>
  <si>
    <t>45%</t>
  </si>
  <si>
    <t>24,780</t>
  </si>
  <si>
    <t>AmazonBasics Micro USB Fast Charging Cable for Android Phones with Gold Plated Connectors (3 Feet, Black)</t>
  </si>
  <si>
    <t>₹500</t>
  </si>
  <si>
    <t>AmazonBasics New Release Nylon USB-A to Lightning Cable Cord, Fast Charging MFi Certified Charger for Apple iPhone, iPad (6-Ft, Rose Gold)</t>
  </si>
  <si>
    <t>₹2,100</t>
  </si>
  <si>
    <t>62%</t>
  </si>
  <si>
    <t>8,188</t>
  </si>
  <si>
    <t>VW 80 cm (32 inches) Frameless Series HD Ready LED TV VW32A (Black)</t>
  </si>
  <si>
    <t>Electronics|HomeTheater,TV&amp;Video|Televisions|StandardTelevisions</t>
  </si>
  <si>
    <t>₹6,999</t>
  </si>
  <si>
    <t>₹12,999</t>
  </si>
  <si>
    <t>4,003</t>
  </si>
  <si>
    <t>Ambrane Unbreakable 3A Fast Charging Braided Type C Cable    1.5 Meter (RCT15, Blue) Supports QC 2.0/3.0 Charging</t>
  </si>
  <si>
    <t>314</t>
  </si>
  <si>
    <t>Tata Sky Universal Remote</t>
  </si>
  <si>
    <t>₹230</t>
  </si>
  <si>
    <t>54%</t>
  </si>
  <si>
    <t>2,960</t>
  </si>
  <si>
    <t>TP-LINK WiFi Dongle 300 Mbps Mini Wireless Network USB Wi-Fi Adapter for PC Desktop Laptop(Supports Windows 11/10/8.1/8/7/XP, Mac OS 10.9-10.15 and Linux, WPS, Soft AP Mode, USB 2.0) (TL-WN823N),Black</t>
  </si>
  <si>
    <t>₹649</t>
  </si>
  <si>
    <t>₹1,399</t>
  </si>
  <si>
    <t>OnePlus 80 cm (32 inches) Y Series HD Ready Smart Android LED TV 32 Y1S (Black)</t>
  </si>
  <si>
    <t>₹15,999</t>
  </si>
  <si>
    <t>₹21,999</t>
  </si>
  <si>
    <t>27%</t>
  </si>
  <si>
    <t>Wecool Unbreakable 3 in 1 Charging Cable with 3A Speed, Fast Charging Multi Purpose Cable 1.25 Mtr Long, Type C cable, Micro Usb Cable and Cable for iPhone, White</t>
  </si>
  <si>
    <t>₹348</t>
  </si>
  <si>
    <t>₹1,499</t>
  </si>
  <si>
    <t>77%</t>
  </si>
  <si>
    <t>656</t>
  </si>
  <si>
    <t>Portronics Konnect L 1.2Mtr, Fast Charging 3A Micro USB Cable with Charge &amp; Sync Function (Grey)</t>
  </si>
  <si>
    <t>56%</t>
  </si>
  <si>
    <t>7,064</t>
  </si>
  <si>
    <t>Airtel DigitalTV DTH Television, Setup Box Remote Compatible for SD and HD Recording (Black)</t>
  </si>
  <si>
    <t>78%</t>
  </si>
  <si>
    <t>2,201</t>
  </si>
  <si>
    <t>Samsung 108 cm (43 inches) Crystal 4K Neo Series Ultra HD Smart LED TV UA43AUE65AKXXL (Black)</t>
  </si>
  <si>
    <t>₹32,990</t>
  </si>
  <si>
    <t>₹47,900</t>
  </si>
  <si>
    <t>31%</t>
  </si>
  <si>
    <t>7,109</t>
  </si>
  <si>
    <t>Lapster 1.5 mtr USB 2.0 Type A Male to USB A Male Cable for computer and laptop</t>
  </si>
  <si>
    <t>₹139</t>
  </si>
  <si>
    <t>86%</t>
  </si>
  <si>
    <t>1,313</t>
  </si>
  <si>
    <t>AmazonBasics USB Type-C to USB Type-C 2.0 Cable - 3 Feet Laptop (0.9 Meters) - White</t>
  </si>
  <si>
    <t>₹845</t>
  </si>
  <si>
    <t>29,746</t>
  </si>
  <si>
    <t>Redmi 80 cm (32 inches) Android 11 Series HD Ready Smart LED TV | L32M6-RA/L32M7-RA (Black)</t>
  </si>
  <si>
    <t>45,238</t>
  </si>
  <si>
    <t>Amazon Basics High-Speed HDMI Cable, 6 Feet (2-Pack),Black</t>
  </si>
  <si>
    <t>₹1,400</t>
  </si>
  <si>
    <t>Portronics Konnect L 20W PD Quick Charge Type-C to 8-Pin USB Mobile Charging Cable, 1.2M, Tangle Resistant, Fast Data Sync(Grey)</t>
  </si>
  <si>
    <t>₹263</t>
  </si>
  <si>
    <t>450</t>
  </si>
  <si>
    <t>Acer 80 cm (32 inches) N Series HD Ready TV AR32NSV53HD (Black)</t>
  </si>
  <si>
    <t>₹7,999</t>
  </si>
  <si>
    <t>₹14,990</t>
  </si>
  <si>
    <t>47%</t>
  </si>
  <si>
    <t>457</t>
  </si>
  <si>
    <t>Model-P4 6 Way Swivel Tilt Wall Mount 32-55-inch Full Motion Cantilever for LED,LCD and Plasma TV's</t>
  </si>
  <si>
    <t>Electronics|HomeTheater,TV&amp;Video|Accessories|TVMounts,Stands&amp;Turntables|TVWall&amp;CeilingMounts</t>
  </si>
  <si>
    <t>₹2,999</t>
  </si>
  <si>
    <t>2,727</t>
  </si>
  <si>
    <t>Amazon Basics USB Type-C to USB-A 2.0 Male Fast Charging Cable for Laptop - 3 Feet (0.9 Meters), Black</t>
  </si>
  <si>
    <t>20,053</t>
  </si>
  <si>
    <t>oraimo 65W Type C to C Fast Charging Cable USB C to USB C Cable High Speed Syncing, Nylon Braided 1M length with LED Indicator Compatible For Laptop, Macbook, Samsung Galaxy S22 S20 S10 S20Fe S21 S21 Ultra A70 A51 A71 A50S M31 M51 M31S M53 5G</t>
  </si>
  <si>
    <t>149</t>
  </si>
  <si>
    <t>CEDO 65W OnePlus Dash Warp Charge Cable, USB A to Type C Data Sync Fast Charging Cable Compatible with One Plus 3 /3T /5 /5T /6 /6T /7 /7T /7 pro &amp; for All Type C Devices - 1 Meter, Red</t>
  </si>
  <si>
    <t>210</t>
  </si>
  <si>
    <t>Redmi 108 cm (43 inches) 4K Ultra HD Android Smart LED TV X43 | L43R7-7AIN (Black)</t>
  </si>
  <si>
    <t>₹26,999</t>
  </si>
  <si>
    <t>₹42,999</t>
  </si>
  <si>
    <t>37%</t>
  </si>
  <si>
    <t>Pinnaclz Original Combo of 2 Micro USB Fast Charging Cable, USB Charging Cable for Data Transfer Perfect for Android Smart Phones White 1.2 Meter Made in India (Pack of 2)</t>
  </si>
  <si>
    <t>₹115</t>
  </si>
  <si>
    <t>7,732</t>
  </si>
  <si>
    <t>boAt Type C A750 Stress Resistant, Tangle-free, Sturdy Flat Cable with 6.5A Fast Charging &amp; 480Mbps Data Transmission, 10000+ Bends Lifespan and Extended 1.5m Length(Rebellious Black)</t>
  </si>
  <si>
    <t>1,780</t>
  </si>
  <si>
    <t>Ambrane 2 in 1 Type-C &amp; Micro USB Cable with 60W / 3A Fast Charging, 480 mbps High Data, PD Technology &amp; Quick Charge 3.0, Compatible with All Type-C &amp; Micro USB Devices (ABDC-10, Black)</t>
  </si>
  <si>
    <t>602</t>
  </si>
  <si>
    <t>Ambrane 60W / 3A Fast Charging Output Cable with Type-C to USB for Mobile, Neckband, True Wireless Earphone Charging, 480mbps Data Sync Speed, 1m Length (ACT - AZ10, Black)</t>
  </si>
  <si>
    <t>1,423</t>
  </si>
  <si>
    <t>TCL 80 cm (32 inches) HD Ready Certified Android Smart LED TV 32S5205 (Black)</t>
  </si>
  <si>
    <t>₹10,901</t>
  </si>
  <si>
    <t>₹30,990</t>
  </si>
  <si>
    <t>398</t>
  </si>
  <si>
    <t>SWAPKART Fast Charging Cable and Data Sync USB Cable Compatible for iPhone 6/6S/7/7+/8/8+/10/11, 12, 13 Pro max iPad Air/Mini, iPod and iOS Devices (White)</t>
  </si>
  <si>
    <t>536</t>
  </si>
  <si>
    <t>Firestick Remote</t>
  </si>
  <si>
    <t>₹1,434</t>
  </si>
  <si>
    <t>₹3,999</t>
  </si>
  <si>
    <t>32</t>
  </si>
  <si>
    <t>Wayona Usb Nylon Braided Data Sync And Charging Cable For Iphone, Ipad Tablet (Red, Black)</t>
  </si>
  <si>
    <t>Flix (Beetel) Usb To Type C Pvc Data Sync And 2A 480Mbps Data Sync, Tough Fast Charging Long Cable For Usb Type C Devices, Charging Adapter (White, 1 Meter) - Xcd-C12</t>
  </si>
  <si>
    <t>SKYWALL 81.28 cm (32 inches) HD Ready Smart LED TV 32SWELS-PRO (Black)</t>
  </si>
  <si>
    <t>₹7,299</t>
  </si>
  <si>
    <t>₹19,125</t>
  </si>
  <si>
    <t>3.4</t>
  </si>
  <si>
    <t>902</t>
  </si>
  <si>
    <t>boAt A 350 Type C Cable for Smartphone, Charging Adapter (1.5m, Carbon Black)</t>
  </si>
  <si>
    <t>28,791</t>
  </si>
  <si>
    <t>Wayona Usb Type C Fast Charger Cable Fast Charging Usb C Cable/Cord Compatible For Samsung Galaxy S10E S10 S9 S8 Plus S10+,Note 10 Note 9 Note 8,S20,M31S,M40,Realme X3,Pixel 2 Xl (3 Ft Pack Of 1,Grey)</t>
  </si>
  <si>
    <t>₹325</t>
  </si>
  <si>
    <t>₹1,299</t>
  </si>
  <si>
    <t>75%</t>
  </si>
  <si>
    <t>10,576</t>
  </si>
  <si>
    <t>OnePlus 108 cm (43 inches) Y Series 4K Ultra HD Smart Android LED TV 43Y1S Pro (Black)</t>
  </si>
  <si>
    <t>₹29,999</t>
  </si>
  <si>
    <t>₹39,999</t>
  </si>
  <si>
    <t>Acer 127 cm (50 inches) I Series 4K Ultra HD Android Smart LED TV AR50AR2851UDFL (Black)</t>
  </si>
  <si>
    <t>₹27,999</t>
  </si>
  <si>
    <t>₹40,990</t>
  </si>
  <si>
    <t>32%</t>
  </si>
  <si>
    <t>Samsung 108 cm (43 inches) Crystal 4K Series Ultra HD Smart LED TV UA43AUE60AKLXL (Black)</t>
  </si>
  <si>
    <t>₹52,900</t>
  </si>
  <si>
    <t>Lapster 65W compatible for OnePlus Dash Warp Charge Cable , type c to c cable fast charging Data Sync Cable Compatible with One Plus 10R / 9RT/ 9 pro/ 9R/ 8T/ 9/ Nord &amp; for All Type C Devices – Red, 1 Meter</t>
  </si>
  <si>
    <t>127</t>
  </si>
  <si>
    <t>Wayona Nylon Braided (2 Pack) Lightning Fast Usb Data Cable Fast Charger Cord For Iphone, Ipad Tablet (3 Ft Pack Of 2, Grey)</t>
  </si>
  <si>
    <t>68%</t>
  </si>
  <si>
    <t>Gizga Essentials USB WiFi Adapter for PC, 150 Mbps Wireless Network Adapter for Desktop - Nano Size WiFi Dongle Compatible with Windows, Mac OS &amp; Linux Kernel | WPA/WPA2 Encryption Standards| Black</t>
  </si>
  <si>
    <t>₹269</t>
  </si>
  <si>
    <t>₹800</t>
  </si>
  <si>
    <t>66%</t>
  </si>
  <si>
    <t>10,134</t>
  </si>
  <si>
    <t>OnePlus 108 cm (43 inches) Y Series Full HD Smart Android LED TV 43 Y1S (Black)</t>
  </si>
  <si>
    <t>₹31,999</t>
  </si>
  <si>
    <t>22%</t>
  </si>
  <si>
    <t>boAt Deuce USB 300 2 in 1 Type-C &amp; Micro USB Stress Resistant, Sturdy Cable with 3A Fast Charging &amp; 480mbps Data Transmission, 10000+ Bends Lifespan and Extended 1.5m Length(Mercurial Black)</t>
  </si>
  <si>
    <t>57%</t>
  </si>
  <si>
    <t>Lapster USB 3.0 A to Micro B SuperSpeed for hard disk cable - short cable</t>
  </si>
  <si>
    <t>425</t>
  </si>
  <si>
    <t>TCL 100 cm (40 inches) Full HD Certified Android R Smart LED TV 40S6505 (Black)</t>
  </si>
  <si>
    <t>₹18,990</t>
  </si>
  <si>
    <t>6,659</t>
  </si>
  <si>
    <t>ZEBRONICS ZEB-USB150WF1 WiFi USB Mini Adapter Supports 150 Mbps Wireless Data, Comes with Advanced Security WPA/WPA2 encryption Standards</t>
  </si>
  <si>
    <t>₹290</t>
  </si>
  <si>
    <t>17%</t>
  </si>
  <si>
    <t>1,977</t>
  </si>
  <si>
    <t>LOHAYA Remote Compatible for Mi Smart LED TV 4A Remote Control (32"/43") [ Compatible for Mi Tv Remote Control ] [ Compatible for Mi Smart LED Tv Remote Control ]</t>
  </si>
  <si>
    <t>3.8</t>
  </si>
  <si>
    <t>1,079</t>
  </si>
  <si>
    <t>Gilary Multi Charging Cable, 3 in 1 Nylon Braided Fast Charging Cable for iPhone Micro USB Type C Mobile Phone | Colour May Vary |</t>
  </si>
  <si>
    <t>₹345</t>
  </si>
  <si>
    <t>1,097</t>
  </si>
  <si>
    <t>TP-Link UE300 USB 3.0 to RJ45 Gigabit Ethernet Network Adapter - Plug and Play</t>
  </si>
  <si>
    <t>22,420</t>
  </si>
  <si>
    <t>Wayona Type C to Lightning MFI Certified 20W Fast charging Nylon Braided USB C Cable for iPhone 14, 14 Pro, 14 Pro Max, 14 Plus, 13, 13 Pro, 13 Pro Max, 13 Mini, 12, 12 Pro, 11, 11 Pro Max iPhone 12 Mini, X, 8 (2M, Grey)</t>
  </si>
  <si>
    <t>₹719</t>
  </si>
  <si>
    <t>52%</t>
  </si>
  <si>
    <t>1,045</t>
  </si>
  <si>
    <t>Dealfreez Case Compatible with Fire TV Stick 3rd Gen 2021 Full Wrap Silicone Remote Cover Anti-Lost with Loop (D-Black)</t>
  </si>
  <si>
    <t>4,145</t>
  </si>
  <si>
    <t>Amazon Basics New Release Nylon USB-A to Lightning Cable Cord, Fast Charging MFi Certified Charger for Apple iPhone, iPad (3-Ft, Rose Gold)</t>
  </si>
  <si>
    <t>₹849</t>
  </si>
  <si>
    <t>₹1,809</t>
  </si>
  <si>
    <t>6,547</t>
  </si>
  <si>
    <t>Isoelite Remote Compatible for Samsung LED/LCD Remote Control Works with All Samsung LED/LCD TV Model No :- BN59-607A (Please Match The Image with Your Old Remote)</t>
  </si>
  <si>
    <t>1,588</t>
  </si>
  <si>
    <t>MI 100 cm (40 inches) 5A Series Full HD Smart Android LED TV with 24W Dolby Audio &amp; Metal Bezel-Less Frame (Black) (2022 Model)</t>
  </si>
  <si>
    <t>Wayona Nylon Braided USB Data Sync and Fast Charging 3A Short Power Bank Cable For iPhones, iPad Air, iPad mini, iPod Nano and iPod Touch (Grey)</t>
  </si>
  <si>
    <t>13,120</t>
  </si>
  <si>
    <t>Wayona Type C To Type C Long Fast Charging Cable Type C Charger Cord Compatible With Samsung S22 S20 S20 Fe 2022 S22 Ultra S21 Ultra A70 A51 A53 A33 A73 M51 M31 M33 M53 (Grey, 2M, 65W, 6Ft)</t>
  </si>
  <si>
    <t>2,806</t>
  </si>
  <si>
    <t>Wayona Nylon Braided 2M / 6Ft Fast Charge Usb To Lightning Data Sync And Charging Cable For Iphone, Ipad Tablet (6 Ft Pack Of 1, Grey)</t>
  </si>
  <si>
    <t>₹449</t>
  </si>
  <si>
    <t>CROSSVOLT Compatible Dash/Warp Data Sync Fast Charging Cable Supported for All C Type Devices (Cable)</t>
  </si>
  <si>
    <t>766</t>
  </si>
  <si>
    <t>VU 139 cm (55 inches) The GloLED Series 4K Smart LED Google TV 55GloLED (Grey)</t>
  </si>
  <si>
    <t>₹37,999</t>
  </si>
  <si>
    <t>₹65,000</t>
  </si>
  <si>
    <t>3,587</t>
  </si>
  <si>
    <t>PTron Solero T241 2.4A Type-C Data &amp; Charging USB Cable, Made in India, 480Mbps Data Sync, Durable 1-Meter Long USB Cable for Type-C USB Devices for Charging Adapter (Black)</t>
  </si>
  <si>
    <t>88%</t>
  </si>
  <si>
    <t>Croma 80 cm (32 Inches) HD Ready LED TV (CREL7369, Black) (2021 Model)</t>
  </si>
  <si>
    <t>₹7,390</t>
  </si>
  <si>
    <t>₹20,000</t>
  </si>
  <si>
    <t>2,581</t>
  </si>
  <si>
    <t>boAt Laptop, Smartphone Type-c A400 Male Data Cable (Carbon Black)</t>
  </si>
  <si>
    <t>₹273.10</t>
  </si>
  <si>
    <t>LG 80 cm (32 inches) HD Ready Smart LED TV 32LQ576BPSA (Ceramic Black)</t>
  </si>
  <si>
    <t>₹15,990</t>
  </si>
  <si>
    <t>₹23,990</t>
  </si>
  <si>
    <t>1,035</t>
  </si>
  <si>
    <t>boAt Type C A750 Stress Resistant, Tangle-free, Sturdy Flat Cable with 6.5A Fast Charging &amp; 480Mbps Data Transmission, 10000+ Bends Lifespan and Extended 1.5m Length(Radiant Red)</t>
  </si>
  <si>
    <t>Cotbolt Silicone Protective Case Cover for LG an MR21GA Magic Remote Shockproof for LG Smart TV Remote 2021 Protective Skin Waterproof Anti Lost (Black) (Remote Not Included)</t>
  </si>
  <si>
    <t>505</t>
  </si>
  <si>
    <t>Portronics Konnect L POR-1403 Fast Charging 3A Type-C Cable 1.2 Meter with Charge &amp; Sync Function for All Type-C Devices (White)</t>
  </si>
  <si>
    <t>₹210</t>
  </si>
  <si>
    <t>1,717</t>
  </si>
  <si>
    <t>Electvision Remote Control Compatible with Amazon Fire tv Stick (Pairing Manual Will be Back Side Remote Control)(P)</t>
  </si>
  <si>
    <t>590</t>
  </si>
  <si>
    <t>King Shine Multi Retractable 3.0A Fast Charger Cord, Multiple Charging Cable 4Ft/1.2m 3-in-1 USB Charge Cord Compatible with Phone/Type C/Micro USB for All Android and iOS Smartphones (Random Colour)</t>
  </si>
  <si>
    <t>₹347</t>
  </si>
  <si>
    <t>3.5</t>
  </si>
  <si>
    <t>1,121</t>
  </si>
  <si>
    <t>Lapster 5 pin mini usb cable, usb b cable,camera cable usb2.0 for External HDDS/Card Readers/Camera etc.</t>
  </si>
  <si>
    <t>Portronics Konnect Spydr 31 3-in-1 Multi Functional Cable with 3.0A Output, Tangle Resistant, 1.2M Length, Nylon Braided(Zebra)</t>
  </si>
  <si>
    <t>₹228</t>
  </si>
  <si>
    <t>132</t>
  </si>
  <si>
    <t>Belkin Apple Certified Lightning To Type C Cable, Tough Unbreakable Braided Fast Charging For Iphone, Ipad, Air Pods, 3.3 Feet (1 Meters)    White</t>
  </si>
  <si>
    <t>20%</t>
  </si>
  <si>
    <t>1,951</t>
  </si>
  <si>
    <t>Remote Control Compatible for Amazon Fire Tv Stick Remote Control [ 3rd Gen ](Not Compatible for Fire TV Edition Smart TV) from basesailor</t>
  </si>
  <si>
    <t>37</t>
  </si>
  <si>
    <t>VW 80 cm (32 inches) Playwall Frameless Series HD Ready Android Smart LED TV VW3251 (Black)</t>
  </si>
  <si>
    <t>₹8,499</t>
  </si>
  <si>
    <t>592</t>
  </si>
  <si>
    <t>Hisense 108 cm (43 inches) 4K Ultra HD Smart Certified Android LED TV 43A6GE (Black)</t>
  </si>
  <si>
    <t>₹20,990</t>
  </si>
  <si>
    <t>₹44,990</t>
  </si>
  <si>
    <t>1,259</t>
  </si>
  <si>
    <t>Redmi 126 cm (50 inches) 4K Ultra HD Android Smart LED TV X50 | L50M6-RA (Black)</t>
  </si>
  <si>
    <t>₹44,999</t>
  </si>
  <si>
    <t>AmazonBasics 6-Feet DisplayPort (not USB port) to HDMI Cable Black</t>
  </si>
  <si>
    <t>₹1,700</t>
  </si>
  <si>
    <t>28,638</t>
  </si>
  <si>
    <t>AmazonBasics 3 Feet High Speed HDMI Male to Female 2.0 Extension Cable</t>
  </si>
  <si>
    <t>₹595</t>
  </si>
  <si>
    <t>12,835</t>
  </si>
  <si>
    <t>iFFALCON 80 cm (32 inches) HD Ready Smart LED TV 32F53 (Black)</t>
  </si>
  <si>
    <t>₹9,999</t>
  </si>
  <si>
    <t>₹27,990</t>
  </si>
  <si>
    <t>1,269</t>
  </si>
  <si>
    <t>7SEVEN® Compatible Lg Smart Tv Remote Suitable for Any LG LED OLED LCD UHD Plasma Android Television and AKB75095303 replacement of Original Lg Tv Remote Control</t>
  </si>
  <si>
    <t>284</t>
  </si>
  <si>
    <t>AmazonBasics 3.5mm to 2-Male RCA Adapter Cable For Tablet, Smartphone (Black, 15 feet)</t>
  </si>
  <si>
    <t>Electronics|HomeTheater,TV&amp;Video|Accessories|Cables|RCACables</t>
  </si>
  <si>
    <t>₹489</t>
  </si>
  <si>
    <t>₹1,200</t>
  </si>
  <si>
    <t>59%</t>
  </si>
  <si>
    <t>69,538</t>
  </si>
  <si>
    <t>Acer 109 cm (43 inches) I Series 4K Ultra HD Android Smart LED TV AR43AR2851UDFL (Black)</t>
  </si>
  <si>
    <t>₹23,999</t>
  </si>
  <si>
    <t>₹34,990</t>
  </si>
  <si>
    <t>Wayona Usb Type C 65W 6Ft/2M Long Fast Charging Cable Compatible For Samsung S22 S20 Fe S21 Ultra A33 A53 A01 A73 A70 A51 M33 M53 M51 M31(2M, Black)</t>
  </si>
  <si>
    <t>Saifsmart Outlet Wall Mount Hanger Holder for Dot 3rd Gen, Compact Bracket Case Plug and Built-in Cable Management for Kitchen Bathroom, Bedroom (Black)</t>
  </si>
  <si>
    <t>Electronics|HomeAudio|Accessories|SpeakerAccessories|Mounts</t>
  </si>
  <si>
    <t>3,295</t>
  </si>
  <si>
    <t>MI 2-in-1 USB Type C Cable (Micro USB to Type C) 30cm for Smartphone, Headphone, Laptop (White)</t>
  </si>
  <si>
    <t>40%</t>
  </si>
  <si>
    <t>81</t>
  </si>
  <si>
    <t>AmazonBasics New Release ABS USB-A to Lightning Cable Cord, Fast Charging MFi Certified Charger for Apple iPhone, iPad Tablet (3-Ft, White)</t>
  </si>
  <si>
    <t>₹689</t>
  </si>
  <si>
    <t>₹1,500</t>
  </si>
  <si>
    <t>42,301</t>
  </si>
  <si>
    <t>LG 108 cm (43 inches) 4K Ultra HD Smart LED TV 43UQ7500PSF (Ceramic Black)</t>
  </si>
  <si>
    <t>₹49,990</t>
  </si>
  <si>
    <t>1,376</t>
  </si>
  <si>
    <t>pTron Solero 331 3.4Amps Multifunction Fast Charging Cable, 3-in-1 USB Cable Micro USB/Type-C/iOS, Made in India, Durable &amp; Strong &amp; Tangle-free 118cm in Length (Black)</t>
  </si>
  <si>
    <t>₹931</t>
  </si>
  <si>
    <t>10k 8k 4k HDMI Cable, Certified 48Gbps 1ms Ultra High Speed HDMI 2.1 Cable 4k 120Hz 144Hz 2k 165Hz 8k 60Hz Dynamic HDR ARC eARC DTS:X Compatible for Mac Gaming PC Soundbar TV Monitor Laptop PS5 4 Xbox</t>
  </si>
  <si>
    <t>₹2,399</t>
  </si>
  <si>
    <t>4.6</t>
  </si>
  <si>
    <t>3,664</t>
  </si>
  <si>
    <t>LRIPL Compatible Sony Bravia LCD/led Remote Works with Almost All Sony led/LCD tv's</t>
  </si>
  <si>
    <t>boAt Type-c A400 Type-c to USB A Cable for All Type C Phones (Lg nexus 5x), 1Mtr(Black)</t>
  </si>
  <si>
    <t>Zoul Type C to Type C Fast Charging Cable 65W 2M/6ft USB C Nylon Braided Cord Compatible with MacBook Oneplus 9 9R Samsung Galaxy S21 Ultra S20+ (2M, Black)</t>
  </si>
  <si>
    <t>2,685</t>
  </si>
  <si>
    <t>TP-LINK AC1300 Archer T3U Plus High Gain USB 3.0 Wi-Fi Dongle, Wireless Dual Band MU-MIMO WiFi Adapter with High Gain Antenna, Supports Windows 11/10/8.1/8/7/XP/MacOS</t>
  </si>
  <si>
    <t>₹1,699</t>
  </si>
  <si>
    <t>LRIPL Mi Remote Control with Netflix &amp; Prime Video Button Compatible for Mi 4X LED Android Smart TV 4A Remote Control (32"/43") with Voice Command (Pairing Required)</t>
  </si>
  <si>
    <t>₹655</t>
  </si>
  <si>
    <t>3.2</t>
  </si>
  <si>
    <t>285</t>
  </si>
  <si>
    <t>TP-Link Nano USB WiFi Dongle 150Mbps High Gain Wireless Network Wi-Fi Adapter for PC Desktop and Laptops, Supports Windows 10/8.1/8/7/XP, Linux, Mac OS X (TL-WN722N)</t>
  </si>
  <si>
    <t>₹749</t>
  </si>
  <si>
    <t>₹1,339</t>
  </si>
  <si>
    <t>1,79,692</t>
  </si>
  <si>
    <t>Kodak 80 cm (32 inches) HD Ready Certified Android LED TV 32HDX7XPRO (Black)</t>
  </si>
  <si>
    <t>6,088</t>
  </si>
  <si>
    <t>Airtel DigitalTV DTH Remote SD/HD/HD Recording Compatible for Television (Shining Black )</t>
  </si>
  <si>
    <t>₹195</t>
  </si>
  <si>
    <t>1,383</t>
  </si>
  <si>
    <t>AmazonBasics New Release Nylon USB-A to Lightning Cable Cord, MFi Certified Charger for Apple iPhone, iPad, Silver, 6-Ft</t>
  </si>
  <si>
    <t>5,492</t>
  </si>
  <si>
    <t>Ambrane Fast 100W Output Cable with Type-C to Type-C for Mobile, Laptop, Macbook &amp; Table Charging, 480mbps Data Sync Speed, Braided Cable, 1.5m Length (ABCC-100, Black-Grey)</t>
  </si>
  <si>
    <t>919</t>
  </si>
  <si>
    <t>BlueRigger Digital Optical Audio Toslink Cable (3.3 Feet / 1 Meter) With 8 Channel (7.1) Audio Support (for Home Theatre, Xbox, Playstation etc.)</t>
  </si>
  <si>
    <t>Electronics|HomeTheater,TV&amp;Video|Accessories|Cables|OpticalCables</t>
  </si>
  <si>
    <t>₹416</t>
  </si>
  <si>
    <t>30,023</t>
  </si>
  <si>
    <t>Duracell Type-C To Micro 1.2M braided Sync &amp; Charge Cable, USB C to Micro Fast Charge Compatible for fast data transmission (Black)</t>
  </si>
  <si>
    <t>₹368</t>
  </si>
  <si>
    <t>387</t>
  </si>
  <si>
    <t>VU 138 cm (55 inches) Premium Series 4K Ultra HD Smart IPS LED TV 55UT (Black)</t>
  </si>
  <si>
    <t>₹29,990</t>
  </si>
  <si>
    <t>211</t>
  </si>
  <si>
    <t>Zoul USB Type C Fast Charging 3A Nylon Braided Data Cable Quick Charger Cable QC 3.0 for Samsung Galaxy M31s M30 S10 S9 S20 Plus, Note 10 9 8, A20e A40 A50 A70 (1M, Grey)</t>
  </si>
  <si>
    <t>Samsung 80 cm (32 inches) Wondertainment Series HD Ready LED Smart TV UA32TE40AAKBXL (Titan Gray)</t>
  </si>
  <si>
    <t>₹15,490</t>
  </si>
  <si>
    <t>₹20,900</t>
  </si>
  <si>
    <t>26%</t>
  </si>
  <si>
    <t>MI Xiaomi USB Type C HYperCharge Cable 6A 100cm Sturdy and Durable Black Supports 120W HyperCharging</t>
  </si>
  <si>
    <t>GENERIC Ultra-Mini Bluetooth CSR 4.0 USB Dongle Adapter for Windows Computer ( Black:Golden)</t>
  </si>
  <si>
    <t>4,642</t>
  </si>
  <si>
    <t>7SEVEN® Compatible for Tata Sky Remote Original Set Top HD Box and Suitable for SD Tata Play setup Box Remote Control</t>
  </si>
  <si>
    <t>12</t>
  </si>
  <si>
    <t>Belkin Apple Certified Lightning To Type C Cable, Fast Charging For Iphone, Ipad, Air Pods, 3.3 Feet (1 Meters)    White</t>
  </si>
  <si>
    <t>EGate i9 Pro-Max 1080p Native Full HD Projector 4k Support | 3600 L (330 ANSI ) | 150" (381 cm) Large Screen | VGA, AV, HDMI, SD Card, USB, Audio Out | (E03i31 / E04i32) Black</t>
  </si>
  <si>
    <t>Electronics|HomeTheater,TV&amp;Video|Projectors</t>
  </si>
  <si>
    <t>₹9,490</t>
  </si>
  <si>
    <t>10,480</t>
  </si>
  <si>
    <t>ZEBRONICS HAA2021 HDMI version 2.1 cable with 8K @ 60Hz, 4K @ 120Hz, eARC &amp; CEC support, 3D compatible, 2 meters length, 48Gbps max and Gold-plated connectors</t>
  </si>
  <si>
    <t>₹637</t>
  </si>
  <si>
    <t>24</t>
  </si>
  <si>
    <t>7SEVEN® Compatible for Sony Bravia LCD LED UHD OLED QLED 4K Ultra HD TV remote control with YouTube and NETFLIX Hotkeys. Universal Replacement for Original Sony Smart Android tv Remote Control</t>
  </si>
  <si>
    <t>254</t>
  </si>
  <si>
    <t>AmazonBasics Digital Optical Coax to Analog RCA Audio Converter Adapter with Fiber Cable</t>
  </si>
  <si>
    <t>₹1,089</t>
  </si>
  <si>
    <t>₹1,600</t>
  </si>
  <si>
    <t>3,565</t>
  </si>
  <si>
    <t>Wayona Type C Cable Nylon Braided USB C QC 3.0 Fast Charging Short Power Bank Cable for Samsung Galaxy S10e/S10+/S10/S9/S9+/Note 9/S8/Note 8, LG G7 G5 G6, Moto G6 G7 (0.25M, Black)</t>
  </si>
  <si>
    <t>6,255</t>
  </si>
  <si>
    <t>Pinnaclz Original Combo of 2 USB Type C Fast Charging Cable, USB C Data Cable for Charging and Data Transfer Smart Phones White 1.2 Meter Made in India (Pack of 2)</t>
  </si>
  <si>
    <t>Ambrane BCL-15 Lightning Cable for Smartphone (1.5m Black)</t>
  </si>
  <si>
    <t>57</t>
  </si>
  <si>
    <t>Belkin USB C to USB-C Fast Charging Type C Cable, 60W PD, 3.3 feet (1 meter) for Laptop, Personal Computer, Tablet, Smartphone - Black, USB-IF Certified</t>
  </si>
  <si>
    <t>29%</t>
  </si>
  <si>
    <t>577</t>
  </si>
  <si>
    <t>LOHAYA Television Remote Compatible with Samsung Smart LED/LCD/HD TV Remote Control [ Compatible for All Samsung Tv Remote Control ]</t>
  </si>
  <si>
    <t>1,193</t>
  </si>
  <si>
    <t>Wayona Nylon Braided Lightning USB Data Sync &amp; 3A Charging Cable for iPhones, iPad Air, iPad Mini, iPod Nano and iPod Touch (3 FT Pack of 1, Grey)</t>
  </si>
  <si>
    <t>Electvision Remote Control Compatible with Kodak/Thomson Smart led tv (Without Voice) Before Placing Order for verification Contact Our coustmer Care 7738090464</t>
  </si>
  <si>
    <t>83%</t>
  </si>
  <si>
    <t>343</t>
  </si>
  <si>
    <t>Acer 80 cm (32 inches) S Series HD Ready Android Smart LED TV AR32AR2841HDSB (Black)</t>
  </si>
  <si>
    <t>₹12,499</t>
  </si>
  <si>
    <t>₹22,990</t>
  </si>
  <si>
    <t>1,611</t>
  </si>
  <si>
    <t>realme 10W Fast Charging Micro-USB Cable (Braided, Black)</t>
  </si>
  <si>
    <t>6,558</t>
  </si>
  <si>
    <t>TP-Link AC1300 USB WiFi Adapter (Archer T3U) - 2.4G/5G Dual Band Mini Wireless Network Adapter for PC Desktop, MU-MIMO Wi-Fi Dongle, USB 3.0, Supports Windows 11,10, 8.1, 8, 7, XP/Mac OS 10.15 and earlier</t>
  </si>
  <si>
    <t>₹2,499</t>
  </si>
  <si>
    <t>23,169</t>
  </si>
  <si>
    <t>Acer 139 cm (55 inches) I Series 4K Ultra HD Android Smart LED TV AR55AR2851UDFL (Black)</t>
  </si>
  <si>
    <t>₹47,990</t>
  </si>
  <si>
    <t>Ambrane 60W / 3A Fast Charging Output Cable with Micro to USB for Mobile, Neckband, True Wireless Earphone Charging, 480mbps Data Sync Speed, 1m Length (ACM - AZ1, Black)</t>
  </si>
  <si>
    <t>Wayona USB Type C 65W Fast Charging 2M/6Ft Long Flash Charge Cable 3A QC 3.0 Data Cable Compatible with Samsung Galaxy S21 S10 S9 S8, iQOO Z3, Vivo, Note 10 9 8, A20e A40 A50 A70, Moto G7 G8 (2M, Grey)</t>
  </si>
  <si>
    <t>2,651</t>
  </si>
  <si>
    <t>Syncwire LTG to USB Cable for Fast Charging Compatible with Phone 5/ 5C/ 5S/ 6/ 6S/ 7/8/ X/XR/XS Max/ 11/12/ 13 Series and Pad Air/Mini, Pod &amp; Other Devices (1.1 Meter, White)</t>
  </si>
  <si>
    <t>5.0</t>
  </si>
  <si>
    <t>5</t>
  </si>
  <si>
    <t>Skadioo WiFi Adapter for pc | Car Accessories, WiFi Dongle for pc | USB WiFi Adapter for pc | Wi-Fi Receiver 2.4GHz, 802.11b/g/n UNano Size WiFi Dongle Compatible Adapter,WiFi dongle for pc</t>
  </si>
  <si>
    <t>612</t>
  </si>
  <si>
    <t>FLiX (Beetel USB to Type C PVC Data Sync &amp; 15W(3A) TPE Fast Charging Cable, Made in India, 480Mbps Data Sync, 1 Meter Long cable for all Andriod &amp; all Type C Devices (Black)(XCD - FPC02)</t>
  </si>
  <si>
    <t>₹88</t>
  </si>
  <si>
    <t>71%</t>
  </si>
  <si>
    <t>Zoul USB C to USB C Fast Charging Cable 65W Type C to Type C Nylon Braided Cord Compatible with Macbook Oneplus 9 10R Samsung Galaxy S22 S21 Ultra Z Flip3 Macbook Air/Pro M1 Google Pixel 11'' iPad Pro 2020/2018 (2M, Grey)</t>
  </si>
  <si>
    <t>FLiX (Beetel Flow USB to Micro USB PVC Data Sync &amp; 12W(2.4A) Fast Charging Cable,Made in India,480Mbps Data Sync,Solid Cable,1 Meter Long cable for all Andriod &amp; Micro USB Devices (Black)(XCD-FPM01)</t>
  </si>
  <si>
    <t>₹57.89</t>
  </si>
  <si>
    <t>7SEVEN® Bluetooth Voice Command Remote for Xiaomi Redmi Mi Smart TV with Netflix &amp; Prime Video Hot Keys XMRM-00A</t>
  </si>
  <si>
    <t>Sony TV - Remote Compatible for Sony LED Remote Control Works with Sony LED TV by Trend Trail Speed tech &amp; Remote hi Remote &amp; REO India only</t>
  </si>
  <si>
    <t>₹205</t>
  </si>
  <si>
    <t>313</t>
  </si>
  <si>
    <t>Storite USB 3.0 Cable A to Micro B high Speed Upto 5 Gbps Data Transfer Cable for Portable External Hard Drive - (20cm), Black</t>
  </si>
  <si>
    <t>2,957</t>
  </si>
  <si>
    <t>boAt LTG 500 Apple MFI Certified for iPhone, iPad and iPod 2Mtr Data Cable(Space Grey)</t>
  </si>
  <si>
    <t>15%</t>
  </si>
  <si>
    <t>6,736</t>
  </si>
  <si>
    <t>AmazonBasics USB C to Lightning Aluminum with Nylon Braided MFi Certified Charging Cable (Grey, 1.2 meter)</t>
  </si>
  <si>
    <t>₹949</t>
  </si>
  <si>
    <t>AmazonBasics Double Braided Nylon USB Type-C to Type-C 2.0 Cable Smartphone (Dark Grey, 3 feet)</t>
  </si>
  <si>
    <t>5,451</t>
  </si>
  <si>
    <t>Amazon Basics USB 3.0 Cable - A Male to Micro B - 6 Feet (1.8 Meters), Black</t>
  </si>
  <si>
    <t>₹485</t>
  </si>
  <si>
    <t>10,911</t>
  </si>
  <si>
    <t>AmazonBasics USB C to Lightning Aluminum with Nylon Braided MFi Certified Charging Cable (Grey, 1.8 meter)</t>
  </si>
  <si>
    <t>Wayona Usb C 65W Fast Charging Cable Compatible For Tablets Samsung S22 S20 S10 S20Fe S21 S21 Ultra A70 A51 A71 A50S M31 M51 M31S M53 5G (1M, Black)</t>
  </si>
  <si>
    <t>₹379</t>
  </si>
  <si>
    <t>Karbonn 80 cm (32 inches) Millenium Bezel-Less Series HD Ready Smart LED TV KJW32SKHD (Phantom Black)</t>
  </si>
  <si>
    <t>₹8,990</t>
  </si>
  <si>
    <t>350</t>
  </si>
  <si>
    <t>BlueRigger Digital Optical Audio Toslink Cable (6 Feet / 1.8 Meter) With 8 Channel (7.1) Audio Support (for Home Theatre, Xbox, Playstation etc.)</t>
  </si>
  <si>
    <t>₹486</t>
  </si>
  <si>
    <t>76%</t>
  </si>
  <si>
    <t>VW 60 cm (24 inches) Premium Series HD Ready LED TV VW24A (Black)</t>
  </si>
  <si>
    <t>₹5,699</t>
  </si>
  <si>
    <t>₹11,000</t>
  </si>
  <si>
    <t>48%</t>
  </si>
  <si>
    <t>Amazon Basics USB A to Lightning MFi Certified Charging Cable (White, 1.2 meter)</t>
  </si>
  <si>
    <t>₹709</t>
  </si>
  <si>
    <t>1,78,817</t>
  </si>
  <si>
    <t>Samsung 138 cm (55 inches) Crystal 4K Neo Series Ultra HD Smart LED TV UA55AUE65AKXXL (Black)</t>
  </si>
  <si>
    <t>₹70,900</t>
  </si>
  <si>
    <t>LOHAYA Television Remote Compatible for VU LED LCD HD Tv Remote Control Model No :- EN2B27V</t>
  </si>
  <si>
    <t>490</t>
  </si>
  <si>
    <t>Duracell Micro USB 3A Braided Sync &amp; Fast Charging Cable, 3.9 Feet (1.2M). Supports QC 2.0/3.0 Charging, High Speed Data Transmission - Black</t>
  </si>
  <si>
    <t>₹320</t>
  </si>
  <si>
    <t>491</t>
  </si>
  <si>
    <t>Zebronics CU3100V Fast charging Type C cable with QC 18W support, 3A max capacity, 1 meter braided cable, Data transfer and Superior durability (Braided Black + White)</t>
  </si>
  <si>
    <t>₹549</t>
  </si>
  <si>
    <t>61</t>
  </si>
  <si>
    <t>FLiX (Beetel) USB to iPhone Lightning Textured Pattern Data Sync &amp; 2A Fast Charging Cable, Made in India, 480Mbps Data Sync, Tough Cable, 1 Meter Long USB Cable for Apple Devices (Black)(XCD-L102)</t>
  </si>
  <si>
    <t>₹129</t>
  </si>
  <si>
    <t>MI 108 cm (43 inches) 5A Series Full HD Smart Android LED TV L43M7-EAIN (Black)</t>
  </si>
  <si>
    <t>₹35,999</t>
  </si>
  <si>
    <t>Belkin Apple Certified Lightning to USB Charge and Sync Cable for iPhone, iPad, Air Pods, 39.6 inch (100cm) – Black</t>
  </si>
  <si>
    <t>7,318</t>
  </si>
  <si>
    <t>Time Office Scanner Replacement Cable for Startek FM220U (Type C) Ivory</t>
  </si>
  <si>
    <t>₹225</t>
  </si>
  <si>
    <t>789</t>
  </si>
  <si>
    <t>Caldipree Silicone Case Cover Compatible for 2022 Samsung Smart TV Remote QLED TV BN68-13897A TM2280E (2022-BLACK)</t>
  </si>
  <si>
    <t>₹547</t>
  </si>
  <si>
    <t>82%</t>
  </si>
  <si>
    <t>407</t>
  </si>
  <si>
    <t>Storite USB 2.0 A to Mini 5 pin B Cable for External HDDS/Camera/Card Readers 35cm</t>
  </si>
  <si>
    <t>₹259</t>
  </si>
  <si>
    <t>2,399</t>
  </si>
  <si>
    <t>Universal Remote Control for All Sony TV for All LCD LED and Bravia TVs Remote</t>
  </si>
  <si>
    <t>₹239</t>
  </si>
  <si>
    <t>2,640</t>
  </si>
  <si>
    <t>Cotbolt Silicone Case Cover Compatible for Samsung BN59-01312A QLED 8K 4K Smart TV Remote Shockproof Protective Remote Cover (Black)</t>
  </si>
  <si>
    <t>839</t>
  </si>
  <si>
    <t>BlueRigger High Speed HDMI Cable with Ethernet - Supports 3D, 4K 60Hz and Audio Return - Latest Version (3 Feet / 0.9 Meter)</t>
  </si>
  <si>
    <t>₹467</t>
  </si>
  <si>
    <t>44,054</t>
  </si>
  <si>
    <t>Amkette 30 Pin to USB Charging &amp; Data Sync Cable for iPhone 3G/3GS/4/4s/iPad 1/2/3, iPod Nano 5th/6th Gen and iPod Touch 3rd/4th Gen -1.5m (Black)</t>
  </si>
  <si>
    <t>3,231</t>
  </si>
  <si>
    <t>TCL 80 cm (32 inches) HD Ready Certified Android Smart LED TV 32S615 (Black)</t>
  </si>
  <si>
    <t>₹11,990</t>
  </si>
  <si>
    <t>₹31,990</t>
  </si>
  <si>
    <t>64</t>
  </si>
  <si>
    <t>POPIO Type C Dash Charging USB Data Cable for OnePlus Devices</t>
  </si>
  <si>
    <t>8,314</t>
  </si>
  <si>
    <t>MYVN LTG to USB for Fast Charging &amp; Data Sync USB Cable Compatible for iPhone 5/5s/6/6S/7/7+/8/8+/10/11, iPad Air/Mini, iPod and iOS Devices (1 M)</t>
  </si>
  <si>
    <t>₹252</t>
  </si>
  <si>
    <t>2,249</t>
  </si>
  <si>
    <t>Tata Sky Universal Remote Compatible for SD/HD</t>
  </si>
  <si>
    <t>₹204</t>
  </si>
  <si>
    <t>339</t>
  </si>
  <si>
    <t>WZATCO Pixel | Portable LED Projector | Native 720p with Full HD 1080P Support | 2000 Lumens (200 ANSI) | 176" Large Screen | Projector for Home and Outdoor | Compatible with TV Stick, PC, PS4</t>
  </si>
  <si>
    <t>₹6,490</t>
  </si>
  <si>
    <t>₹9,990</t>
  </si>
  <si>
    <t>27</t>
  </si>
  <si>
    <t>7SEVEN® Compatible Tata Sky Remote Control Replacement of Original dth SD HD tata Play Set top Box Remote - IR Learning Universal Remote for Any Brand TV - Pairing Must</t>
  </si>
  <si>
    <t>₹235</t>
  </si>
  <si>
    <t>197</t>
  </si>
  <si>
    <t>AmazonBasics USB 2.0 Extension Cable for Personal Computer, Printer, 2-Pack - A-Male to A-Female - 3.3 Feet (1 Meter, Black)</t>
  </si>
  <si>
    <t>74,977</t>
  </si>
  <si>
    <t>Amazon Basics USB C to Lightning TPE MFi Certified Charging Cable (White, 1.2 meter)</t>
  </si>
  <si>
    <t>8,583</t>
  </si>
  <si>
    <t>Crypo™ Universal Remote Compatible with Tata Sky Universal HD &amp; SD Set top Box (Also Works with All TV)</t>
  </si>
  <si>
    <t>928</t>
  </si>
  <si>
    <t>Karbonn 80 cm (32 Inches) Millennium Series HD Ready LED TV KJW32NSHDF (Phantom Black) with Bezel-Less Design</t>
  </si>
  <si>
    <t>₹16,990</t>
  </si>
  <si>
    <t>110</t>
  </si>
  <si>
    <t>OnePlus 138.7 cm (55 inches) U Series 4K LED Smart Android TV 55U1S (Black)</t>
  </si>
  <si>
    <t>₹59,999</t>
  </si>
  <si>
    <t>6,753</t>
  </si>
  <si>
    <t>Posh 1.5 Meter High Speed Gold Plated HDMI Male to Female Extension Cable (Black)</t>
  </si>
  <si>
    <t>₹173</t>
  </si>
  <si>
    <t>1,237</t>
  </si>
  <si>
    <t>Amazon Basics HDMI Coupler,Black</t>
  </si>
  <si>
    <t>Electronics|HomeAudio|Accessories|Adapters</t>
  </si>
  <si>
    <t>₹600</t>
  </si>
  <si>
    <t>18,872</t>
  </si>
  <si>
    <t>boAt LTG 550v3 Lightning Apple MFi Certified Cable with Spaceship Grade Aluminium Housing,Stress Resistance, Rapid 2.4A Charging &amp; 480mbps Data Sync, 1m Length &amp; 10000+ Bends Lifespan(Mercurial Black)</t>
  </si>
  <si>
    <t>₹848.99</t>
  </si>
  <si>
    <t>₹1,490</t>
  </si>
  <si>
    <t>356</t>
  </si>
  <si>
    <t>Wayona Nylon Braided Usb Syncing And Charging Cable Sync And Charging Cable For Iphone, Ipad (3 Ft, Black) - Pack Of 2</t>
  </si>
  <si>
    <t>Astigo Compatible Remote for Airtel Digital Set Top Box (Pairing Required with TV Remote)</t>
  </si>
  <si>
    <t>Caprigo Heavy Duty TV Wall Mount Stand for 12 to 27 inches LED/LCD/Monitor Screen's, Full Motion Rotatable Universal TV &amp; Monitor Wall Mount Bracket with Swivel &amp; Tilt Adjustments (Single Arm - M416)</t>
  </si>
  <si>
    <t>1,161</t>
  </si>
  <si>
    <t>Portronics Konnect L 60W PD Type C to Type C Mobile Charging Cable, 1.2M, Fast Data Sync, Tangle Resistant, TPE+Nylon Braided(Grey)</t>
  </si>
  <si>
    <t>1,508</t>
  </si>
  <si>
    <t>TATA SKY HD Connection with 1 month basic package and free installation</t>
  </si>
  <si>
    <t>Electronics|HomeTheater,TV&amp;Video|SatelliteEquipment|SatelliteReceivers</t>
  </si>
  <si>
    <t>₹1,249</t>
  </si>
  <si>
    <t>₹2,299</t>
  </si>
  <si>
    <t>7,636</t>
  </si>
  <si>
    <t>Remote Compatible for Samsung LED/LCD Remote Control Works with Samsung LED/LCD TV by Trend Trail</t>
  </si>
  <si>
    <t>₹213</t>
  </si>
  <si>
    <t>246</t>
  </si>
  <si>
    <t>SoniVision SA-D10 SA-D100 SA-D40 Home Theater Systems Remote Compatible with Sony RM-ANU156</t>
  </si>
  <si>
    <t>479</t>
  </si>
  <si>
    <t>Rts™ High Speed 3D Full HD 1080p Support (10 Meters) HDMI Male to HDMI Male Cable TV Lead 1.4V for All Hdmi Devices- Black (10M - 30 FEET)</t>
  </si>
  <si>
    <t>₹598</t>
  </si>
  <si>
    <t>₹4,999</t>
  </si>
  <si>
    <t>910</t>
  </si>
  <si>
    <t>boAt LTG 500 Apple MFI Certified for iPhone, iPad and iPod 2Mtr Data Cable(Metallic Silver)</t>
  </si>
  <si>
    <t>₹1,749</t>
  </si>
  <si>
    <t>5,626</t>
  </si>
  <si>
    <t>Agaro Blaze USBA to micro +Type C 2in1 Braided 1.2M Cable</t>
  </si>
  <si>
    <t>14,184</t>
  </si>
  <si>
    <t>AmazonBasics 6 Feet DisplayPort to DisplayPort Cable - (Not HDMI Cable) (Gold)</t>
  </si>
  <si>
    <t>Computers&amp;Accessories|Accessories&amp;Peripherals|Cables&amp;Accessories|Cables|DVICables</t>
  </si>
  <si>
    <t>₹1,100</t>
  </si>
  <si>
    <t>25,177</t>
  </si>
  <si>
    <t>MI 108 cm (43 inches) 5X Series 4K Ultra HD LED Smart Android TV L43M6-ES (Grey)</t>
  </si>
  <si>
    <t>₹49,999</t>
  </si>
  <si>
    <t>36%</t>
  </si>
  <si>
    <t>21,252</t>
  </si>
  <si>
    <t>Sansui 140cm (55 inches) 4K Ultra HD Certified Android LED TV with Dolby Audio &amp; Dolby Vision JSW55ASUHD (Mystique Black)</t>
  </si>
  <si>
    <t>₹56,790</t>
  </si>
  <si>
    <t>567</t>
  </si>
  <si>
    <t>LOHAYA LCD/LED Remote Compatible for Sony Bravia Smart LCD LED UHD OLED QLED 4K Ultra HD TV Remote Control with YouTube &amp; Netflix Function [ Compatible for Sony Tv Remote Control ]</t>
  </si>
  <si>
    <t>466</t>
  </si>
  <si>
    <t>Zebronics CU3100V Fast charging Type C cable with QC 18W support, 3A max capacity, 1 meter braided cable, Data transfer and Superior durability (Braided Black )</t>
  </si>
  <si>
    <t>₹128.31</t>
  </si>
  <si>
    <t>Belkin USB C to USB-C Fast Charging Type C Cable, 60W PD, 3.3 feet (1 meter) for Laptop, Personal Computer, Tablet, Smartphone - White, USB-IF Certified</t>
  </si>
  <si>
    <t>474</t>
  </si>
  <si>
    <t>7SEVEN® TCL Remote Control Smart TV RC802V Remote Compatible for TCL TV Remote Original 55EP680 40A325 49S6500 55P8S 55P8 50P8 65P8 40S6500 43S6500FS 49S6800FS 49S6800 49S6510FS(Without Voice Function/Google Assistant and Non-Bluetooth remote)</t>
  </si>
  <si>
    <t>431</t>
  </si>
  <si>
    <t>Wayona 3in1 Nylon Braided 66W USB Fast Charging Cable with Type C, Lightening and Micro USB Port, Compatible with iPhone, iPad, Samsung Galaxy, OnePlus, Mi, Oppo, Vivo, iQOO, Xiaomi (1M, Black)</t>
  </si>
  <si>
    <t>242</t>
  </si>
  <si>
    <t>Hi-Mobiler iPhone Charger Lightning Cable,2 Pack Apple MFi Certified USB iPhone Fast Chargering Cord,Data Sync Transfer for 13/12/11 Pro Max Xs X XR 8 7 6 5 5s iPad iPod More Model Cell Phone Cables</t>
  </si>
  <si>
    <t>₹254</t>
  </si>
  <si>
    <t>2,905</t>
  </si>
  <si>
    <t>Amazon Basics 16-Gauge Speaker Wire - 50 Feet</t>
  </si>
  <si>
    <t>Electronics|HomeTheater,TV&amp;Video|Accessories|Cables|SpeakerCables</t>
  </si>
  <si>
    <t>₹795</t>
  </si>
  <si>
    <t>12,091</t>
  </si>
  <si>
    <t>Ambrane 60W / 3A Fast Charging Output Cable with Type-C to USB for Mobile, Neckband, True Wireless Earphone Charging, 480mbps Data Sync Speed, 1m Length (ACT - AZ10, White)</t>
  </si>
  <si>
    <t>Wayona Usb Type C To Usb Nylon Braided Quick Charger Fast Charging Short Cable For Smartphone (Samsung Galaxy S21/S20/S10/S9/S9+/Note 9/S8/Note 8, Lg G7 G5 G6, Moto G6 G7) (0.25M,Grey)</t>
  </si>
  <si>
    <t>Caprigo Heavy Duty TV Wall Mount Bracket for 14 to 32 Inch LED/HD/Smart TV’s, Universal Fixed TV Wall Mount Stand (M452)</t>
  </si>
  <si>
    <t>1,236</t>
  </si>
  <si>
    <t>Smashtronics® - Case for Firetv Remote, Fire Stick Remote Cover Case, Silicone Cover for TV Firestick 4K/TV 2nd Gen(3rd Gen) Remote Control - Light Weight/Anti Slip/Shockproof (Black)</t>
  </si>
  <si>
    <t>1,335</t>
  </si>
  <si>
    <t>Electvision Remote Control for led Smart tv Compatible with VU Smart Led (Without Voice)</t>
  </si>
  <si>
    <t>Boat A 350 Type C Cable 1.5m(Jet Black)</t>
  </si>
  <si>
    <t>₹798</t>
  </si>
  <si>
    <t>pTron Solero M241 2.4A Micro USB Data &amp; Charging Cable, Made in India, 480Mbps Data Sync, Durable 1-Meter Long USB Cable for Micro USB Devices (White)</t>
  </si>
  <si>
    <t>₹89</t>
  </si>
  <si>
    <t>89%</t>
  </si>
  <si>
    <t>AmazonBasics USB Type-C to USB Type-C 2.0 Cable for Charging Adapter, Smartphone - 9 Feet (2.7 Meters) - White</t>
  </si>
  <si>
    <t>₹995</t>
  </si>
  <si>
    <t>Croma 3A Fast charge 1m Type-C to All Type-C Phones sync and charge cable, Made in India, 480Mbps Data transfer rate, Tested Durability with 8000+ bends (12 months warranty) - CRCMA0106sTC10, Black</t>
  </si>
  <si>
    <t>87%</t>
  </si>
  <si>
    <t>295</t>
  </si>
  <si>
    <t>Sony Bravia 164 cm (65 inches) 4K Ultra HD Smart LED Google TV KD-65X74K (Black)</t>
  </si>
  <si>
    <t>₹77,990</t>
  </si>
  <si>
    <t>₹1,39,900</t>
  </si>
  <si>
    <t>4.7</t>
  </si>
  <si>
    <t>5,935</t>
  </si>
  <si>
    <t>7SEVEN® Compatible for Mi tv Remote Control Original Suitable with Smart Android 4K LED Non Voice Command Xiaomi Redmi Remote of 4A Model 32 43 55 65 inches</t>
  </si>
  <si>
    <t>323</t>
  </si>
  <si>
    <t>7SEVEN® Compatible Vu Smart Tv Remote Control Suitable for Original 4K Android LED Ultra HD UHD Vu Tv Remote with Non Voice Feature without google assistant</t>
  </si>
  <si>
    <t>185</t>
  </si>
  <si>
    <t>Storite High Speed Micro USB 3.0 Cable A to Micro B for External &amp; Desktop Hard Drives 45cm</t>
  </si>
  <si>
    <t>2,117</t>
  </si>
  <si>
    <t>FLiX (Beetel) 3in1 (Type C|Micro|Iphone Lightening) Textured Pattern 3A Fast Charging Cable with QC &amp; PD Support for Type C,Micro USB &amp; Lightning Iphone Cable,Made in India,1.5 Meter Long Cable(T101)</t>
  </si>
  <si>
    <t>₹182</t>
  </si>
  <si>
    <t>SVM Products Unbreakable Set Top Box Stand with Dual Remote Holder (Black)</t>
  </si>
  <si>
    <t>₹96</t>
  </si>
  <si>
    <t>1,796</t>
  </si>
  <si>
    <t>VU 164 cm (65 inches) The GloLED Series 4K Smart LED Google TV 65GloLED (Grey)</t>
  </si>
  <si>
    <t>₹54,990</t>
  </si>
  <si>
    <t>₹85,000</t>
  </si>
  <si>
    <t>CableCreation RCA to 3.5mm Male Audio Cable, 3.5mm to 2RCA Cable Male RCA Cable,Y Splitter Stereo Jack Cable for Home Theater,Subwoofer, Receiver, Speakers and More (3Feet/0.9Meter,Black)</t>
  </si>
  <si>
    <t>₹439</t>
  </si>
  <si>
    <t>₹758</t>
  </si>
  <si>
    <t>4,296</t>
  </si>
  <si>
    <t>Wayona USB Type C Fast Charging Cable Charger Cord 3A QC 3.0 Data Cable Compatible with Samsung Galaxy S10e S10 S9 S8 S20 Plus, Note 10 9 8, M51 A40 A50 A70, Moto G7 G8 (1M, Grey)</t>
  </si>
  <si>
    <t>boAt Rugged V3 Braided Micro USB Cable (Pearl White)</t>
  </si>
  <si>
    <t>Amazon Basics USB A to Lightning PVC Molded Nylon MFi Certified Charging Cable (Black, 1.2 meter)</t>
  </si>
  <si>
    <t>₹789</t>
  </si>
  <si>
    <t>34,540</t>
  </si>
  <si>
    <t>AmazonBasics - High-Speed Male to Female HDMI Extension Cable - 6 Feet</t>
  </si>
  <si>
    <t>8,714</t>
  </si>
  <si>
    <t>Wayona Nylon Braided Usb Type C 3Ft 1M 3A Fast Charger Cable For Samsung Galaxy S9 S8 (Wc3Cb1, Black)</t>
  </si>
  <si>
    <t>Belkin Apple Certified Lightning to USB Charge and Sync Tough Braided Cable for iPhone, iPad, Air Pods, 3.3 feet (1 meters) – Black</t>
  </si>
  <si>
    <t>7SEVEN Compatible LG TV Remote Suitable for LG Non Magic Smart tv Remote Control (Mouse &amp; Voice Non-Support) MR20GA Prime Video and Netflix Hotkeys</t>
  </si>
  <si>
    <t>₹790</t>
  </si>
  <si>
    <t>3.0</t>
  </si>
  <si>
    <t>103</t>
  </si>
  <si>
    <t>Realme Smart TV Stick 4K</t>
  </si>
  <si>
    <t>Electronics|HomeAudio|MediaStreamingDevices|StreamingClients</t>
  </si>
  <si>
    <t>₹4,699</t>
  </si>
  <si>
    <t>224</t>
  </si>
  <si>
    <t>Acer 100 cm (40 inches) P Series Full HD Android Smart LED TV AR40AR2841FDFL (Black)</t>
  </si>
  <si>
    <t>₹18,999</t>
  </si>
  <si>
    <t>₹24,990</t>
  </si>
  <si>
    <t>24%</t>
  </si>
  <si>
    <t>4,702</t>
  </si>
  <si>
    <t>Lapster usb 2.0 mantra cable, mantra mfs 100 data cable (black)</t>
  </si>
  <si>
    <t>85</t>
  </si>
  <si>
    <t>AmazonBasics High-Speed Braided HDMI Cable - 3 Feet - Supports Ethernet, 3D, 4K and Audio Return (Black)</t>
  </si>
  <si>
    <t>₹650</t>
  </si>
  <si>
    <t>35,877</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</si>
  <si>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</si>
  <si>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</si>
  <si>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</si>
  <si>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</si>
  <si>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897</t>
  </si>
  <si>
    <t>KRISONS Thunder Speaker, Multimedia Home Theatre, Floor Standing Speaker, LED Display with Bluetooth, FM, USB, Micro SD Card, AUX Connectivity</t>
  </si>
  <si>
    <t>Electronics|HomeAudio|Speakers|TowerSpeakers</t>
  </si>
  <si>
    <t>282</t>
  </si>
  <si>
    <t>Acer 139 cm (55 inches) H Series 4K Ultra HD Android Smart LED TV AR55AR2851UDPRO (Black)</t>
  </si>
  <si>
    <t>Dealfreez Case Compatible for Fire TV Stick 4K All Alexa Voice Remote Shockproof Silicone Anti-Lost Cover with Loop (C-Black)</t>
  </si>
  <si>
    <t>513</t>
  </si>
  <si>
    <t>Wayona Type C to Lightning MFI Certified 20W Fast charging Nylon Braided USB C Cable for iPhone 14 Pro, 14 Pro Max, 14, 14 Plus, 13, 13 Pro, 13 Pro Max, 13 Mini, 12, 12 Pro, 11, 11 Pro Max, iPhone 12 Mini (2M, Black)</t>
  </si>
  <si>
    <t>VW 80 cm (32 inches) HD Ready Android Smart LED TV VW32PRO (Black)</t>
  </si>
  <si>
    <t>₹8,999</t>
  </si>
  <si>
    <t>6,347</t>
  </si>
  <si>
    <t>Airtel Digital TV HD Set Top Box with 1 Month Basic Pack with Recording + Free Standard Installation</t>
  </si>
  <si>
    <t>₹917</t>
  </si>
  <si>
    <t>3,300</t>
  </si>
  <si>
    <t>LOHAYA Voice Assistant Remote Compatible for Airtel Xstream Set-Top Box Remote Control with Netflix Function (Black) (Non - Voice)</t>
  </si>
  <si>
    <t>23</t>
  </si>
  <si>
    <t>Samsung 138 cm (55 inches) Crystal 4K Series Ultra HD Smart LED TV UA55AUE60AKLXL (Black)</t>
  </si>
  <si>
    <t>₹69,900</t>
  </si>
  <si>
    <t>34%</t>
  </si>
  <si>
    <t>Amazon Brand - Solimo 3A Fast Charging Tough Type C USB Data Cable  – 1 Meter</t>
  </si>
  <si>
    <t>₹119</t>
  </si>
  <si>
    <t>51</t>
  </si>
  <si>
    <t>Mi 100 cm (40 inches) Horizon Edition Full HD Android LED TV 4A | L40M6-EI (Black)</t>
  </si>
  <si>
    <t>Astigo Compatible Remote Control for Mi Smart LED 4A (43"/32")</t>
  </si>
  <si>
    <t>708</t>
  </si>
  <si>
    <t>Toshiba 108 cm (43 inches) V Series Full HD Smart Android LED TV 43V35KP (Silver)</t>
  </si>
  <si>
    <t>1,657</t>
  </si>
  <si>
    <t>Lenovo USB A to Type-C Tangle-free  Aramid fiber braided 1.2m cable with 4A Fast charging &amp; 480 MBPS data transmission, certified 10000+ bend lifespan, Metallic Grey</t>
  </si>
  <si>
    <t>₹417.44</t>
  </si>
  <si>
    <t>₹670</t>
  </si>
  <si>
    <t>523</t>
  </si>
  <si>
    <t>Amazon Brand - Solimo 65W Fast Charging Braided Type C to C Data Cable | Suitable For All Supported Mobile Phones (1 Meter, Black)</t>
  </si>
  <si>
    <t>LG 139 cm (55 inches) 4K Ultra HD Smart LED TV 55UQ7500PSF (Ceramic Black)</t>
  </si>
  <si>
    <t>₹79,990</t>
  </si>
  <si>
    <t>Tata Sky Digital TV HD Setup Box Remote</t>
  </si>
  <si>
    <t>₹215</t>
  </si>
  <si>
    <t>121</t>
  </si>
  <si>
    <t>pTron Solero T241 2.4A Type-C Data &amp; Charging USB Cable, Made in India, 480Mbps Data Sync, Durable 1-Meter Long USB Cable for Smartphone, Type-C USB Devices (White)</t>
  </si>
  <si>
    <t>VU 108 cm (43 inches) Premium Series Full HD Smart LED TV 43GA (Black)</t>
  </si>
  <si>
    <t>₹35,000</t>
  </si>
  <si>
    <t>1,001</t>
  </si>
  <si>
    <t>Storite Super Speed USB 3.0 Male to Male Cable for Hard Drive Enclosures, Laptop Cooling Pad, DVD Players(60cm,Black)</t>
  </si>
  <si>
    <t>112</t>
  </si>
  <si>
    <t>Kodak 80 cm (32 Inches) HD Ready LED TV Kodak 32HDX900S (Black)</t>
  </si>
  <si>
    <t>3,022</t>
  </si>
  <si>
    <t>AmazonBasics Double Braided Nylon USB Type-C to Type-C 2.0 Cable, Charging Adapter, Smartphone 6 feet, Dark Grey</t>
  </si>
  <si>
    <t>₹1,289</t>
  </si>
  <si>
    <t>73</t>
  </si>
  <si>
    <t>AmazonBasics 10.2 Gbps High-Speed 4K HDMI Cable with Braided Cord (10-Foot, Dark Grey)</t>
  </si>
  <si>
    <t>₹609</t>
  </si>
  <si>
    <t>1,029</t>
  </si>
  <si>
    <t>Hisense 126 cm (50 inches) Bezelless Series 4K Ultra HD Smart LED Google TV 50A6H (Black)</t>
  </si>
  <si>
    <t>1,555</t>
  </si>
  <si>
    <t>Tuarso 8K HDMI 2.1 Cable 48Gbps , 1.5 Meter High-Speed Braided HDMI Cable ( 8K@60HZ、4K@120HZ、2K@240HZ ) HDMI 2.1 Cable Compatible with Monitors , Television , Laptops , Projectors , Game Consoles and more with HDMI Ports Device</t>
  </si>
  <si>
    <t>47</t>
  </si>
  <si>
    <t>AmazonBasics USB Type-C to Micro-B 2.0 Cable - 6 Inches (15.2 Centimeters) - White</t>
  </si>
  <si>
    <t>14,896</t>
  </si>
  <si>
    <t>Kodak 139 cm (55 inches) 4K Ultra HD Smart LED TV 55CA0909 (Black)</t>
  </si>
  <si>
    <t>₹50,999</t>
  </si>
  <si>
    <t>1,712</t>
  </si>
  <si>
    <t>7SEVEN® Suitable Sony Tv Remote Original Bravia for Smart Android Television Compatible for Any Model of LCD LED OLED UHD 4K Universal Sony Remote Control</t>
  </si>
  <si>
    <t>214</t>
  </si>
  <si>
    <t>PROLEGEND® PL-T002 Universal TV Stand Table Top for Most 22 to 65 inch LCD Flat Screen TV, VESA up to 800 by 400mm</t>
  </si>
  <si>
    <t>₹1,850</t>
  </si>
  <si>
    <t>₹4,500</t>
  </si>
  <si>
    <t>WANBO X1 Pro (Upgraded) | Native 1080P Full HD | Android 9 | Projector for Home | LED Cinema | 350ANSI | 3900 lumens | WiFi Bluetooth | HDMI ARC | Dolby DTS | 4D Keystone Correction (Global Version)</t>
  </si>
  <si>
    <t>₹13,990</t>
  </si>
  <si>
    <t>₹28,900</t>
  </si>
  <si>
    <t>7</t>
  </si>
  <si>
    <t>Lava Charging Adapter Elements D3 2A Fast Charging Speed Usb Type C Data Cable, White</t>
  </si>
  <si>
    <t>41</t>
  </si>
  <si>
    <t>TIZUM High Speed HDMI Cable Aura -Gold Plated-High Speed Data 10.2Gbps, 3D, 4K, HD 1080P (10 Ft/ 3 M)</t>
  </si>
  <si>
    <t>Technotech High Speed HDMI Cable 5 Meter V1.4 - Supports Full HD 1080p (Color May Vary)</t>
  </si>
  <si>
    <t>₹185</t>
  </si>
  <si>
    <t>25</t>
  </si>
  <si>
    <t>NK STAR 950 Mbps USB WiFi Adapter Wireless Network Receiver Dongle for Desktop Laptop, (Support- Windows XP/7/8/10 &amp; MAC OS) NOt Support to DVR and HDTV</t>
  </si>
  <si>
    <t>₹218</t>
  </si>
  <si>
    <t>163</t>
  </si>
  <si>
    <t>LS LAPSTER Quality Assured USB 2.0 morpho cable, morpho device cable for Mso 1300 E3/E2/E Biometric Finger Print Scanner morpho USB cable (Black)</t>
  </si>
  <si>
    <t>87</t>
  </si>
  <si>
    <t>Amazon Basics 10.2 Gbps High-Speed 4K HDMI Cable with Braided Cord, 1.8 Meter, Dark Grey</t>
  </si>
  <si>
    <t>₹900</t>
  </si>
  <si>
    <t>2,165</t>
  </si>
  <si>
    <t>Kodak 126 cm (50 inches) Bezel-Less Design Series 4K Ultra HD Smart Android LED TV 50UHDX7XPROBL (Black)</t>
  </si>
  <si>
    <t>1,510</t>
  </si>
  <si>
    <t>ZORBES® Wall Adapter Holder for Alexa Echo Dot 4th Generation,A Space-Saving Solution with Cord Management for Your Smart Home Speakers -White (Holder Only)</t>
  </si>
  <si>
    <t>₹893</t>
  </si>
  <si>
    <t>₹1,052</t>
  </si>
  <si>
    <t>106</t>
  </si>
  <si>
    <t>Sansui 80cm (32 inches) HD Ready Smart LED TV JSY32SKHD (BLACK) With Bezel-less Design</t>
  </si>
  <si>
    <t>₹10,990</t>
  </si>
  <si>
    <t>129</t>
  </si>
  <si>
    <t>Synqe USB Type C Fast Charging Cable 2M Charger Cord Data Cable Compatible with Samsung Galaxy M51,Galaxy M31S, S10e S10 S9 S20 Plus, Note10 9 8,M40 A50 A70, Redmi Note 9, Moto G7, Poco F1 (2M, Grey)</t>
  </si>
  <si>
    <t>3,049</t>
  </si>
  <si>
    <t>MI 80 cm (32 inches) HD Ready Smart Android LED TV 5A Pro | L32M7-EAIN (Black)</t>
  </si>
  <si>
    <t>₹16,999</t>
  </si>
  <si>
    <t>₹25,999</t>
  </si>
  <si>
    <t>Bestor ® 8K Hdmi 2.1 Cable 48Gbps 9.80Ft/Ultra High Speed Hdmi Braided Cord For Roku Tv/Ps5/Hdtv/Blu-Ray Projector, Laptop, Television, Personal Computer, Xbox, Ps4, Ps5, Ps4 Pro (1 M, Grey)</t>
  </si>
  <si>
    <t>390</t>
  </si>
  <si>
    <t>Irusu Play VR Plus Virtual Reality Headset with Headphones for Gaming (Black)</t>
  </si>
  <si>
    <t>Electronics|HomeTheater,TV&amp;Video|Accessories|3DGlasses</t>
  </si>
  <si>
    <t>₹2,699</t>
  </si>
  <si>
    <t>₹3,500</t>
  </si>
  <si>
    <t>621</t>
  </si>
  <si>
    <t>Amazon Brand - Solimo Fast Charging Braided Type C Data Cable Seam, Suitable For All Supported Mobile Phones (1 Meter, Black)</t>
  </si>
  <si>
    <t>265</t>
  </si>
  <si>
    <t>Synqe USB C to USB C 60W Nylon Braided Fast Charging Type C to Type C Cable Compatible with Samsung Galaxy Note 20/Ultra, S20 S22 S21 S20 FE A73 A53 A33 (2M, Black)</t>
  </si>
  <si>
    <t>838</t>
  </si>
  <si>
    <t>Shopoflux Silicone Remote Cover for Mi Smart TV and Mi TV Stick/MI Box S / 3S / MI 4X / 4A Smart LED TV (Black)</t>
  </si>
  <si>
    <t>₹246</t>
  </si>
  <si>
    <t>143</t>
  </si>
  <si>
    <t>EYNK Extra Long Micro USB Fast Charging USB Cable | Micro USB Data Cable | Quick Fast Charging Cable | Charger Sync Cable | High Speed Transfer Android Smartphones V8 Cable (2.4 Amp, 3m,) (White)</t>
  </si>
  <si>
    <t>151</t>
  </si>
  <si>
    <t>LUNAGARIYA®, Protective Case Compatible with JIO Settop Box Remote Control,PU Leather Cover Holder (Before Placing Order,Please Compare The Dimensions of The Product with Your Remote)</t>
  </si>
  <si>
    <t>₹247</t>
  </si>
  <si>
    <t>200</t>
  </si>
  <si>
    <t>7SEVEN® Compatible with Fire Tv Stick Remote with Voice Command Feature Suitable for Second Generation Amazon Fire Tv Stick Remote Only - Pairing Must</t>
  </si>
  <si>
    <t>₹1,369</t>
  </si>
  <si>
    <t>227</t>
  </si>
  <si>
    <t>PRUSHTI COVER AND BAGS, Protective Case for Airtel Xstream settop Box Remote Remote Control Pouch Cover Holder PU Leather Cover Holder(only Cover for Selling Purpose)</t>
  </si>
  <si>
    <t>538</t>
  </si>
  <si>
    <t>Aine HDMI Male to VGA Female Video Converter Adapter Cable (Black)</t>
  </si>
  <si>
    <t>171</t>
  </si>
  <si>
    <t>Mi 80 cm (32 inches) HD Ready Android Smart LED TV 4A PRO | L32M5-AL (Black)</t>
  </si>
  <si>
    <t>27,508</t>
  </si>
  <si>
    <t>Storite USB 2.0 A to Mini 5 pin B Cable for External HDDS/Camera/Card Readers (150cm - 1.5M)</t>
  </si>
  <si>
    <t>1,454</t>
  </si>
  <si>
    <t>TCL 108 cm (43 inches) 4K Ultra HD Certified Android Smart LED TV 43P615 (Black)</t>
  </si>
  <si>
    <t>₹51,990</t>
  </si>
  <si>
    <t>2,951</t>
  </si>
  <si>
    <t>REDTECH USB-C to Lightning Cable 3.3FT, [Apple MFi Certified] Lightning to Type C Fast Charging Cord Compatible with iPhone 14/13/13 pro/Max/12/11/X/XS/XR/8, Supports Power Delivery - White</t>
  </si>
  <si>
    <t>OnePlus 163.8 cm (65 inches) U Series 4K LED Smart Android TV 65U1S (Black)</t>
  </si>
  <si>
    <t>₹61,999</t>
  </si>
  <si>
    <t>₹69,999</t>
  </si>
  <si>
    <t>11%</t>
  </si>
  <si>
    <t>AmazonBasics 108 cm (43 inches) 4K Ultra HD Smart LED Fire TV AB43U20PS (Black)</t>
  </si>
  <si>
    <t>₹24,499</t>
  </si>
  <si>
    <t>₹50,000</t>
  </si>
  <si>
    <t>3,518</t>
  </si>
  <si>
    <t>Kodak 80 cm (32 inches) HD Ready Certified Android Smart LED TV 32HDX7XPROBL (Black)</t>
  </si>
  <si>
    <t>₹10,499</t>
  </si>
  <si>
    <t>₹19,499</t>
  </si>
  <si>
    <t>Synqe Type C to Type C Short Fast Charging 60W Cable Compatible with Samsung Galaxy Z Fold3 5G, Z Flip3 5G, S22 5G, S22 Ultra, S21, S20, S20FE, A52, A73, A53 (0.25M, Black)</t>
  </si>
  <si>
    <t>Airtel DigitalTV HD Setup Box Remote</t>
  </si>
  <si>
    <t>₹197</t>
  </si>
  <si>
    <t>136</t>
  </si>
  <si>
    <t>Airtel Digital TV HD Set Top Box with FTA Pack | Unlimited Entertainment + Recording Feature + Free Standard Installation (6 Months Pack)</t>
  </si>
  <si>
    <t>301</t>
  </si>
  <si>
    <t>ESR USB C to Lightning Cable, 10 ft (3 m), MFi-Certified, Braided Nylon Power Delivery Fast Charging for iPhone 14/14 Plus/14 Pro/14 Pro Max, iPhone 13/12/11/X/8 Series, Use with Type-C Chargers, Black</t>
  </si>
  <si>
    <t>₹1,519</t>
  </si>
  <si>
    <t>19,763</t>
  </si>
  <si>
    <t>MI 138.8 cm (55 inches) 5X Series 4K Ultra HD LED Smart Android TV L55M6-ES (Grey)</t>
  </si>
  <si>
    <t>₹46,999</t>
  </si>
  <si>
    <t>Storite USB Extension Cable USB 3.0 Male to Female Extension Cable High Speed 5GBps Extension Cable Data Transfer for Keyboard, Mouse, Flash Drive, Hard Drive, Printer and More- 1.5M - Blue</t>
  </si>
  <si>
    <t>1,902</t>
  </si>
  <si>
    <t>Fire-Boltt Ninja Call Pro Plus 1.83" Smart Watch with Bluetooth Calling, AI Voice Assistance, 100 Sports Modes IP67 Rating, 240*280 Pixel High Resolution</t>
  </si>
  <si>
    <t>Electronics|WearableTechnology|SmartWatches</t>
  </si>
  <si>
    <t>91%</t>
  </si>
  <si>
    <t>13,937</t>
  </si>
  <si>
    <t>Fire-Boltt Phoenix Smart Watch with Bluetooth Calling 1.3",120+ Sports Modes, 240*240 PX High Res with SpO2, Heart Rate Monitoring &amp; IP67 Rating</t>
  </si>
  <si>
    <t>₹1,998</t>
  </si>
  <si>
    <t>27,696</t>
  </si>
  <si>
    <t>boAt Wave Call Smart Watch, Smart Talk with Advanced Dedicated Bluetooth Calling Chip, 1.69” HD Display with 550 NITS &amp; 70% Color Gamut, 150+ Watch Faces, Multi-Sport Modes,HR,SpO2, IP68(Active Black)</t>
  </si>
  <si>
    <t>₹7,990</t>
  </si>
  <si>
    <t>17,831</t>
  </si>
  <si>
    <t>MI Power Bank 3i 20000mAh Lithium Polymer 18W Fast Power Delivery Charging | Input- Type C | Micro USB| Triple Output | Sandstone Black</t>
  </si>
  <si>
    <t>Electronics|Mobiles&amp;Accessories|MobileAccessories|Chargers|PowerBanks</t>
  </si>
  <si>
    <t>₹2,049</t>
  </si>
  <si>
    <t>7%</t>
  </si>
  <si>
    <t>1,78,912</t>
  </si>
  <si>
    <t>Redmi A1 (Light Blue, 2GB RAM, 32GB Storage) | Segment Best AI Dual Cam | 5000mAh Battery | Leather Texture Design | Android 12</t>
  </si>
  <si>
    <t>Electronics|Mobiles&amp;Accessories|Smartphones&amp;BasicMobiles|Smartphones</t>
  </si>
  <si>
    <t>₹6,499</t>
  </si>
  <si>
    <t>7,807</t>
  </si>
  <si>
    <t>OnePlus Nord 2T 5G (Jade Fog, 8GB RAM, 128GB Storage)</t>
  </si>
  <si>
    <t>₹28,999</t>
  </si>
  <si>
    <t>17,415</t>
  </si>
  <si>
    <t>OnePlus Nord 2T 5G (Gray Shadow, 8GB RAM, 128GB Storage)</t>
  </si>
  <si>
    <t>Redmi A1 (Black, 2GB RAM, 32GB Storage) | Segment Best AI Dual Cam | 5000mAh Battery | Leather Texture Design | Android 12</t>
  </si>
  <si>
    <t>Redmi A1 (Light Green, 2GB RAM 32GB ROM) | Segment Best AI Dual Cam | 5000mAh Battery | Leather Texture Design | Android 12</t>
  </si>
  <si>
    <t>SanDisk Ultra® microSDXC™ UHS-I Card, 64GB, 140MB/s R, 10 Y Warranty, for Smartphones</t>
  </si>
  <si>
    <t>Electronics|Accessories|MemoryCards|MicroSD</t>
  </si>
  <si>
    <t>₹569</t>
  </si>
  <si>
    <t>67,259</t>
  </si>
  <si>
    <t>Noise Pulse Go Buzz Smart Watch Bluetooth Calling with 1.69" Display, 550 NITS, 150+ Cloud Watch Face, SPo2, Heart Rate Tracking, 100 Sports Mode with Auto Detection, Longer Battery (Jet Black)</t>
  </si>
  <si>
    <t>₹1,898</t>
  </si>
  <si>
    <t>10,689</t>
  </si>
  <si>
    <t>Nokia 105 Single SIM, Keypad Mobile Phone with Wireless FM Radio | Charcoal</t>
  </si>
  <si>
    <t>Electronics|Mobiles&amp;Accessories|Smartphones&amp;BasicMobiles|BasicMobiles</t>
  </si>
  <si>
    <t>19%</t>
  </si>
  <si>
    <t>1,28,311</t>
  </si>
  <si>
    <t>boAt Wave Lite Smartwatch with 1.69" HD Display, Sleek Metal Body, HR &amp; SpO2 Level Monitor, 140+ Watch Faces, Activity Tracker, Multiple Sports Modes, IP68 &amp; 7 Days Battery Life(Active Black)</t>
  </si>
  <si>
    <t>₹6,990</t>
  </si>
  <si>
    <t>79%</t>
  </si>
  <si>
    <t>21,796</t>
  </si>
  <si>
    <t>JBL C100SI Wired In Ear Headphones with Mic, JBL Pure Bass Sound, One Button Multi-function Remote, Angled Buds for Comfort fit (Black)</t>
  </si>
  <si>
    <t>Electronics|Headphones,Earbuds&amp;Accessories|Headphones|In-Ear</t>
  </si>
  <si>
    <t>1,92,590</t>
  </si>
  <si>
    <t>Samsung Galaxy M04 Dark Blue, 4GB RAM, 64GB Storage | Upto 8GB RAM with RAM Plus | MediaTek Helio P35 | 5000 mAh Battery</t>
  </si>
  <si>
    <t>₹9,499</t>
  </si>
  <si>
    <t>₹11,999</t>
  </si>
  <si>
    <t>21%</t>
  </si>
  <si>
    <t>PTron Tangentbeat in-Ear Bluetooth 5.0 Wireless Headphones with Mic, Enhanced Bass, 10mm Drivers, Clear Calls, Snug-Fit, Fast Charging, Magnetic Buds, Voice Assistant &amp; IPX4 Wireless Neckband (Black)</t>
  </si>
  <si>
    <t>58,162</t>
  </si>
  <si>
    <t>Redmi 10A (Charcoal Black, 4GB RAM, 64GB Storage) | 2 Ghz Octa Core Helio G25 | 5000 mAh Battery | Finger Print Sensor | Upto 5GB RAM with RAM Booster</t>
  </si>
  <si>
    <t>12,796</t>
  </si>
  <si>
    <t>pTron Bullet Pro 36W PD Quick Charger, 3 Port Fast Car Charger Adapter - Compatible with All Smartphones &amp; Tablets (Black)</t>
  </si>
  <si>
    <t>Electronics|Mobiles&amp;Accessories|MobileAccessories|Chargers|AutomobileChargers</t>
  </si>
  <si>
    <t>14,282</t>
  </si>
  <si>
    <t>boAt Bassheads 100 in Ear Wired Earphones with Mic(Taffy Pink)</t>
  </si>
  <si>
    <t>3,63,713</t>
  </si>
  <si>
    <t>SanDisk Ultra® microSDXC™ UHS-I Card, 128GB, 140MB/s R, 10 Y Warranty, for Smartphones</t>
  </si>
  <si>
    <t>₹959</t>
  </si>
  <si>
    <t>₹1,800</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</si>
  <si>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</si>
  <si>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</si>
  <si>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15,970</t>
  </si>
  <si>
    <t>Mi 10000mAH Li-Polymer, Micro-USB and Type C Input Port, Power Bank 3i with 18W Fast Charging (Midnight Black)</t>
  </si>
  <si>
    <t>₹1,149</t>
  </si>
  <si>
    <t>ELV Car Mount Adjustable Car Phone Holder Universal Long Arm, Windshield for Smartphones - Black</t>
  </si>
  <si>
    <t>Electronics|Mobiles&amp;Accessories|MobileAccessories|AutomobileAccessories|Cradles</t>
  </si>
  <si>
    <t>46,399</t>
  </si>
  <si>
    <t>Samsung 25W USB Travel Adapter for Cellular Phones - White</t>
  </si>
  <si>
    <t>Electronics|Mobiles&amp;Accessories|MobileAccessories|Chargers|WallChargers</t>
  </si>
  <si>
    <t>₹1,219</t>
  </si>
  <si>
    <t>8,891</t>
  </si>
  <si>
    <t>Noise ColorFit Pulse Grand Smart Watch with 1.69"(4.29cm) HD Display, 60 Sports Modes, 150 Watch Faces, Fast Charge, Spo2, Stress, Sleep, Heart Rate Monitoring &amp; IP68 Waterproof (Jet Black)</t>
  </si>
  <si>
    <t>30,254</t>
  </si>
  <si>
    <t>Fire-Boltt Ninja 3 Smartwatch Full Touch 1.69 &amp; 60 Sports Modes with IP68, Sp02 Tracking, Over 100 Cloud based watch faces - Black</t>
  </si>
  <si>
    <t>81%</t>
  </si>
  <si>
    <t>22,636</t>
  </si>
  <si>
    <t>Samsung Galaxy M33 5G (Mystique Green, 8GB, 128GB Storage) | 6000mAh Battery | Upto 16GB RAM with RAM Plus | Travel Adapter to be Purchased Separately</t>
  </si>
  <si>
    <t>₹18,499</t>
  </si>
  <si>
    <t>22,318</t>
  </si>
  <si>
    <t>SanDisk Ultra microSD UHS-I Card 32GB, 120MB/s R</t>
  </si>
  <si>
    <t>₹369</t>
  </si>
  <si>
    <t>Samsung Galaxy M13 (Aqua Green, 6GB, 128GB Storage) | 6000mAh Battery | Upto 12GB RAM with RAM Plus</t>
  </si>
  <si>
    <t>₹17,999</t>
  </si>
  <si>
    <t>18,998</t>
  </si>
  <si>
    <t>Fire-Boltt India's No 1 Smartwatch Brand Talk 2 Bluetooth Calling Smartwatch with Dual Button, Hands On Voice Assistance, 60 Sports Modes, in Built Mic &amp; Speaker with IP68 Rating</t>
  </si>
  <si>
    <t>29,471</t>
  </si>
  <si>
    <t>Samsung Galaxy M33 5G (Emerald Brown, 6GB, 128GB Storage) | 6000mAh Battery | Upto 12GB RAM with RAM Plus | Travel Adapter to be Purchased Separately</t>
  </si>
  <si>
    <t>iQOO vivo Z6 5G (Chromatic Blue, 6GB RAM, 128GB Storage) | Snapdragon 695-6nm Processor | 120Hz FHD+ Display | 5000mAh Battery</t>
  </si>
  <si>
    <t>₹16,499</t>
  </si>
  <si>
    <t>₹20,999</t>
  </si>
  <si>
    <t>21,350</t>
  </si>
  <si>
    <t>24,270</t>
  </si>
  <si>
    <t>Redmi 9 Activ (Carbon Black, 4GB RAM, 64GB Storage) | Octa-core Helio G35 | 5000 mAh Battery</t>
  </si>
  <si>
    <t>₹10,999</t>
  </si>
  <si>
    <t>3,13,836</t>
  </si>
  <si>
    <t>Redmi 9A Sport (Coral Green, 2GB RAM, 32GB Storage) | 2GHz Octa-core Helio G25 Processor | 5000 mAh Battery</t>
  </si>
  <si>
    <t>Redmi 10A (Sea Blue, 4GB RAM, 64GB Storage) | 2 Ghz Octa Core Helio G25 | 5000 mAh Battery | Finger Print Sensor | Upto 5GB RAM with RAM Booster</t>
  </si>
  <si>
    <t>AGARO Blaze USB 3.0 to USB Type C OTG Adapter</t>
  </si>
  <si>
    <t>Electronics|Mobiles&amp;Accessories|MobileAccessories|Cables&amp;Adapters|OTGAdapters</t>
  </si>
  <si>
    <t>₹495</t>
  </si>
  <si>
    <t>14,185</t>
  </si>
  <si>
    <t>Fire-Boltt Visionary 1.78" AMOLED Bluetooth Calling Smartwatch with 368*448 Pixel Resolution 100+ Sports Mode, TWS Connection, Voice Assistance, SPO2 &amp; Heart Rate Monitoring</t>
  </si>
  <si>
    <t>17,159</t>
  </si>
  <si>
    <t>Noise ColorFit Pro 4 Advanced Bluetooth Calling Smart Watch with 1.72" TruView Display, Fully-Functional Digital Crown, 311 PPI, 60Hz Refresh Rate, 500 NITS Brightness (Charcoal Black)</t>
  </si>
  <si>
    <t>₹2,998</t>
  </si>
  <si>
    <t>₹5,999</t>
  </si>
  <si>
    <t>5,179</t>
  </si>
  <si>
    <t>43,993</t>
  </si>
  <si>
    <t>iQOO Z6 Lite 5G by vivo (Stellar Green, 6GB RAM, 128GB Storage) | World's First Snapdragon 4 Gen 1 | 120Hz Refresh Rate | 5000mAh Battery | Travel Adapter to be Purchased Separately</t>
  </si>
  <si>
    <t>₹15,499</t>
  </si>
  <si>
    <t>18%</t>
  </si>
  <si>
    <t>19,252</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</si>
  <si>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</si>
  <si>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</si>
  <si>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₹873</t>
  </si>
  <si>
    <t>49%</t>
  </si>
  <si>
    <t>1,680</t>
  </si>
  <si>
    <t>realme narzo 50 (Speed Blue, 4GB RAM+64GB Storage) Helio G96 Processor | 50MP AI Triple Camera | 120Hz Ultra Smooth Display</t>
  </si>
  <si>
    <t>13,246</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</si>
  <si>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</si>
  <si>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</si>
  <si>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</si>
  <si>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14,648</t>
  </si>
  <si>
    <t>OPPO A74 5G (Fantastic Purple,6GB RAM,128GB Storage) with No Cost EMI/Additional Exchange Offers</t>
  </si>
  <si>
    <t>32,916</t>
  </si>
  <si>
    <t>Redmi Note 11 Pro + 5G (Stealth Black, 6GB RAM, 128GB Storage) | 67W Turbo Charge | 120Hz Super AMOLED Display | Additional Exchange Offers | Charger Included</t>
  </si>
  <si>
    <t>25,824</t>
  </si>
  <si>
    <t>Samsung Original 25W USB Travel Lightning Adapter for Cellular Phones, Black</t>
  </si>
  <si>
    <t>₹1,075</t>
  </si>
  <si>
    <t>7,462</t>
  </si>
  <si>
    <t>realme Buds Classic Wired in Ear Earphones with Mic (Black)</t>
  </si>
  <si>
    <t>37,817</t>
  </si>
  <si>
    <t>Noise ColorFit Pulse Grand Smart Watch with 1.69" HD Display, 60 Sports Modes, 150 Watch Faces, Spo2 Monitoring, Call Notification, Quick Replies to Text &amp; Calls (Rose Pink)</t>
  </si>
  <si>
    <t>₹3,990</t>
  </si>
  <si>
    <t>boAt Wave Call Smart Watch, Smart Talk with Advanced Dedicated Bluetooth Calling Chip, 1.69” HD Display with 550 NITS &amp; 70% Color Gamut, 150+ Watch Faces, Multi-Sport Modes, HR, SpO2, IP68(Mauve)</t>
  </si>
  <si>
    <t>94,364</t>
  </si>
  <si>
    <t>iQOO Neo 6 5G (Dark Nova, 8GB RAM, 128GB Storage) | Snapdragon® 870 5G | 80W FlashCharge</t>
  </si>
  <si>
    <t>20,311</t>
  </si>
  <si>
    <t>boAt Xtend Smartwatch with Alexa Built-in, 1.69” HD Display, Multiple Watch Faces, Stress Monitor, Heart &amp; SpO2 Monitoring, 14 Sports Modes, Sleep Monitor, 5 ATM &amp; 7 Days Battery(Charcoal Black)</t>
  </si>
  <si>
    <t>69,622</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</si>
  <si>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</si>
  <si>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</si>
  <si>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3,382</t>
  </si>
  <si>
    <t>Samsung EVO Plus 128GB microSDXC UHS-I U3 130MB/s Full HD &amp; 4K UHD Memory Card with Adapter (MB-MC128KA), Blue</t>
  </si>
  <si>
    <t>1,40,036</t>
  </si>
  <si>
    <t>Portronics Adapto 20 Type C 20W Fast PD/Type C Adapter Charger with Fast Charging for iPhone 12/12 Pro/12 Mini/12 Pro Max/11/XS/XR/X/8/Plus, iPad Pro/Air/Mini, Galaxy 10/9/8 (Adapter Only) White</t>
  </si>
  <si>
    <t>₹529</t>
  </si>
  <si>
    <t>8,599</t>
  </si>
  <si>
    <t>Samsung Galaxy M13 5G (Aqua Green, 6GB, 128GB Storage) | 5000mAh Battery | Upto 12GB RAM with RAM Plus</t>
  </si>
  <si>
    <t>boAt Bassheads 100 in Ear Wired Earphones with Mic(Furious Red)</t>
  </si>
  <si>
    <t>iQOO Z6 44W by vivo (Lumina Blue, 4GB RAM, 128GB Storage) | 6.44" FHD+ AMOLED Display | 50% Charge in just 27 mins | in-Display Fingerprint Scanning</t>
  </si>
  <si>
    <t>30%</t>
  </si>
  <si>
    <t>Fire-Boltt Gladiator 1.96" Biggest Display Smart Watch with Bluetooth Calling, Voice Assistant &amp;123 Sports Modes, 8 Unique UI Interactions, SpO2, 24/7 Heart Rate Tracking</t>
  </si>
  <si>
    <t>24,870</t>
  </si>
  <si>
    <t>STRIFF PS2_01 Multi Angle Mobile/Tablet Tabletop Stand. Phone Holder for iPhone, Android, Samsung, OnePlus, Xiaomi. Portable, Foldable Cell Phone Stand. Perfect for Bed, Office, Home &amp; Desktop (Black)</t>
  </si>
  <si>
    <t>Electronics|Mobiles&amp;Accessories|MobileAccessories|Stands</t>
  </si>
  <si>
    <t>42,641</t>
  </si>
  <si>
    <t>Samsung Galaxy Buds Live Bluetooth Truly Wireless in Ear Earbuds with Mic, Upto 21 Hours Playtime, Mystic Black</t>
  </si>
  <si>
    <t>₹4,790</t>
  </si>
  <si>
    <t>4,390</t>
  </si>
  <si>
    <t>OnePlus Nord 2T 5G (Jade Fog, 12GB RAM, 256GB Storage)</t>
  </si>
  <si>
    <t>₹33,999</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</si>
  <si>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</si>
  <si>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</si>
  <si>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1,396</t>
  </si>
  <si>
    <t>PTron Boom Ultima 4D Dual Driver, in-Ear Gaming Wired Headphones with in-line Mic, Volume Control &amp; Passive Noise Cancelling Boom 3 Earphones - (Dark Blue)</t>
  </si>
  <si>
    <t>84%</t>
  </si>
  <si>
    <t>18,202</t>
  </si>
  <si>
    <t>Samsung Galaxy M13 (Aqua Green, 4GB, 64GB Storage) | 6000mAh Battery | Upto 8GB RAM with RAM Plus</t>
  </si>
  <si>
    <t>OnePlus 10R 5G (Forest Green, 8GB RAM, 128GB Storage, 80W SuperVOOC)</t>
  </si>
  <si>
    <t>₹38,999</t>
  </si>
  <si>
    <t>10%</t>
  </si>
  <si>
    <t>11,029</t>
  </si>
  <si>
    <t>Ambrane Mobile Holding Stand, 180° Perfect View, Height Adjustment, Wide Compatibility, Multipurpose, Anti-Skid Design (Twistand, Black)</t>
  </si>
  <si>
    <t>1,786</t>
  </si>
  <si>
    <t>Ambrane 10000mAh Slim Power Bank, 20W Fast Charging, Dual Output, Type C PD (Input &amp; Output), Quick Charge, Li-Polymer, Multi-Layer Protection for iPhone, Anrdoid &amp; Other Devices (Stylo 10K, Black)</t>
  </si>
  <si>
    <t>7,222</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</si>
  <si>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</si>
  <si>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</si>
  <si>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83,996</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</si>
  <si>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</si>
  <si>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</si>
  <si>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18,678</t>
  </si>
  <si>
    <t>15,189</t>
  </si>
  <si>
    <t>Samsung Galaxy M13 (Midnight Blue, 4GB, 64GB Storage) | 6000mAh Battery | Upto 8GB RAM with RAM Plus</t>
  </si>
  <si>
    <t>boAt Xtend Smartwatch with Alexa Built-in, 1.69” HD Display, Multiple Watch Faces, Stress Monitor, Heart &amp; SpO2 Monitoring, 14 Sports Modes, Sleep Monitor, 5 ATM &amp; 7 Days Battery(Pitch Black)</t>
  </si>
  <si>
    <t>48,449</t>
  </si>
  <si>
    <t>boAt Wave Call Smart Watch, Smart Talk with Advanced Dedicated Bluetooth Calling Chip, 1.69” HD Display with 550 NITS &amp; 70% Color Gamut, 150+ Watch Faces, Multi-Sport Modes, HR, SpO2, IP68(Deep Blue)</t>
  </si>
  <si>
    <t>MI Xiaomi 22.5W Fast USB Type C Charger Combo for Tablets - White</t>
  </si>
  <si>
    <t>1,315</t>
  </si>
  <si>
    <t>Gizga Essentials Spiral Cable Protector Cord Saver for Mac Charger, iPhone Charger, Wire Protector, Lightweight Durable Flexible Wire Winder for Charging Cables, Data Cables, Earphones, Pack of 10</t>
  </si>
  <si>
    <t>Electronics|Mobiles&amp;Accessories|MobileAccessories|Décor</t>
  </si>
  <si>
    <t>5,999</t>
  </si>
  <si>
    <t>Redmi Note 11 (Space Black, 4GB RAM, 64GB Storage)|90Hz FHD+ AMOLED Display | Qualcomm® Snapdragon™ 680-6nm | 33W Charger Included</t>
  </si>
  <si>
    <t>50,772</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</si>
  <si>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</si>
  <si>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</si>
  <si>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14,404</t>
  </si>
  <si>
    <t>Goldmedal Curve Plus 202042 Plastic Spice 3-Pin 240V Universal Travel Adaptor (White)</t>
  </si>
  <si>
    <t>₹171</t>
  </si>
  <si>
    <t>11,339</t>
  </si>
  <si>
    <t>WeCool C1 Car Mobile Holder with One Click Technology,360° Rotational, Strong Suction Cup,Compatible with 4 to 6 Inch Devices, Wildshield and Dashboard Mobile Holder for Car, and Use</t>
  </si>
  <si>
    <t>3,626</t>
  </si>
  <si>
    <t>HP 32GB Class 10 MicroSD Memory Card (U1 TF Card 32GB)</t>
  </si>
  <si>
    <t>32,625</t>
  </si>
  <si>
    <t>iQOO Z6 44W by vivo (Lumina Blue, 6GB RAM, 128GB Storage) | 6.44" FHD+ AMOLED Display | 50% Charge in just 27 mins | in-Display Fingerprint Scanning</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</si>
  <si>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</si>
  <si>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</si>
  <si>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₹22,999</t>
  </si>
  <si>
    <t>boAt Bassheads 242 in Ear Wired Earphones with Mic(Active Black)</t>
  </si>
  <si>
    <t>1,61,679</t>
  </si>
  <si>
    <t>Portronics MODESK POR-122 Universal Mobile Tabletop Holder (Black)</t>
  </si>
  <si>
    <t>₹134</t>
  </si>
  <si>
    <t>16,685</t>
  </si>
  <si>
    <t>realme narzo 50i (Mint Green, 2GB RAM+32GB Storage) Octa Core Processor | 6.5" inch Large Display</t>
  </si>
  <si>
    <t>₹7,499</t>
  </si>
  <si>
    <t>6%</t>
  </si>
  <si>
    <t>30,907</t>
  </si>
  <si>
    <t>MI 10000mAh 3i Lithium Polymer Power Bank Dual Input(Micro-USB and Type C) and Output Ports 18W Fast Charging (Metallic Blue)</t>
  </si>
  <si>
    <t>Nokia 105 Plus Single SIM, Keypad Mobile Phone with Wireless FM Radio, Memory Card Slot and MP3 Player | Red</t>
  </si>
  <si>
    <t>₹1,324</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</si>
  <si>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</si>
  <si>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</si>
  <si>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Samsung Galaxy M13 (Stardust Brown, 6GB, 128GB Storage) | 6000mAh Battery | Upto 12GB RAM with RAM Plus</t>
  </si>
  <si>
    <t>OPPO A74 5G (Fluid Black, 6GB RAM, 128GB Storage) with No Cost EMI/Additional Exchange Offers</t>
  </si>
  <si>
    <t>Spigen EZ Fit Tempered Glass Screen Protector Guard for iPhone 14/13/13 Pro - 2 Pack</t>
  </si>
  <si>
    <t>Electronics|Mobiles&amp;Accessories|MobileAccessories|Maintenance,Upkeep&amp;Repairs|ScreenProtectors</t>
  </si>
  <si>
    <t>₹2,899</t>
  </si>
  <si>
    <t>26,603</t>
  </si>
  <si>
    <t>Noise ColorFit Pulse Smartwatch with 3.56 cm (1.4") Full Touch HD Display, SpO2, Heart Rate, Sleep Monitors &amp; 10-Day Battery - Jet Black</t>
  </si>
  <si>
    <t>67,950</t>
  </si>
  <si>
    <t>Nokia 105 Plus Single SIM, Keypad Mobile Phone with Wireless FM Radio, Memory Card Slot and MP3 Player | Charcoal</t>
  </si>
  <si>
    <t>iQOO Z6 Pro 5G by vivo (Legion Sky, 8GB RAM, 128GB Storage) | Snapdragon 778G 5G | 66W FlashCharge | 1300 nits Peak Brightness | HDR10+</t>
  </si>
  <si>
    <t>9,499</t>
  </si>
  <si>
    <t>MI 33W SonicCharge 2.0 USB Charger for Cellular Phones - White</t>
  </si>
  <si>
    <t>1,777</t>
  </si>
  <si>
    <t>OPPO A31 (Mystery Black, 6GB RAM, 128GB Storage) with No Cost EMI/Additional Exchange Offers</t>
  </si>
  <si>
    <t>₹12,490</t>
  </si>
  <si>
    <t>58,506</t>
  </si>
  <si>
    <t>iQOO vivo Z6 5G (Chromatic Blue, 8GB RAM, 128GB Storage) | Snapdragon 695-6nm Processor | 120Hz FHD+ Display | 5000mAh Battery</t>
  </si>
  <si>
    <t>2,263</t>
  </si>
  <si>
    <t>Motorola a10 Dual Sim keypad Mobile with 1750 mAh Battery, Expandable Storage Upto 32GB, Wireless FM with Recording - Rose Gold</t>
  </si>
  <si>
    <t>₹1,630</t>
  </si>
  <si>
    <t>14%</t>
  </si>
  <si>
    <t>boAt Wave Lite Smartwatch with 1.69" HD Display, Heart Rate &amp; SpO2 Level Monitor, Multiple Watch Faces, Activity Tracker, Multiple Sports Modes &amp; IP68 (Deep Blue)</t>
  </si>
  <si>
    <t>boAt Wave Call Smart Watch, Smart Talk with Advanced Dedicated Bluetooth Calling Chip, 1.69” HD Display with 550 NITS &amp; 70% Color Gamut, 150+ Watch Faces, Multi-Sport Modes,HR,SpO2(Caribbean Green)</t>
  </si>
  <si>
    <t>17,833</t>
  </si>
  <si>
    <t>Spigen EZ Fit Tempered Glass Screen Protector for iPhone 14 Pro Max - 2 Pack (Sensor Protection)</t>
  </si>
  <si>
    <t>7,779</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</si>
  <si>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</si>
  <si>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</si>
  <si>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</si>
  <si>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17,129</t>
  </si>
  <si>
    <t>Portronics CarPower Mini Car Charger with Dual Output, Fast Charging (Type C PD 18W + QC 3.0A) Compatible with All Smartphones(Black)</t>
  </si>
  <si>
    <t>₹337</t>
  </si>
  <si>
    <t>4,969</t>
  </si>
  <si>
    <t>boAt Newly Launched Wave Electra with 1.81" HD Display, Smart Calling with Ultra-Seamless BT Calling Chip,20 Built-In Watch Faces,100 + Sports Modes,Menu Personalization,In-Built Games(Charcoal Black)</t>
  </si>
  <si>
    <t>154</t>
  </si>
  <si>
    <t>PTron Newly Launched Force X10 Bluetooth Calling Smartwatch with 1.7" Full Touch Color Display, Real Heart Rate Monitor, SpO2, Watch Faces, 5 Days Runtime, Fitness Trackers &amp; IP68 Waterproof (Pink)</t>
  </si>
  <si>
    <t>4,415</t>
  </si>
  <si>
    <t>iQOO vivo Z6 5G (Dynamo Black, 6GB RAM, 128GB Storage) | Snapdragon 695-6nm Processor | 120Hz FHD+ Display | 5000mAh Battery</t>
  </si>
  <si>
    <t>Samsung Ehs64 Ehs64Avfwecinu Hands-Free Wired In Ear Earphones With Mic With Remote Note (White)</t>
  </si>
  <si>
    <t>31,539</t>
  </si>
  <si>
    <t>Spigen EZ Fit Tempered Glass Screen Protector for iPhone 14 Pro - 2 Pack (Sensor Protection)</t>
  </si>
  <si>
    <t>6,129</t>
  </si>
  <si>
    <t>Samsung Galaxy M04 Dark Blue, 4GB RAM, 128GB Storage | Upto 8GB RAM with RAM Plus | MediaTek Helio P35 | 5000 mAh Battery</t>
  </si>
  <si>
    <t>₹13,499</t>
  </si>
  <si>
    <t>SWAPKART Flexible Mobile Tabletop Stand, Metal Built, Heavy Duty Foldable Lazy Bracket Clip Mount Multi Angle Clamp for All Smartphones (Pack of 1), Multi Color</t>
  </si>
  <si>
    <t>Electronics|Mobiles&amp;Accessories|MobileAccessories|Mounts|Bedstand&amp;DeskMounts</t>
  </si>
  <si>
    <t>₹251</t>
  </si>
  <si>
    <t>3,234</t>
  </si>
  <si>
    <t>Redmi 9A Sport (Carbon Black, 2GB RAM, 32GB Storage) | 2GHz Octa-core Helio G25 Processor | 5000 mAh Battery</t>
  </si>
  <si>
    <t>3,13,832</t>
  </si>
  <si>
    <t>Fire-Boltt Ring 3 Smart Watch 1.8 Biggest Display with Advanced Bluetooth Calling Chip, Voice Assistance,118 Sports Modes, in Built Calculator &amp; Games, SpO2, Heart Rate Monitoring</t>
  </si>
  <si>
    <t>20,879</t>
  </si>
  <si>
    <t>Amozo Ultra Hybrid Camera and Drop Protection Back Cover Case for iPhone 13 (TPU + Polycarbonate | Crystal Transparent)</t>
  </si>
  <si>
    <t>Electronics|Mobiles&amp;Accessories|MobileAccessories|Cases&amp;Covers|BasicCases</t>
  </si>
  <si>
    <t>2,646</t>
  </si>
  <si>
    <t>ELV Aluminum Adjustable Mobile Phone Foldable Tabletop Stand Dock Mount for All Smartphones, Tabs, Kindle, iPad (Black)</t>
  </si>
  <si>
    <t>28,978</t>
  </si>
  <si>
    <t>Tecno Spark 9 (Sky Mirror, 6GB RAM,128GB Storage) | 11GB Expandable RAM | Helio G37 Gaming Processor</t>
  </si>
  <si>
    <t>3,145</t>
  </si>
  <si>
    <t>9,377</t>
  </si>
  <si>
    <t>JBL C100SI Wired In Ear Headphones with Mic, JBL Pure Bass Sound, One Button Multi-function Remote, Premium Metallic Finish, Angled Buds for Comfort fit (Red)</t>
  </si>
  <si>
    <t>1,92,589</t>
  </si>
  <si>
    <t>Tukzer Capacitive Stylus Pen for Touch Screens Devices, Fine Point, Lightweight Metal Body with Magnetism Cover Cap for Smartphones/Tablets/iPad/iPad Pro/iPhone (Grey)</t>
  </si>
  <si>
    <t>16,557</t>
  </si>
  <si>
    <t>Tukzer Capacitive Stylus Pen for Touch Screens Devices, Fine Point, Lightweight Metal Body with Magnetism Cover Cap for Smartphones/Tablets/iPad/iPad Pro/iPhone (White)</t>
  </si>
  <si>
    <t>Mi 10W Wall Charger for Mobile Phones with Micro USB Cable (Black)</t>
  </si>
  <si>
    <t>21,916</t>
  </si>
  <si>
    <t>29,472</t>
  </si>
  <si>
    <t>STRIFF 12 Pieces Highly Flexible Silicone Micro USB Protector, Mouse Cable Protector, Suit for All Cell Phones, Computers and Chargers (White)</t>
  </si>
  <si>
    <t>₹95</t>
  </si>
  <si>
    <t>1,949</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</si>
  <si>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</si>
  <si>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</si>
  <si>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₹4,499</t>
  </si>
  <si>
    <t>Elv Mobile Phone Mount Tabletop Holder for Phones and Tablets - Black</t>
  </si>
  <si>
    <t>2,351</t>
  </si>
  <si>
    <t>iQOO Z6 44W by vivo (Raven Black, 6GB RAM, 128GB Storage) | 6.44" FHD+ AMOLED Display | 50% Charge in just 27 mins | in-Display Fingerprint Scanning</t>
  </si>
  <si>
    <t>19,253</t>
  </si>
  <si>
    <t>Redmi 11 Prime 5G (Meadow Green, 4GB RAM 64GB ROM) | Prime Design | MTK Dimensity 700 | 50 MP Dual Cam | 5000mAh | 7 Band 5G</t>
  </si>
  <si>
    <t>2,180</t>
  </si>
  <si>
    <t>Noise Pulse Buzz 1.69" Bluetooth Calling Smart Watch with Call Function, 150 Watch Faces, 60 Sports Modes, Spo2 &amp; Heart Rate Monitoring, Calling Smart Watch for Men &amp; Women - Rose Pink</t>
  </si>
  <si>
    <t>7,571</t>
  </si>
  <si>
    <t>PTron Newly Launched Force X10 Bluetooth Calling Smartwatch with 1.7" Full Touch Display, Real Heart Rate Monitor, SpO2, Watch Faces, 5 Days Runtime, Health/Fitness Trackers &amp; IP68 Waterproof (Black)</t>
  </si>
  <si>
    <t>Portronics CLAMP X Car-Vent Mobile Holder 360 Degree Rotational(Black)</t>
  </si>
  <si>
    <t>18,654</t>
  </si>
  <si>
    <t>pTron Volta Dual Port 12W Smart USB Charger Adapter, Multi-Layer Protection, Made in India, BIS Certified, Fast Charging Power Adaptor Without Cable for All iOS &amp; Android Devices (Black)</t>
  </si>
  <si>
    <t>3,197</t>
  </si>
  <si>
    <t>boAt Flash Edition Smart Watch with Activity Tracker, Multiple Sports Modes, 1.3" Screen, 170+ Watch Faces, Sleep Monitor, Gesture, Camera &amp; Music Control, IP68 &amp; 7 Days Battery Life(Lightning Black)</t>
  </si>
  <si>
    <t>74%</t>
  </si>
  <si>
    <t>26,880</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</si>
  <si>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</si>
  <si>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</si>
  <si>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</si>
  <si>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4%</t>
  </si>
  <si>
    <t>56,098</t>
  </si>
  <si>
    <t>Redmi Note 11T 5G (Matte Black, 6GB RAM, 128GB ROM)| Dimensity 810 5G | 33W Pro Fast Charging | Charger Included | Additional Exchange Offers|Get 2 Months of YouTube Premium Free!</t>
  </si>
  <si>
    <t>31,822</t>
  </si>
  <si>
    <t>iQOO Z6 Pro 5G by vivo (Legion Sky, 6GB RAM, 128GB Storage) | Snapdragon 778G 5G | 66W FlashCharge | 1300 nits Peak Brightness | HDR10+</t>
  </si>
  <si>
    <t>Redmi Note 11 (Horizon Blue, 6GB RAM, 64GB Storage)|90Hz FHD+ AMOLED Display | Qualcomm® Snapdragon™ 680-6nm | 33W Charger Included</t>
  </si>
  <si>
    <t>Noise Pulse 2 Max Advanced Bluetooth Calling Smart Watch with 1.85'' TFT and 550 Nits Brightness, Smart DND, 10 Days Battery, 100 Sports Mode, Smartwatch for Men and Women - (Jet Black)</t>
  </si>
  <si>
    <t>7,148</t>
  </si>
  <si>
    <t>Myvn 30W Warp/20W Dash Charging Usb Type C Charger Cable Compatible For Cellular Phones Oneplus 8T 8 8Pro 7 Pro / 7T / 7T Pro Nord And Oneplus 3 / 3T / 5 / 5T / 6 / 6T / 7</t>
  </si>
  <si>
    <t>3,492</t>
  </si>
  <si>
    <t>PTron Newly Launched Force X10 Bluetooth Calling Smartwatch with 1.7" Full Touch Color Display, Real Heart Rate Monitor, SpO2, Watch Faces, 5 Days Runtime, Fitness Trackers &amp; IP68 Waterproof (Blue)</t>
  </si>
  <si>
    <t>SanDisk Ultra® microSDXC™ UHS-I Card, 256GB, 150MB/s R, 10 Y Warranty, for Smartphones</t>
  </si>
  <si>
    <t>₹1,989</t>
  </si>
  <si>
    <t>67,260</t>
  </si>
  <si>
    <t>27,704</t>
  </si>
  <si>
    <t>Redmi Note 11 (Space Black, 6GB RAM, 64GB Storage) | 90Hz FHD+ AMOLED Display | Qualcomm® Snapdragon™ 680-6nm | 33W Charger Included</t>
  </si>
  <si>
    <t>Noise ColorFit Pro 2 Full Touch Control Smart Watch with 35g Weight &amp; Upgraded LCD Display (Deep Wine)</t>
  </si>
  <si>
    <t>92,588</t>
  </si>
  <si>
    <t>Redmi Note 11T 5G (Aquamarine Blue, 6GB RAM, 128GB ROM)| Dimensity 810 5G | 33W Pro Fast Charging | Charger Included | Additional Exchange Offers| Get 2 Months of YouTube Premium Free!</t>
  </si>
  <si>
    <t>Newly Launched Boult Dive+ with 1.85" HD Display, Bluetooth Calling Smartwatch, 500 Nits Brightness, 7 Days Battery Life, 150+ Watch Faces, 100+ Sport Modes, IP68 Waterproof Smart Watch (Jet Black)</t>
  </si>
  <si>
    <t>240</t>
  </si>
  <si>
    <t>OnePlus Nord Watch with 1.78” AMOLED Display, 60 Hz Refresh Rate, 105 Fitness Modes, 10 Days Battery, SPO2, Heart Rate, Stress Monitor, Women Health Tracker &amp; Multiple Watch Face [Midnight Black]</t>
  </si>
  <si>
    <t>758</t>
  </si>
  <si>
    <t>Noise Agile 2 Buzz Bluetooth Calling Smart Watch with 1.28" TFT Display,Dual Button,in-Built Mic &amp; Speaker,AI Voice Assistant, Health Suite,in-Built Games, 100 Watch Faces-(Jet Black)</t>
  </si>
  <si>
    <t>828</t>
  </si>
  <si>
    <t>Motorola a10 Dual Sim keypad Mobile with 1750 mAh Battery, Expandable Storage Upto 32GB, Wireless FM with Recording - Dark Blue</t>
  </si>
  <si>
    <t>Fire-Boltt Ninja 3 Smartwatch Full Touch 1.69 " &amp; 60 Sports Modes with IP68, Sp02 Tracking, Over 100 Cloud based watch faces ( Silver )</t>
  </si>
  <si>
    <t>22,638</t>
  </si>
  <si>
    <t>Flix (Beetel) Bolt 2.4 12W Dual USB Smart Charger, Made in India, Bis Certified, Fast Charging Power Adaptor with 1 Meter USB to Type C Cable for Cellular Phones (White)(Xwc-64D)</t>
  </si>
  <si>
    <t>2,147</t>
  </si>
  <si>
    <t>Kyosei Advanced Tempered Glass Compatible with Google Pixel 6a with Military-Grade Anti-Explosion Edge-to-Edge Coverage Screen Protector Guard</t>
  </si>
  <si>
    <t>596</t>
  </si>
  <si>
    <t>STRIFF 12 Pieces Highly Flexible Silicone Micro USB Protector, Mouse Cable Protector, Suit for All Cell Phones, Computers and Chargers (Black)</t>
  </si>
  <si>
    <t>₹79</t>
  </si>
  <si>
    <t>Redmi 11 Prime 5G (Thunder Black, 4GB RAM, 64GB Storage) | Prime Design | MTK Dimensity 700 | 50 MP Dual Cam | 5000mAh | 7 Band 5G</t>
  </si>
  <si>
    <t>Samsung Original EHS64 Wired in Ear Earphones with Mic, Black</t>
  </si>
  <si>
    <t>5%</t>
  </si>
  <si>
    <t>STRIFF Multi Angle Tablet/Mobile Stand. Holder for iPhone, Android, Samsung, OnePlus, Xiaomi. Portable,Foldable Stand.Perfect for Bed,Office, Home,Gift and Desktop (Black)</t>
  </si>
  <si>
    <t>2,451</t>
  </si>
  <si>
    <t>boAt Newly Launched Wave Electra with 1.81" HD Display, Smart Calling Ultra-Seamless BT Calling Chip, 20 Built-in Watch Faces, 100 + Sports Modes, Menu Personalization, in-Built Games(Cherry Blossom)</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</si>
  <si>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</si>
  <si>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</si>
  <si>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Sounce 360 Adjustable Mobile Phone Holder, Universal Phone Holder Clip Lazy Bracket Flexible Gooseneck Clamp Long Arms Mount for Mobile Tabletop Stand for Bedroom, Office, Bathroom, White</t>
  </si>
  <si>
    <t>1,475</t>
  </si>
  <si>
    <t>OpenTech® Military-Grade Tempered Glass Screen Protector Compatible for iPhone 13/13 Pro / 14 with Edge to Edge Coverage and Easy Installation kit (6.1 Inches)</t>
  </si>
  <si>
    <t>EN LIGNE Adjustable Cell Phone Stand, Foldable Portable Phone Stand Phone Holder for Desk, Desktop Tablet Stand Compatible with Mobile Phone/iPad/Tablet (Black)</t>
  </si>
  <si>
    <t>104</t>
  </si>
  <si>
    <t>Tecno Spark 8T (Turquoise Cyan, 4GB RAM,64GB Storage) | 50MP AI Camera | 7GB Expandable RAM</t>
  </si>
  <si>
    <t>6,662</t>
  </si>
  <si>
    <t>URBN 20000 mAh Lithium_Polymer 22.5W Super Fast Charging Ultra Compact Power Bank with Quick Charge &amp; Power Delivery, Type C Input/Output, Made in India, Type C Cable Included (Camo)</t>
  </si>
  <si>
    <t>₹2,179</t>
  </si>
  <si>
    <t>8,380</t>
  </si>
  <si>
    <t>Redmi Note 11T 5G (Stardust White, 6GB RAM, 128GB ROM)| Dimensity 810 5G | 33W Pro Fast Charging | Charger Included | Additional Exchange Offers|Get 2 Months of YouTube Premium Free!</t>
  </si>
  <si>
    <t>OnePlus 10T 5G (Moonstone Black, 8GB RAM, 128GB Storage)</t>
  </si>
  <si>
    <t>3,075</t>
  </si>
  <si>
    <t>Nokia 150 (2020) (Cyan)</t>
  </si>
  <si>
    <t>₹2,599</t>
  </si>
  <si>
    <t>14,266</t>
  </si>
  <si>
    <t>Noise ColorFit Ultra SE Smart Watch with 1.75"(4.3cm) HD Display, Aluminium Alloy Body, 60 Sports Modes, Spo2, Lightweight, Stock Market Info, Calls &amp; SMS Reply (Vintage Brown)</t>
  </si>
  <si>
    <t>₹2,799</t>
  </si>
  <si>
    <t>38,879</t>
  </si>
  <si>
    <t>boAt Rockerz 400 Bluetooth On Ear Headphones With Mic With Upto 8 Hours Playback &amp; Soft Padded Ear Cushions(Grey/Green)</t>
  </si>
  <si>
    <t>Electronics|Headphones,Earbuds&amp;Accessories|Headphones|On-Ear</t>
  </si>
  <si>
    <t>₹2,990</t>
  </si>
  <si>
    <t>97,175</t>
  </si>
  <si>
    <t>SanDisk Ultra microSD UHS-I Card 64GB, 120MB/s R</t>
  </si>
  <si>
    <t>₹2,400</t>
  </si>
  <si>
    <t>iPhone Original 20W C Type Fast PD Charger Compatible with I-Phone13/13 mini/13pro/13 pro Max I-Phone 12/12 Pro/12mini/12 Pro Max, I-Phone11/11 Pro/11 Pro Max 2020 (Only Adapter)</t>
  </si>
  <si>
    <t>119</t>
  </si>
  <si>
    <t>LIRAMARK Webcam Cover Slide, Ultra Thin Laptop Camera Cover Slide Blocker for Computer MacBook Pro iMac PC Tablet (Pack of 3)</t>
  </si>
  <si>
    <t>Computers&amp;Accessories|Accessories&amp;Peripherals|LaptopAccessories|CameraPrivacyCovers</t>
  </si>
  <si>
    <t>10,833</t>
  </si>
  <si>
    <t>Nokia 8210 4G Volte keypad Phone with Dual SIM, Big Display, inbuilt MP3 Player &amp; Wireless FM Radio | Blue</t>
  </si>
  <si>
    <t>₹3,799</t>
  </si>
  <si>
    <t>₹5,299</t>
  </si>
  <si>
    <t>1,641</t>
  </si>
  <si>
    <t>Sounce Protective Case Cover Compatible Boat Xtend Overall Protective Case TPU HD Clear Ultra-Thin Cover with Unbreakable Screen Guard</t>
  </si>
  <si>
    <t>4,740</t>
  </si>
  <si>
    <t>Samsung Galaxy M53 5G (Deep Ocean Blue, 6GB, 128GB Storage) | 108MP | sAmoled+ 120Hz | 12GB RAM with RAM Plus | Travel Adapter to be Purchased Separately</t>
  </si>
  <si>
    <t>8,866</t>
  </si>
  <si>
    <t>iQOO 9 SE 5G (Sunset Sierra, 8GB RAM, 128GB Storage) | Qualcomm Snapdragon 888 | 66W Flash Charge</t>
  </si>
  <si>
    <t>₹39,990</t>
  </si>
  <si>
    <t>8,399</t>
  </si>
  <si>
    <t>SHREENOVA ID116 Plus Bluetooth Fitness Smart Watch for Men Women and Kids Activity Tracker (Black)</t>
  </si>
  <si>
    <t>₹281</t>
  </si>
  <si>
    <t>2.8</t>
  </si>
  <si>
    <t>POCO C31 (Shadow Gray, 64 GB) (4 GB RAM)</t>
  </si>
  <si>
    <t>₹7,998</t>
  </si>
  <si>
    <t>125</t>
  </si>
  <si>
    <t>Noise_Colorfit Smart Watch Charger 2 Pin USB Fast Charger Magnetic Charging Cable Adapter (Smart Watch Charger 2 pin)</t>
  </si>
  <si>
    <t>38</t>
  </si>
  <si>
    <t>POPIO Tempered Glass Screen Protector Compatible for iPhone 12 / iPhone 12 Pro with Case Friendly Edge to Edge Coverage and Easy Installation kit, Pack of 1</t>
  </si>
  <si>
    <t>4,674</t>
  </si>
  <si>
    <t>10WeRun Id-116 Bluetooth Smartwatch Wireless Fitness Band for Boys, Girls, Men, Women &amp; Kids | Sports Gym Watch for All Smart Phones I Heart Rate and spo2 Monitor</t>
  </si>
  <si>
    <t>412</t>
  </si>
  <si>
    <t>Tokdis MX-1 Pro Bluetooth Calling Smartwatch - 1.69” LCD Display, Multiple Watch Faces, Sleep Monitor, Heart &amp; SpO2 Monitoring, Multiple Sports Modes, Water Resistant</t>
  </si>
  <si>
    <t>₹3,499</t>
  </si>
  <si>
    <t>681</t>
  </si>
  <si>
    <t>URBN 20000 mAh lithium_polymer Power Bank with 12 Watt Fast Charging, Camo</t>
  </si>
  <si>
    <t>36,384</t>
  </si>
  <si>
    <t>Sounce Gold Plated 3.5 mm Headphone Splitter for Computer 2 Male to 1 Female 3.5mm Headphone Mic Audio Y Splitter Cable Smartphone Headset to PC Adapter – (Black,20cm)</t>
  </si>
  <si>
    <t>Electronics|Headphones,Earbuds&amp;Accessories|Adapters</t>
  </si>
  <si>
    <t>₹120</t>
  </si>
  <si>
    <t>6,491</t>
  </si>
  <si>
    <t>Noise ColorFit Ultra 2 Buzz 1.78" AMOLED Bluetooth Calling Watch with 368*448px Always On Display, Premium Metallic Finish, 100+ Watch Faces, 100+ Sports Modes, Health Suite (Jet Black)</t>
  </si>
  <si>
    <t>10,229</t>
  </si>
  <si>
    <t>Spigen Ultra Hybrid Back Cover Case Compatible with iPhone 14 Pro max (TPU + Poly Carbonate | Crystal Clear)</t>
  </si>
  <si>
    <t>1,801</t>
  </si>
  <si>
    <t>Oraimo 18W USB &amp; Type-C Dual Output Super Fast Charger Wall Adapter PE2.0&amp;Quick Charge 3.0 &amp; Power Delivery 3.0 Compatible for iPhone 13/13 Mini/13 Pro Max/12/12 Pro Max, iPad Mini/Pro, Pixel, Galaxy, Airpods Pro</t>
  </si>
  <si>
    <t>LAPSTER 12pcs Spiral Cable Protectors for Charger, Wires, Data Charger Cable Protector for Computers, Cell Phones etc.(Grey)</t>
  </si>
  <si>
    <t>Electronics|Mobiles&amp;Accessories|MobileAccessories|Décor|PhoneCharms</t>
  </si>
  <si>
    <t>305</t>
  </si>
  <si>
    <t>MI REDMI 9i Sport (Carbon Black, 64 GB) (4 GB RAM)</t>
  </si>
  <si>
    <t>₹7,915</t>
  </si>
  <si>
    <t>Fire-Boltt Ninja 3 Smartwatch Full Touch 1.69 " &amp; 60 Sports Modes with IP68, Sp02 Tracking, Over 100 Cloud based watch faces ( Green )</t>
  </si>
  <si>
    <t>Lava A1 Josh 21(Blue Silver) -Dual Sim,Call Blink Notification,Military Grade Certified with 4 Day Battery Backup, Keypad Mobile</t>
  </si>
  <si>
    <t>₹1,055</t>
  </si>
  <si>
    <t>16%</t>
  </si>
  <si>
    <t>2,352</t>
  </si>
  <si>
    <t>POPIO Tempered Glass Compatible for iPhone 13 / iPhone 13 Pro/iPhone 14 (Transparent) Edge to Edge Full Screen Coverage with Installation Kit, Pack of 2</t>
  </si>
  <si>
    <t>₹150</t>
  </si>
  <si>
    <t>714</t>
  </si>
  <si>
    <t>20,052</t>
  </si>
  <si>
    <t>Amozo Ultra Hybrid Camera and Drop Protection Back Cover Case for iPhone 13 (Polycarbonate| Back Transparent - Sides Black)</t>
  </si>
  <si>
    <t>₹474</t>
  </si>
  <si>
    <t>FLiX Usb Charger,Flix (Beetel) Bolt 2.4 Dual Poart,5V/2.4A/12W Usb Wall Charger Fast Charging,Adapter For Android/Iphone 11/Xs/Xs Max/Xr/X/8/7/6/Plus,Ipad Pro/Air 2/Mini 3/4,Samsung S4/S5 &amp; More-Black</t>
  </si>
  <si>
    <t>Redmi 9A Sport (Coral Green, 3GB RAM, 32GB Storage) | 2GHz Octa-core Helio G25 Processor | 5000 mAh Battery</t>
  </si>
  <si>
    <t>Prolet Classic Bumper Case Cover for Samsung Galaxy Watch 4 44mm TPU Plated Full Screen Protector (Black)</t>
  </si>
  <si>
    <t>₹265</t>
  </si>
  <si>
    <t>465</t>
  </si>
  <si>
    <t>Samsung Galaxy S20 FE 5G (Cloud Navy, 8GB RAM, 128GB Storage) with No Cost EMI &amp; Additional Exchange Offers</t>
  </si>
  <si>
    <t>₹37,990</t>
  </si>
  <si>
    <t>₹74,999</t>
  </si>
  <si>
    <t>27,790</t>
  </si>
  <si>
    <t>WeCool S5 Long Selfie Stick, with Large Reinforced Tripod Stand up to 61 Inch / 156 Cms, Ultra Long Multi Function Bluetooth Selfie Stick with 1/4 Screw Compatible with Gopro, Camera, and Ring Light</t>
  </si>
  <si>
    <t>245</t>
  </si>
  <si>
    <t>POCO C31 (Royal Blue, 64 GB) (4 GB RAM)</t>
  </si>
  <si>
    <t>276</t>
  </si>
  <si>
    <t>Noise ColorFit Pulse Grand Smart Watch with 1.69"(4.29cm) HD Display, 60 Sports Modes, 150 Watch Faces, Fast Charge, Spo2, Stress, Sleep, Heart Rate Monitoring &amp; IP68 Waterproof (Electric Blue)</t>
  </si>
  <si>
    <t>17,161</t>
  </si>
  <si>
    <t>Amazon Basics 2 Amp USB Wall Charger &amp; Micro USB Cable (White)</t>
  </si>
  <si>
    <t>14</t>
  </si>
  <si>
    <t>Mobilife Bluetooth Extendable Selfie Stick with Tripod Stand and Wireless Remote,3-in-1 Multifunctional Selfie Stick Tripod for iPhone Samsung Mi Realme Oppo Vivo Google More,Black</t>
  </si>
  <si>
    <t>14,560</t>
  </si>
  <si>
    <t>Ambrane 27000mAh Power Bank, 20W Fast Charging, Triple Output, Type C PD (Input &amp; Output), Quick Charge, Li-Polymer, Multi-Layer Protection for iPhone, Smartphones &amp; Other Devices (Stylo Pro, Black)</t>
  </si>
  <si>
    <t>3,156</t>
  </si>
  <si>
    <t>STRIFF Wall Mount Phone Holder Wall Mount with Adhesive Strips, Charging Holder Compatible with iPhone, Smartphone and Mini Tablet (Pack of 1) (White)</t>
  </si>
  <si>
    <t>Electronics|Mobiles&amp;Accessories|MobileAccessories|Mounts|Shower&amp;WallMounts</t>
  </si>
  <si>
    <t>9,340</t>
  </si>
  <si>
    <t>Fire-Boltt Tank 1.85" Bluetooth Calling Smart Watch, 123 Sports Mode, 8 UI Interactions, Built in Speaker &amp; Mic, 7 Days Battery &amp; Fire-Boltt Health Suite</t>
  </si>
  <si>
    <t>768</t>
  </si>
  <si>
    <t>Elv Aluminium Adjustable Mobile Phone Foldable Holder Tabletop Stand Dock Mount for All Smartphones, Tabs, Kindle, iPad (Moonlight Silver)</t>
  </si>
  <si>
    <t>₹314</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</si>
  <si>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</si>
  <si>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</si>
  <si>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4,971</t>
  </si>
  <si>
    <t>KINGONE Wireless Charging Pencil (2nd Generation) for iPad with Magnetic and Tilt Sensitive, Palm Rejection, Compatible with Apple iPad Pro 11 inch 1/2/3/4, iPad Pro 12.9 Inch 3/4/5/6, iPad Air 4/5, mini6</t>
  </si>
  <si>
    <t>1,526</t>
  </si>
  <si>
    <t>boAt BassHeads 100 in-Ear Wired Headphones with Mic (Black)</t>
  </si>
  <si>
    <t>₹365</t>
  </si>
  <si>
    <t>3,63,711</t>
  </si>
  <si>
    <t>boAt Airdopes 141 Bluetooth Truly Wireless in Ear Earbuds with mic, 42H Playtime, Beast Mode(Low Latency Upto 80ms) for Gaming, ENx Tech, ASAP Charge, IWP, IPX4 Water Resistance (Bold Black)</t>
  </si>
  <si>
    <t>₹4,490</t>
  </si>
  <si>
    <t>1,36,954</t>
  </si>
  <si>
    <t>27,709</t>
  </si>
  <si>
    <t>SanDisk Cruzer Blade 32GB USB Flash Drive</t>
  </si>
  <si>
    <t>Computers&amp;Accessories|ExternalDevices&amp;DataStorage|PenDrives</t>
  </si>
  <si>
    <t>₹289</t>
  </si>
  <si>
    <t>2,53,105</t>
  </si>
  <si>
    <t>Logitech B170 Wireless Mouse, 2.4 GHz with USB Nano Receiver, Optical Tracking, 12-Months Battery Life, Ambidextrous, PC/Mac/Laptop - Black</t>
  </si>
  <si>
    <t>Computers&amp;Accessories|Accessories&amp;Peripherals|Keyboards,Mice&amp;InputDevices|Mice</t>
  </si>
  <si>
    <t>₹895</t>
  </si>
  <si>
    <t>61,314</t>
  </si>
  <si>
    <t>Storio Kids Toys LCD Writing Tablet 8.5Inch E-Note Pad Best Birthday Gift for Girls Boys, Multicolor (SC1667)</t>
  </si>
  <si>
    <t>Computers&amp;Accessories|Accessories&amp;Peripherals|Keyboards,Mice&amp;InputDevices|GraphicTablets</t>
  </si>
  <si>
    <t>₹217</t>
  </si>
  <si>
    <t>₹237</t>
  </si>
  <si>
    <t>8%</t>
  </si>
  <si>
    <t>7,354</t>
  </si>
  <si>
    <t>boAt Airdopes 121v2 in-Ear True Wireless Earbuds with Upto 14 Hours Playback, 8MM Drivers, Battery Indicators, Lightweight Earbuds &amp; Multifunction Controls (Active Black, with Mic)</t>
  </si>
  <si>
    <t>1,80,998</t>
  </si>
  <si>
    <t>SKE Bed Study Table Portable Wood Multifunction Laptop-Table Lapdesk for Children Bed Foldabe Table Work with Tablet Slot &amp; Cup Holder Brown Black</t>
  </si>
  <si>
    <t>Computers&amp;Accessories|Accessories&amp;Peripherals|LaptopAccessories|Lapdesks</t>
  </si>
  <si>
    <t>690</t>
  </si>
  <si>
    <t>67,262</t>
  </si>
  <si>
    <t>boAt Rockerz 255 Pro+ in-Ear Bluetooth Neckband with Upto 40 Hours Playback, ASAP  Charge, IPX7, Dual Pairing, BT v5.0, with Mic (Active Black)</t>
  </si>
  <si>
    <t>1,41,841</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</si>
  <si>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</si>
  <si>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</si>
  <si>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24,791</t>
  </si>
  <si>
    <t>ZEBRONICS Zeb-Bro in Ear Wired Earphones with Mic, 3.5mm Audio Jack, 10mm Drivers, Phone/Tablet Compatible(Black)</t>
  </si>
  <si>
    <t>21,764</t>
  </si>
  <si>
    <t>1,92,587</t>
  </si>
  <si>
    <t>boAt Rockerz 450 Bluetooth On Ear Headphones with Mic, Upto 15 Hours Playback, 40MM Drivers, Padded Ear Cushions, Integrated Controls and Dual Modes(Luscious Black)</t>
  </si>
  <si>
    <t>₹1,220</t>
  </si>
  <si>
    <t>1,07,151</t>
  </si>
  <si>
    <t>21,797</t>
  </si>
  <si>
    <t>JBL C50HI, Wired in Ear Headphones with Mic, One Button Multi-Function Remote, Lightweight &amp; Comfortable fit (Black)</t>
  </si>
  <si>
    <t>92,995</t>
  </si>
  <si>
    <t>LAPSTER Spiral Charger Spiral Charger Cable Protectors for Wires Data Cable Saver Charging Cord Protective Cable Cover Set of 3 (12 Pieces)</t>
  </si>
  <si>
    <t>8,751</t>
  </si>
  <si>
    <t>14,283</t>
  </si>
  <si>
    <t>HP v236w USB 2.0 64GB Pen Drive, Metal</t>
  </si>
  <si>
    <t>64,273</t>
  </si>
  <si>
    <t>HP X1000 Wired USB Mouse with 3 Handy Buttons, Fast-Moving Scroll Wheel and Optical Sensor works on most Surfaces (H2C21AA, Black/Grey)</t>
  </si>
  <si>
    <t>54,315</t>
  </si>
  <si>
    <t>Portronics Toad 23 Wireless Optical Mouse with 2.4GHz, USB Nano Dongle, Optical Orientation, Click Wheel, Adjustable DPI(Black)</t>
  </si>
  <si>
    <t>1,597</t>
  </si>
  <si>
    <t>Boult Audio BassBuds X1 in-Ear Wired Earphones with 10mm Extra Bass Driver and HD Sound with mic(Black)</t>
  </si>
  <si>
    <t>77,027</t>
  </si>
  <si>
    <t>Dell KB216 Wired Multimedia USB Keyboard with Super Quite Plunger Keys with Spill-Resistant – Black</t>
  </si>
  <si>
    <t>Computers&amp;Accessories|Accessories&amp;Peripherals|Keyboards,Mice&amp;InputDevices|Keyboards</t>
  </si>
  <si>
    <t>28,829</t>
  </si>
  <si>
    <t>29,478</t>
  </si>
  <si>
    <t>Dell MS116 1000Dpi USB Wired Optical Mouse, Led Tracking, Scrolling Wheel, Plug and Play.</t>
  </si>
  <si>
    <t>33,176</t>
  </si>
  <si>
    <t>Boya ByM1 Auxiliary Omnidirectional Lavalier Condenser Microphone with 20ft Audio Cable (Black)</t>
  </si>
  <si>
    <t>MusicalInstruments|Microphones|Condenser</t>
  </si>
  <si>
    <t>₹1,995</t>
  </si>
  <si>
    <t>68,664</t>
  </si>
  <si>
    <t>Duracell Ultra Alkaline AA Battery, 8 Pcs</t>
  </si>
  <si>
    <t>Electronics|GeneralPurposeBatteries&amp;BatteryChargers|DisposableBatteries</t>
  </si>
  <si>
    <t>₹266</t>
  </si>
  <si>
    <t>₹315</t>
  </si>
  <si>
    <t>28,030</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</si>
  <si>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</si>
  <si>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</si>
  <si>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</si>
  <si>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5,792</t>
  </si>
  <si>
    <t>3M Scotch Double Sided Heavy Duty Tape(1m holds 4.5Kgs) for indoor hanging applications (Photo frames, Mirrors, Key Holders, Car Interiors, Extension Boards, Wall decoration, etc)(L: 3m, W: 24mm)</t>
  </si>
  <si>
    <t>Home&amp;Kitchen|CraftMaterials|Scrapbooking|Tape</t>
  </si>
  <si>
    <t>₹130</t>
  </si>
  <si>
    <t>₹165</t>
  </si>
  <si>
    <t>14,778</t>
  </si>
  <si>
    <t>boAt Bassheads 152 in Ear Wired Earphones with Mic(Active Black)</t>
  </si>
  <si>
    <t>₹1,290</t>
  </si>
  <si>
    <t>91,770</t>
  </si>
  <si>
    <t>17,162</t>
  </si>
  <si>
    <t>boAt BassHeads 122 Wired Earphones with Heavy Bass, Integrated Controls and Mic (Gun Metal)</t>
  </si>
  <si>
    <t>206</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</si>
  <si>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</si>
  <si>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</si>
  <si>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</si>
  <si>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33,717</t>
  </si>
  <si>
    <t>Seagate Expansion 1TB External HDD - USB 3.0 for Windows and Mac with 3 yr Data Recovery Services, Portable Hard Drive (STKM1000400)</t>
  </si>
  <si>
    <t>Computers&amp;Accessories|ExternalDevices&amp;DataStorage|ExternalHardDisks</t>
  </si>
  <si>
    <t>₹4,098</t>
  </si>
  <si>
    <t>50,810</t>
  </si>
  <si>
    <t>HP w100 480P 30 FPS Digital Webcam with Built-in Mic, Plug and Play Setup, Wide-Angle View for Video Calling on Skype, Zoom, Microsoft Teams and Other Apps (Black)</t>
  </si>
  <si>
    <t>Electronics|Cameras&amp;Photography|VideoCameras</t>
  </si>
  <si>
    <t>3,369</t>
  </si>
  <si>
    <t>ZEBRONICS Zeb-Dash Plus 2.4GHz High Precision Wireless Mouse with up to 1600 DPI, Power Saving Mode, Nano Receiver and Plug &amp; Play Usage - USB</t>
  </si>
  <si>
    <t>11,827</t>
  </si>
  <si>
    <t>Zebronics Zeb-Companion 107 USB Wireless Keyboard and Mouse Set with Nano Receiver (Black)</t>
  </si>
  <si>
    <t>15,295</t>
  </si>
  <si>
    <t>SYVO WT 3130 Aluminum Tripod (133CM), Universal Lightweight Tripod with Mobile Phone Holder Mount &amp; Carry Bag for All Smart Phones, Gopro, Cameras - Brown</t>
  </si>
  <si>
    <t>Electronics|Cameras&amp;Photography|Accessories|Tripods&amp;Monopods|Tabletop&amp;TravelTripods</t>
  </si>
  <si>
    <t>27,139</t>
  </si>
  <si>
    <t>Boult Audio Airbass Z20 True Wireless, 40H Battery Life, Zen ENC Mic, Type-C Lightning Boult Fast Charging (10Mins=100Mins), BoomX Tech Bass, ENC, IPX5 in Ear Earbuds with mic (Green)</t>
  </si>
  <si>
    <t>₹5,499</t>
  </si>
  <si>
    <t>9,504</t>
  </si>
  <si>
    <t>SanDisk Ultra Flair 64GB USB 3.0 Pen Drive, Multicolor</t>
  </si>
  <si>
    <t>₹519</t>
  </si>
  <si>
    <t>₹1,350</t>
  </si>
  <si>
    <t>30,058</t>
  </si>
  <si>
    <t>69,619</t>
  </si>
  <si>
    <t>boAt Rockerz 330 in-Ear Bluetooth Neckband with Upto 30 Hours Playtime, ASAP  Charge, Signature Sound, Dual Pairing &amp; IPX5 with Mic (Active Black)</t>
  </si>
  <si>
    <t>1,09,864</t>
  </si>
  <si>
    <t>Casio FX-991ES Plus-2nd Edition Scientific Calculator, Black</t>
  </si>
  <si>
    <t>OfficeProducts|OfficeElectronics|Calculators|Scientific</t>
  </si>
  <si>
    <t>₹1,295</t>
  </si>
  <si>
    <t>5,760</t>
  </si>
  <si>
    <t>TP-Link AC750 Wifi Range Extender | Up to 750Mbps | Dual Band WiFi Extender, Repeater, Wifi Signal Booster, Access Point| Easy Set-Up | Extends Wifi to Smart Home &amp; Alexa Devices (RE200)</t>
  </si>
  <si>
    <t>Computers&amp;Accessories|NetworkingDevices|Repeaters&amp;Extenders</t>
  </si>
  <si>
    <t>₹1,889</t>
  </si>
  <si>
    <t>49,551</t>
  </si>
  <si>
    <t>boAt Bassheads 242 in Ear Wired Earphones with Mic(Blue)</t>
  </si>
  <si>
    <t>₹455</t>
  </si>
  <si>
    <t>1,61,677</t>
  </si>
  <si>
    <t>DIGITEK® (DTR 260 GT) Gorilla Tripod/Mini 33 cm (13 Inch) Tripod for Mobile Phone with Phone Mount &amp; Remote, Flexible Gorilla Stand for DSLR &amp; Action Cameras</t>
  </si>
  <si>
    <t>Electronics|Cameras&amp;Photography|Accessories|Tripods&amp;Monopods|TripodLegs</t>
  </si>
  <si>
    <t>21,372</t>
  </si>
  <si>
    <t>₹1,059</t>
  </si>
  <si>
    <t>1,40,035</t>
  </si>
  <si>
    <t>HP 805 Black Original Ink Cartridge</t>
  </si>
  <si>
    <t>Computers&amp;Accessories|Printers,Inks&amp;Accessories|Inks,Toners&amp;Cartridges|InkjetInkCartridges</t>
  </si>
  <si>
    <t>₹717</t>
  </si>
  <si>
    <t>₹761</t>
  </si>
  <si>
    <t>7,199</t>
  </si>
  <si>
    <t>GIZGA essentials Universal Silicone Keyboard Protector Skin for 15.6-inches Laptop (5 x 6 x 3 inches)</t>
  </si>
  <si>
    <t>Computers&amp;Accessories|Accessories&amp;Peripherals|Keyboards,Mice&amp;InputDevices|Keyboard&amp;MiceAccessories|DustCovers</t>
  </si>
  <si>
    <t>₹39</t>
  </si>
  <si>
    <t>15,233</t>
  </si>
  <si>
    <t>SanDisk Ultra 128 GB USB 3.0 Pen Drive (Black)</t>
  </si>
  <si>
    <t>₹889</t>
  </si>
  <si>
    <t>₹2,500</t>
  </si>
  <si>
    <t>55,747</t>
  </si>
  <si>
    <t>Boult Audio ZCharge Bluetooth Wireless in Ear Earphones with Mic, 40H Playtime and Super Fast Charging, Environmental Noise Cancellation for Pro+ Calling and IPX5 Water Resistant (Black)</t>
  </si>
  <si>
    <t>14,961</t>
  </si>
  <si>
    <t>Dell WM118 Wireless Mouse, 2.4 Ghz with USB Nano Receiver, Optical Tracking, 12-Months Battery Life, Ambidextrous, Pc/Mac/Laptop - Black.</t>
  </si>
  <si>
    <t>9,275</t>
  </si>
  <si>
    <t>Boult Audio AirBass PowerBuds with Inbuilt Powerbank, 120H Total Playtime, IPX7 Fully Waterproof, Lightning Boult Type-C Fast Charging, Low Latency Gaming, TWS Earbuds with Pro+ Calling Mic (Black)</t>
  </si>
  <si>
    <t>28,324</t>
  </si>
  <si>
    <t>Eveready 1015 Carbon Zinc AA Battery - 10 Pieces</t>
  </si>
  <si>
    <t>₹180</t>
  </si>
  <si>
    <t>644</t>
  </si>
  <si>
    <t>Zebronics Zeb-Transformer-M Optical USB Gaming Mouse with LED Effect(Black)</t>
  </si>
  <si>
    <t>Computers&amp;Accessories|Accessories&amp;Peripherals|PCGamingPeripherals|GamingMice</t>
  </si>
  <si>
    <t>18,139</t>
  </si>
  <si>
    <t>PIDILITE Fevicryl Acrylic Colours Sunflower Kit (10 Colors x 15 ml) DIY Paint, Rich Pigment, Non-Craking Paint for Canvas, Wood, Leather, Earthenware, Metal, Diwali Gifts for Diwali</t>
  </si>
  <si>
    <t>Home&amp;Kitchen|CraftMaterials|PaintingMaterials|Paints</t>
  </si>
  <si>
    <t>₹191</t>
  </si>
  <si>
    <t>7,203</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</si>
  <si>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</si>
  <si>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</si>
  <si>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Gizga Essentials Hard Drive Case Shell, 6.35cm/2.5-inch, Portable Storage Organizer Bag for Earphone USB Cable Power Bank Mobile Charger Digital Gadget Hard Disk, Water Resistance Material, Black</t>
  </si>
  <si>
    <t>Computers&amp;Accessories|Accessories&amp;Peripherals|HardDiskBags</t>
  </si>
  <si>
    <t>13,568</t>
  </si>
  <si>
    <t>Boult Audio FXCharge with ENC, 32H Playtime, 5min=7H Type C Fast Charging, Zen ENC, 14.2 mm BoomX Rich Bass, IPX5, Bluetooth Wireless in Ear Earphones Neckband with mic (Black)</t>
  </si>
  <si>
    <t>3,390</t>
  </si>
  <si>
    <t>Boult Audio Probass Curve Bluetooth Wireless in Ear Earphones with Mic with Ipx5 Water Resistant, 12H Battery Life &amp; Extra Bass (Black)</t>
  </si>
  <si>
    <t>1,03,052</t>
  </si>
  <si>
    <t>Casio FX-82MS 2nd Gen Non-Programmable Scientific Calculator, 240 Functions and 2-line Display, Black</t>
  </si>
  <si>
    <t>₹522</t>
  </si>
  <si>
    <t>₹550</t>
  </si>
  <si>
    <t>12,179</t>
  </si>
  <si>
    <t>Tygot 10 Inches Big LED Ring Light for Camera, Phone tiktok YouTube Video Shooting and Makeup, 10" inch Ring Light with 7 Feet Long Foldable and Lightweight Tripod Stand</t>
  </si>
  <si>
    <t>Electronics|Cameras&amp;Photography|Flashes|Macro&amp;RinglightFlashes</t>
  </si>
  <si>
    <t>12,958</t>
  </si>
  <si>
    <t>HP X200 Wireless Mouse with 2.4 GHz Wireless connectivity, Adjustable DPI up to 1600, ambidextrous Design, and 18-Month Long Battery Life. 3-Years Warranty (6VY95AA)</t>
  </si>
  <si>
    <t>₹681</t>
  </si>
  <si>
    <t>8,258</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</si>
  <si>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</si>
  <si>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</si>
  <si>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</si>
  <si>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11,716</t>
  </si>
  <si>
    <t>TP-Link Archer AC1200 Archer C6 Wi-Fi Speed Up to 867 Mbps/5 GHz + 400 Mbps/2.4 GHz, 5 Gigabit Ports, 4 External Antennas, MU-MIMO, Dual Band, WiFi Coverage with Access Point Mode, Black</t>
  </si>
  <si>
    <t>Computers&amp;Accessories|NetworkingDevices|Routers</t>
  </si>
  <si>
    <t>35,024</t>
  </si>
  <si>
    <t>boAt Rockerz 550 Over Ear Bluetooth Headphones with Upto 20 Hours Playback, 50MM Drivers, Soft Padded Ear Cushions and Physical Noise Isolation, Without Mic (Black)</t>
  </si>
  <si>
    <t>Electronics|Headphones,Earbuds&amp;Accessories|Headphones|Over-Ear</t>
  </si>
  <si>
    <t>55,192</t>
  </si>
  <si>
    <t>Xiaomi Mi Wired in Ear Earphones with Mic Basic with Ultra Deep Bass &amp; Aluminum Alloy Sound Chamber (Black)</t>
  </si>
  <si>
    <t>₹429</t>
  </si>
  <si>
    <t>1,19,466</t>
  </si>
  <si>
    <t>Zodo 8. 5 inch LCD E-Writer Electronic Writing Pad/Tablet Drawing Board (Paperless Memo Digital Tablet)</t>
  </si>
  <si>
    <t>₹100</t>
  </si>
  <si>
    <t>9,638</t>
  </si>
  <si>
    <t>Zebronics ZEB-KM2100 Multimedia USB Keyboard Comes with 114 Keys Including 12 Dedicated Multimedia Keys &amp; with Rupee Key</t>
  </si>
  <si>
    <t>33,735</t>
  </si>
  <si>
    <t>ZEBRONICS Zeb-Comfort Wired USB Mouse, 3-Button, 1000 DPI Optical Sensor, Plug &amp; Play, for Windows/Mac, Black</t>
  </si>
  <si>
    <t>3,044</t>
  </si>
  <si>
    <t>boAt Rockerz 370 On Ear Bluetooth Headphones with Upto 12 Hours Playtime, Cozy Padded Earcups and Bluetooth v5.0, with Mic (Buoyant Black)</t>
  </si>
  <si>
    <t>33,584</t>
  </si>
  <si>
    <t>ZEBRONICS Zeb-Astra 20 Wireless BT v5.0 Portable Speaker with 10W RMS Output, TWS, 10H Backup Approx, Built in Rechargeable Battery FM Radio, AUX, mSD, USB, Call Function and Dual 52mm Drivers Multi</t>
  </si>
  <si>
    <t>Electronics|HomeAudio|Speakers|BluetoothSpeakers</t>
  </si>
  <si>
    <t>₹1,049</t>
  </si>
  <si>
    <t>1,779</t>
  </si>
  <si>
    <t>Panasonic CR-2032/5BE Lithium Coin Battery - Pack of 5</t>
  </si>
  <si>
    <t>Electronics|GeneralPurposeBatteries&amp;BatteryChargers</t>
  </si>
  <si>
    <t>₹250</t>
  </si>
  <si>
    <t>26,556</t>
  </si>
  <si>
    <t>MemeHo® Smart Standard Multi-Purpose Laptop Table with Dock Stand/Study Table/Bed Table/Foldable and Portable/Ergonomic &amp; Rounded Edges/Non-Slip Legs/Engineered Wood with Cup Holder (Black)</t>
  </si>
  <si>
    <t>₹656</t>
  </si>
  <si>
    <t>25,903</t>
  </si>
  <si>
    <t>SanDisk Ultra Dual Drive Go USB Type C Pendrive for Mobile (Black, 128 GB, 5Y - SDDDC3-128G-I35)</t>
  </si>
  <si>
    <t>₹1,109</t>
  </si>
  <si>
    <t>₹2,800</t>
  </si>
  <si>
    <t>53,464</t>
  </si>
  <si>
    <t>48,448</t>
  </si>
  <si>
    <t>Tizum Mouse Pad/ Computer Mouse Mat with Anti-Slip Rubber Base | Smooth Mouse Control | Spill-Resistant Surface for Laptop, Notebook, MacBook, Gaming, Laser/ Optical Mouse, 9.4”x 7.9”, Multicolored</t>
  </si>
  <si>
    <t>₹169</t>
  </si>
  <si>
    <t>5,176</t>
  </si>
  <si>
    <t>Epson 003 65 ml for EcoTank L1110/L3100/L3101/L3110/L3115/L3116/L3150/L3151/L3152/L3156/L5190 Black Ink Bottle</t>
  </si>
  <si>
    <t>₹404</t>
  </si>
  <si>
    <t>8,614</t>
  </si>
  <si>
    <t>ZEBRONICS Zeb-Thunder Bluetooth Wireless Over Ear Headphone FM, mSD, 9 hrs Playback with Mic (Black)</t>
  </si>
  <si>
    <t>60,026</t>
  </si>
  <si>
    <t>Quantum QHM-7406 Full-Sized Keyboard with (₹) Rupee Symbol, Hotkeys and 3-pieces LED function for Desktop/Laptop/Smart TV Spill-Resistant Wired USB Keyboard with 10 million keystrokes lifespan (Black)</t>
  </si>
  <si>
    <t>3,066</t>
  </si>
  <si>
    <t>STRIFF Laptop Tabletop Stand, Fold-Up, Adjustable, Ventilated, Portable Holder for Desk, Aluminum Foldable Laptop Ergonomic Compatibility with up to 15.6-inch Laptop, All Mac, Tab, and Mobile (Silver)</t>
  </si>
  <si>
    <t>2,102</t>
  </si>
  <si>
    <t>Logitech M221 Wireless Mouse, Silent Buttons, 2.4 GHz with USB Mini Receiver, 1000 DPI Optical Tracking, 18-Month Battery Life, Ambidextrous PC / Mac / Laptop - Charcoal Grey</t>
  </si>
  <si>
    <t>34,852</t>
  </si>
  <si>
    <t>4,26,972</t>
  </si>
  <si>
    <t>Classmate Soft Cover 6 Subject Spiral Binding Notebook, Single Line, 300 Pages</t>
  </si>
  <si>
    <t>OfficeProducts|OfficePaperProducts|Paper|Stationery|Notebooks,WritingPads&amp;Diaries|WireboundNotebooks</t>
  </si>
  <si>
    <t>₹157</t>
  </si>
  <si>
    <t>₹160</t>
  </si>
  <si>
    <t>2%</t>
  </si>
  <si>
    <t>8,618</t>
  </si>
  <si>
    <t>HP 150 Wireless USB Mouse with Ergonomic and ambidextrous Design, 1600 DPI Optical Tracking, 2.4 GHz Wireless connectivity, Dual-Function Scroll Wheel and 12 Month Long Battery Life. 3-Years Warranty.</t>
  </si>
  <si>
    <t>4,018</t>
  </si>
  <si>
    <t>Duracell Rechargeable AA 1300mAh Batteries, 4Pcs</t>
  </si>
  <si>
    <t>Electronics|GeneralPurposeBatteries&amp;BatteryChargers|RechargeableBatteries</t>
  </si>
  <si>
    <t>₹479</t>
  </si>
  <si>
    <t>11,687</t>
  </si>
  <si>
    <t>boAt Airdopes 181 in-Ear True Wireless Earbuds with ENx  Tech, Beast  Mode(Low Latency Upto 60ms) for Gaming, with Mic, ASAP  Charge, 20H Playtime, Bluetooth v5.2, IPX4 &amp; IWP (Cool Grey)</t>
  </si>
  <si>
    <t>₹1,598</t>
  </si>
  <si>
    <t>11,015</t>
  </si>
  <si>
    <t>TP-Link USB Bluetooth Adapter for PC, 5.0 Bluetooth Dongle Receiver (UB500) Supports Windows 11/10/8.1/7 for Desktop, Laptop, Mouse, Keyboard, Printers, Headsets, Speakers, PS4/ Xbox Controllers</t>
  </si>
  <si>
    <t>Computers&amp;Accessories|NetworkingDevices|NetworkAdapters|BluetoothAdapters</t>
  </si>
  <si>
    <t>95,116</t>
  </si>
  <si>
    <t>SanDisk Ultra Dual Drive Luxe USB Type C Flash Drive (Silver, 128 GB, 5Y - SDDDC4-128G-I35)</t>
  </si>
  <si>
    <t>₹3,000</t>
  </si>
  <si>
    <t>23,022</t>
  </si>
  <si>
    <t>67,951</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</si>
  <si>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</si>
  <si>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</si>
  <si>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</si>
  <si>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94%</t>
  </si>
  <si>
    <t>4,426</t>
  </si>
  <si>
    <t>HP 682 Black Original Ink Cartridge</t>
  </si>
  <si>
    <t>₹828</t>
  </si>
  <si>
    <t>₹861</t>
  </si>
  <si>
    <t>4,567</t>
  </si>
  <si>
    <t>Logitech H111 Wired On Ear Headphones With Mic Black</t>
  </si>
  <si>
    <t>₹745</t>
  </si>
  <si>
    <t>13,797</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</si>
  <si>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</si>
  <si>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</si>
  <si>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</si>
  <si>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</si>
  <si>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15,137</t>
  </si>
  <si>
    <t>TP-Link TL-WA850RE Single_Band 300Mbps RJ45 Wireless Range Extender, Broadband/Wi-Fi Extender, Wi-Fi Booster/Hotspot with 1 Ethernet Port, Plug and Play, Built-in Access Point Mode, White</t>
  </si>
  <si>
    <t>₹1,469</t>
  </si>
  <si>
    <t>1,56,638</t>
  </si>
  <si>
    <t>COI Note Pad/Memo Book with Sticky Notes &amp; Clip Holder with Pen for Gifting</t>
  </si>
  <si>
    <t>OfficeProducts|OfficePaperProducts|Paper|Stationery|Notebooks,WritingPads&amp;Diaries|Notepads&amp;MemoBooks</t>
  </si>
  <si>
    <t>₹198</t>
  </si>
  <si>
    <t>9,344</t>
  </si>
  <si>
    <t>Fujifilm Instax Mini Single Pack 10 Sheets Instant Film for Fuji Instant Cameras</t>
  </si>
  <si>
    <t>Electronics|Cameras&amp;Photography|Accessories|Film</t>
  </si>
  <si>
    <t>4,875</t>
  </si>
  <si>
    <t>20,881</t>
  </si>
  <si>
    <t>Samsung Galaxy Watch4 Bluetooth(4.4 cm, Black, Compatible with Android only)</t>
  </si>
  <si>
    <t>₹12,000</t>
  </si>
  <si>
    <t>4,744</t>
  </si>
  <si>
    <t>Noise Buds Vs104 Bluetooth Truly Wireless in Ear Earbuds with Mic, 30-Hours of Playtime, Instacharge, 13Mm Driver and Hyper Sync (Charcoal Black)</t>
  </si>
  <si>
    <t>12,452</t>
  </si>
  <si>
    <t>Duracell Ultra Alkaline AAA Battery, 8 Pcs</t>
  </si>
  <si>
    <t>17,810</t>
  </si>
  <si>
    <t>JBL C200SI, Premium in Ear Wired Earphones with Mic, Signature Sound, One Button Multi-Function Remote, Angled Earbuds for Comfort fit (Blue)</t>
  </si>
  <si>
    <t>53,648</t>
  </si>
  <si>
    <t>Acer EK220Q 21.5 Inch (54.61 cm) Full HD (1920x1080) VA Panel LCD Monitor with LED Back Light I 250 Nits I HDMI, VGA Ports I Eye Care Features Like Bluelight Shield, Flickerless &amp; Comfy View (Black)</t>
  </si>
  <si>
    <t>Computers&amp;Accessories|Monitors</t>
  </si>
  <si>
    <t>₹6,299</t>
  </si>
  <si>
    <t>₹13,750</t>
  </si>
  <si>
    <t>2,014</t>
  </si>
  <si>
    <t>E-COSMOS 5V 1.2W Portable Flexible USB LED Light (Colors May Vary, Small) - Set of 2 Pieces</t>
  </si>
  <si>
    <t>Computers&amp;Accessories|Accessories&amp;Peripherals|USBGadgets|Lamps</t>
  </si>
  <si>
    <t>5,958</t>
  </si>
  <si>
    <t>boAt Dual Port Rapid Car Charger (Qualcomm Certified) with Quick Charge 3.0 + Free Micro USB Cable - (Black)</t>
  </si>
  <si>
    <t>₹571</t>
  </si>
  <si>
    <t>38,221</t>
  </si>
  <si>
    <t>Zebronics ZEB-COUNTY 3W Wireless Bluetooth Portable Speaker With Supporting Carry Handle, USB, SD Card, AUX, FM &amp; Call Function. (Green)</t>
  </si>
  <si>
    <t>64,705</t>
  </si>
  <si>
    <t>Zebronics Wired Keyboard and Mouse Combo with 104 Keys and a USB Mouse with 1200 DPI - JUDWAA 750</t>
  </si>
  <si>
    <t>₹448</t>
  </si>
  <si>
    <t>17,348</t>
  </si>
  <si>
    <t>JBL Tune 215BT, 16 Hrs Playtime with Quick Charge, in Ear Bluetooth Wireless Earphones with Mic, 12.5mm Premium Earbuds with Pure Bass, BT 5.0, Dual Pairing, Type C &amp; Voice Assistant Support (Black)</t>
  </si>
  <si>
    <t>87,798</t>
  </si>
  <si>
    <t>Gizga Essentials Professional 3-in-1 Cleaning Kit for Camera, Lens, Binocular, Laptop, TV, Monitor, Smartphone, Tablet (Includes: Cleaning Liquid 100ml, Plush Microfiber Cloth, Dust Removal Brush)</t>
  </si>
  <si>
    <t>Electronics|Cameras&amp;Photography|Accessories|Cleaners|CleaningKits</t>
  </si>
  <si>
    <t>24,432</t>
  </si>
  <si>
    <t>SanDisk Ultra Dual 64 GB USB 3.0 OTG Pen Drive (Black)</t>
  </si>
  <si>
    <t>₹579</t>
  </si>
  <si>
    <t>1,89,104</t>
  </si>
  <si>
    <t>TP-Link Tapo 360° 2MP 1080p Full HD Pan/Tilt Home Security Wi-Fi Smart Camera| Alexa Enabled| 2-Way Audio| Night Vision| Motion Detection| Sound and Light Alarm| Indoor CCTV (Tapo C200) White</t>
  </si>
  <si>
    <t>Electronics|Cameras&amp;Photography|SecurityCameras|DomeCameras</t>
  </si>
  <si>
    <t>₹3,299</t>
  </si>
  <si>
    <t>93,112</t>
  </si>
  <si>
    <t>boAt Airdopes 171 in Ear Bluetooth True Wireless Earbuds with Upto 13 Hours Battery, IPX4, Bluetooth v5.0, Dual Tone Finish with Mic (Mysterious Blue)</t>
  </si>
  <si>
    <t>47,521</t>
  </si>
  <si>
    <t>Duracell Plus AAA Rechargeable Batteries (750 mAh) Pack of 4</t>
  </si>
  <si>
    <t>27,201</t>
  </si>
  <si>
    <t>Logitech B100 Wired USB Mouse, 3 yr Warranty, 800 DPI Optical Tracking, Ambidextrous PC/Mac/Laptop - Black</t>
  </si>
  <si>
    <t>₹375</t>
  </si>
  <si>
    <t>31,534</t>
  </si>
  <si>
    <t>Noise Pulse Buzz 1.69" Bluetooth Calling Smart Watch with Call Function, 150 Watch Faces, 60 Sports Modes, Spo2 &amp; Heart Rate Monitoring, Calling Smart Watch for Men &amp; Women - Jet Black</t>
  </si>
  <si>
    <t>Classmate 2100117 Soft Cover 6 Subject Spiral Binding Notebook, Single Line, 300 Pages</t>
  </si>
  <si>
    <t>₹137</t>
  </si>
  <si>
    <t>6,537</t>
  </si>
  <si>
    <t>AirCase Rugged Hard Drive Case for 2.5-inch Western Digital, Seagate, Toshiba, Portable Storage Shell for Gadget Hard Disk USB Cable Power Bank Mobile Charger Earphone, Waterproof (Black)</t>
  </si>
  <si>
    <t>21,010</t>
  </si>
  <si>
    <t>Noise Buds VS402 Truly Wireless in Ear Earbuds, 35-Hours of Playtime, Instacharge, Quad Mic with ENC, Hyper Sync, Low Latency, 10mm Driver, Bluetooth v5.3 and Breathing LED Lights (Neon Black)</t>
  </si>
  <si>
    <t>3,517</t>
  </si>
  <si>
    <t>JBL Go 2, Wireless Portable Bluetooth Speaker with Mic, JBL Signature Sound, Vibrant Color Options with IPX7 Waterproof &amp; AUX (Blue)</t>
  </si>
  <si>
    <t>63,899</t>
  </si>
  <si>
    <t>Robustrion Tempered Glass Screen Protector for iPad 10.2 inch 9th Gen Generation 2021 8th Gen 2020 7th Gen 2019</t>
  </si>
  <si>
    <t>Computers&amp;Accessories|Accessories&amp;Peripherals|TabletAccessories|ScreenProtectors</t>
  </si>
  <si>
    <t>5,730</t>
  </si>
  <si>
    <t>Redgear Pro Wireless Gamepad with 2.4GHz Wireless Technology, Integrated Dual Intensity Motor, Illuminated Keys for PC(Compatible with Windows 7/8/8.1/10 only)</t>
  </si>
  <si>
    <t>Computers&amp;Accessories|Accessories&amp;Peripherals|PCGamingPeripherals|Gamepads</t>
  </si>
  <si>
    <t>25,488</t>
  </si>
  <si>
    <t>Logitech M235 Wireless Mouse, 1000 DPI Optical Tracking, 12 Month Life Battery, Compatible with Windows, Mac, Chromebook/PC/Laptop</t>
  </si>
  <si>
    <t>54,405</t>
  </si>
  <si>
    <t>TP-link N300 WiFi Wireless Router TL-WR845N | 300Mbps Wi-Fi Speed | Three 5dBi high gain Antennas | IPv6 Compatible | AP/RE/WISP Mode | Parental Control | Guest Network</t>
  </si>
  <si>
    <t>1,22,478</t>
  </si>
  <si>
    <t>Logitech MK240 Nano Wireless USB Keyboard and Mouse Set, 12 Function Keys 2.4GHz Wireless, 1000DPI, Spill-Resistant Design, PC/Mac, Black/Chartreuse Yellow</t>
  </si>
  <si>
    <t>₹1,495</t>
  </si>
  <si>
    <t>7,241</t>
  </si>
  <si>
    <t>Callas Multipurpose Foldable Laptop Table with Cup Holder | Drawer | Mac Holder | Table Holder Study Table, Breakfast Table, Foldable and Portable/Ergonomic &amp; Rounded Edges/Non-Slip Legs (WA-27-Black)</t>
  </si>
  <si>
    <t>20,457</t>
  </si>
  <si>
    <t>Casio MJ-12D 150 Steps Check and Correct Desktop Calculator</t>
  </si>
  <si>
    <t>OfficeProducts|OfficeElectronics|Calculators|Basic</t>
  </si>
  <si>
    <t>₹440</t>
  </si>
  <si>
    <t>8,610</t>
  </si>
  <si>
    <t>Amazon Basics Multipurpose Foldable Laptop Table with Cup Holder, Brown</t>
  </si>
  <si>
    <t>1,087</t>
  </si>
  <si>
    <t>Kanget [2 Pack] Type C Female to USB A Male Charger | Charging Cable Adapter Converter compatible for iPhone 14, 13, 12,11 Pro Max/Mini/XR/XS/X/SE, Samsung S20 ultra/S21/S10/S8/S9/MacBook Pro iPad (Grey)</t>
  </si>
  <si>
    <t>1,540</t>
  </si>
  <si>
    <t>Amazon Basics Magic Slate 8.5-inch LCD Writing Tablet with Stylus Pen, for Drawing, Playing, Noting by Kids &amp; Adults, Black</t>
  </si>
  <si>
    <t>401</t>
  </si>
  <si>
    <t>Zebronics ZEB-90HB USB Hub, 4 Ports, Pocket Sized, Plug &amp; Play, for Laptop &amp; Computers</t>
  </si>
  <si>
    <t>Computers&amp;Accessories|Accessories&amp;Peripherals|USBHubs</t>
  </si>
  <si>
    <t>9,385</t>
  </si>
  <si>
    <t>Noise ColorFit Pro 2 Full Touch Control Smart Watch with 35g Weight &amp; Upgraded LCD Display,IP68 Waterproof,Heart Rate Monitor,Sleep &amp; Step Tracker,Call &amp; Message Alerts &amp; Long Battery Life (Jet Black)</t>
  </si>
  <si>
    <t>Zebronics Zeb Buds C2 in Ear Type C Wired Earphones with Mic, Braided 1.2 Metre Cable, Metallic Design, 10mm Drivers, in Line Mic &amp; Volume Controller (Blue)</t>
  </si>
  <si>
    <t>3,454</t>
  </si>
  <si>
    <t>Redgear A-15 Wired Gaming Mouse with Upto 6400 DPI, RGB &amp; Driver Customization for PC(Black)</t>
  </si>
  <si>
    <t>15,790</t>
  </si>
  <si>
    <t>JBL Commercial CSLM20B Auxiliary Omnidirectional Lavalier Microphone with Battery for Content Creation, Voiceover/Dubbing, Recording (Black,Small)</t>
  </si>
  <si>
    <t>Computers&amp;Accessories|Accessories&amp;Peripherals|Audio&amp;VideoAccessories|PCMicrophones</t>
  </si>
  <si>
    <t>₹2,000</t>
  </si>
  <si>
    <t>14,969</t>
  </si>
  <si>
    <t>Fire-Boltt India's No 1 Smartwatch Brand Ring Bluetooth Calling with SpO2 &amp; 1.7” Metal Body with Blood Oxygen Monitoring, Continuous Heart Rate, Full Touch &amp; Multiple Watch Faces</t>
  </si>
  <si>
    <t>42,139</t>
  </si>
  <si>
    <t>Eveready Red 1012 AAA Batteries - Pack of 10</t>
  </si>
  <si>
    <t>12%</t>
  </si>
  <si>
    <t>989</t>
  </si>
  <si>
    <t>SanDisk Extreme microSD UHS I Card 128GB for 4K Video on Smartphones,Action Cams 190MB/s Read,90MB/s Write</t>
  </si>
  <si>
    <t>₹1,329</t>
  </si>
  <si>
    <t>₹2,900</t>
  </si>
  <si>
    <t>19,624</t>
  </si>
  <si>
    <t>Portronics MPORT 31C 4-in-1 USB Hub (Type C to 4 USB-A Ports) with Fast Data Transfer</t>
  </si>
  <si>
    <t>₹570</t>
  </si>
  <si>
    <t>3,201</t>
  </si>
  <si>
    <t>Infinity (JBL Fuze Pint, Wireless Ultra Portable Mini Speaker with Mic, Deep Bass, Dual Equalizer, Bluetooth 5.0 with Voice Assistant Support for Mobiles (Black)</t>
  </si>
  <si>
    <t>Electronics|HomeAudio|Speakers|OutdoorSpeakers</t>
  </si>
  <si>
    <t>30,469</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</si>
  <si>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</si>
  <si>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</si>
  <si>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9,940</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</si>
  <si>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</si>
  <si>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</si>
  <si>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7,758</t>
  </si>
  <si>
    <t>TP-Link AC750 Dual Band Wireless Cable Router, 4 10/100 LAN + 10/100 WAN Ports, Support Guest Network and Parental Control, 750Mbps Speed Wi-Fi, 3 Antennas (Archer C20) Blue, 2.4 GHz</t>
  </si>
  <si>
    <t>₹1,529</t>
  </si>
  <si>
    <t>68,409</t>
  </si>
  <si>
    <t>Parker Quink Ink Bottle, Blue</t>
  </si>
  <si>
    <t>OfficeProducts|OfficePaperProducts|Paper|Stationery|Pens,Pencils&amp;WritingSupplies|Pens&amp;Refills|BottledInk</t>
  </si>
  <si>
    <t>3,095</t>
  </si>
  <si>
    <t>STRIFF Laptop Stand Adjustable Laptop Computer Stand Multi-Angle Stand Phone Stand Portable Foldable Laptop Riser Notebook Holder Stand Compatible for 9 to 15.6” Laptops Black(Black)</t>
  </si>
  <si>
    <t>903</t>
  </si>
  <si>
    <t>Logitech MK215 Wireless Keyboard and Mouse Combo for Windows, 2.4 GHz Wireless, Compact Design, 2-Year Battery Life(Keyboard),5 Month Battery Life(Mouse) PC/Laptop- Black</t>
  </si>
  <si>
    <t>₹1,795</t>
  </si>
  <si>
    <t>25,771</t>
  </si>
  <si>
    <t>boAt Bassheads 225 in Ear Wired Earphones with Mic(Blue)</t>
  </si>
  <si>
    <t>2,73,189</t>
  </si>
  <si>
    <t>Luxor 5 Subject Single Ruled Notebook - A4, 70 GSM, 300 pages</t>
  </si>
  <si>
    <t>OfficeProducts|OfficePaperProducts|Paper|Stationery|Notebooks,WritingPads&amp;Diaries|CompositionNotebooks</t>
  </si>
  <si>
    <t>3,785</t>
  </si>
  <si>
    <t>Duracell Chhota Power AA Battery Set of 10 Pcs</t>
  </si>
  <si>
    <t>₹190</t>
  </si>
  <si>
    <t>₹220</t>
  </si>
  <si>
    <t>2,866</t>
  </si>
  <si>
    <t>Zebronics Zeb-Transformer Gaming Keyboard and Mouse Combo (USB, Braided Cable)</t>
  </si>
  <si>
    <t>27,223</t>
  </si>
  <si>
    <t>SanDisk Ultra 64 GB USB Pen Drives (SDDDC2-064G-I35, Black, Silver)</t>
  </si>
  <si>
    <t>₹729</t>
  </si>
  <si>
    <t>₹1,650</t>
  </si>
  <si>
    <t>82,356</t>
  </si>
  <si>
    <t>Parker Classic Gold Gold Trim Ball Pen</t>
  </si>
  <si>
    <t>OfficeProducts|OfficePaperProducts|Paper|Stationery|Pens,Pencils&amp;WritingSupplies|Pens&amp;Refills|RetractableBallpointPens</t>
  </si>
  <si>
    <t>₹480</t>
  </si>
  <si>
    <t>5,719</t>
  </si>
  <si>
    <t>Tarkan Portable Folding Laptop Desk for Bed, Lapdesk with Handle, Drawer, Cup &amp; Mobile/Tablet Holder for Study, Eating, Work (Black)</t>
  </si>
  <si>
    <t>1,690</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</si>
  <si>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</si>
  <si>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</si>
  <si>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</si>
  <si>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8,372</t>
  </si>
  <si>
    <t>HP USB Wireless Spill Resistance Keyboard and Mouse Set with 10m Working Range 2.4G Wireless Technology / 3 Years Warranty (4SC12PA), Black</t>
  </si>
  <si>
    <t>₹1,349</t>
  </si>
  <si>
    <t>₹2,198</t>
  </si>
  <si>
    <t>7,113</t>
  </si>
  <si>
    <t>HUMBLE Dynamic Lapel Collar Mic Voice Recording Filter Microphone for Singing Youtube SmartPhones, Black</t>
  </si>
  <si>
    <t>2,804</t>
  </si>
  <si>
    <t>Boult Audio Omega with 30dB ANC+ ENC, 32H Playtime, 45ms Latency Gaming Mode, Quad Mic Zen ENC, 3 Equalizer Modes, ANC, Type-C Fast Charging, IPX5 True Wireless in Ear Bluetooth Earbuds (Black)</t>
  </si>
  <si>
    <t>1,986</t>
  </si>
  <si>
    <t>STRIFF UPH2W Multi Angle Tablet/Mobile Stand. Holder for iPhone, Android, Samsung, OnePlus, Xiaomi. Portable,Foldable Stand.Perfect for Bed,Office, Home,Gift and Desktop (White)</t>
  </si>
  <si>
    <t>Amazon Basics Wireless Mouse | 2.4 GHz Connection, 1600 DPI | Type - C Adapter | Upto 12 Months of Battery Life | Ambidextrous Design | Suitable for PC/Mac/Laptop</t>
  </si>
  <si>
    <t>Crucial RAM 8GB DDR4 3200MHz CL22 (or 2933MHz or 2666MHz) Laptop Memory CT8G4SFRA32A</t>
  </si>
  <si>
    <t>Computers&amp;Accessories|Components|Memory</t>
  </si>
  <si>
    <t>₹1,792</t>
  </si>
  <si>
    <t>26,194</t>
  </si>
  <si>
    <t>APC Back-UPS BX600C-IN 600VA / 360W, 230V, UPS System, an Ideal Power Backup &amp; Protection for Home Office, Desktop PC &amp; Home Electronics</t>
  </si>
  <si>
    <t>Computers&amp;Accessories|Accessories&amp;Peripherals|UninterruptedPowerSupplies</t>
  </si>
  <si>
    <t>₹4,100</t>
  </si>
  <si>
    <t>15,783</t>
  </si>
  <si>
    <t>Luxor 5 Subject Single Ruled Notebook - A5 Size, 70 GSM, 300 Pages</t>
  </si>
  <si>
    <t>₹125</t>
  </si>
  <si>
    <t>8,053</t>
  </si>
  <si>
    <t>Zebronics Zeb-Jaguar Wireless Mouse, 2.4GHz with USB Nano Receiver, High Precision Optical Tracking, 4 Buttons, Plug &amp; Play, Ambidextrous, for PC/Mac/Laptop (Black+Grey)</t>
  </si>
  <si>
    <t>₹1,190</t>
  </si>
  <si>
    <t>2,809</t>
  </si>
  <si>
    <t>Boult Audio Truebuds with 30H Playtime, IPX7 Waterproof, Lightning Boult™ Type C Fast Charging (10 Min=100Mins), BoomX™ Tech Rich Bass, Pro+ Calling HD Mic, Touch Controls in Ear Earbuds TWS (Grey)</t>
  </si>
  <si>
    <t>25,910</t>
  </si>
  <si>
    <t>Wembley LCD Writing Pad/Tab | Writing, Drawing, Reusable, Portable Pad with Colorful Letters | 9 Inch Graphic Tablet (Assorted)</t>
  </si>
  <si>
    <t>1,173</t>
  </si>
  <si>
    <t>Gizga Essentials Multi-Purpose Portable &amp; Foldable Wooden Desk for Bed Tray, Laptop Table, Study Table (Black)</t>
  </si>
  <si>
    <t>6,422</t>
  </si>
  <si>
    <t>E-COSMOS Plug in LED Night Light Mini USB LED Light Flexible USB LED Ambient Light Mini USB LED Light, LED Portable car Bulb, Indoor, Outdoor, Reading, Sleep (4 pcs)</t>
  </si>
  <si>
    <t>241</t>
  </si>
  <si>
    <t>Noise Buds VS201 V2 in-Ear Truly Wireless Earbuds with Dual Equalizer | with Mic | Total 14-Hour Playtime | Full Touch Control | IPX5 Water Resistance and Bluetooth v5.1 (Olive Green)</t>
  </si>
  <si>
    <t>14,629</t>
  </si>
  <si>
    <t>Lapster Gel Mouse pad with Wrist Rest , Gaming Mouse Pad with Lycra Cloth Nonslip for Laptop , Computer, , Home &amp; Office (Black)</t>
  </si>
  <si>
    <t>1,528</t>
  </si>
  <si>
    <t>Gizga Essentials Earphone Carrying Case, Multi-Purpose Pocket Storage Travel Organizer for Earphones, Headset, Pen Drives, SD Cards, Shock-Proof Ballistic Nylon, Soft Fabric, Mesh Pocket, Green</t>
  </si>
  <si>
    <t>Electronics|Headphones,Earbuds&amp;Accessories|Cases</t>
  </si>
  <si>
    <t>15,032</t>
  </si>
  <si>
    <t>SanDisk Ultra SDHC UHS-I Card 32GB 120MB/s R for DSLR Cameras, for Full HD Recording, 10Y Warranty</t>
  </si>
  <si>
    <t>Electronics|Accessories|MemoryCards|SecureDigitalCards</t>
  </si>
  <si>
    <t>69,585</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</si>
  <si>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</si>
  <si>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</si>
  <si>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</si>
  <si>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14,371</t>
  </si>
  <si>
    <t>Classmate Long Notebook - 140 Pages, Single Line, 297mm x 210mm (Pack of 12)</t>
  </si>
  <si>
    <t>₹561</t>
  </si>
  <si>
    <t>₹720</t>
  </si>
  <si>
    <t>3,182</t>
  </si>
  <si>
    <t>Lenovo 300 Wired Plug &amp; Play USB Mouse, High Resolution 1600 DPI Optical Sensor, 3-Button Design with clickable Scroll Wheel, Ambidextrous, Ergonomic Mouse for Comfortable All-Day Grip (GX30M39704)</t>
  </si>
  <si>
    <t>₹590</t>
  </si>
  <si>
    <t>25,886</t>
  </si>
  <si>
    <t>Dyazo 6 Angles Adjustable Aluminum Ergonomic Foldable Portable Tabletop Laptop/Desktop Riser Stand Holder Compatible for MacBook, HP, Dell, Lenovo &amp; All Other Notebook (Silver)</t>
  </si>
  <si>
    <t>4,736</t>
  </si>
  <si>
    <t>Western Digital WD 2TB My Passport Portable Hard Disk Drive, USB 3.0 with  Automatic Backup, 256 Bit AES Hardware Encryption,Password Protection,Compatible with Windows and Mac, External HDD-Black</t>
  </si>
  <si>
    <t>₹5,599</t>
  </si>
  <si>
    <t>₹7,350</t>
  </si>
  <si>
    <t>73,005</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</si>
  <si>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</si>
  <si>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</si>
  <si>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</si>
  <si>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20,398</t>
  </si>
  <si>
    <t>Portronics MPORT 31 4 Ports USB Hub (USB A to 4 USB-A Ports 4 in 1 Connector USB HUB(Grey)</t>
  </si>
  <si>
    <t>2,125</t>
  </si>
  <si>
    <t>AirCase Protective Laptop Bag Sleeve fits Upto 15.6" Laptop/ MacBook, Wrinkle Free, Padded, Waterproof Light Neoprene case Cover Pouch, for Men &amp; Women, Black- 6 Months Warranty</t>
  </si>
  <si>
    <t>11,330</t>
  </si>
  <si>
    <t>Zinq Five Fan Cooling Pad and Laptop Stand with Dual Height Adjustment and Dual USB Port Extension (Black)</t>
  </si>
  <si>
    <t>Computers&amp;Accessories|Accessories&amp;Peripherals|LaptopAccessories|CoolingPads</t>
  </si>
  <si>
    <t>27,441</t>
  </si>
  <si>
    <t>Gizga Essentials Webcam Cover, Privacy Protector Webcam Cover Slide, Compatible with Laptop, Desktop, PC, Smartphone, Protect Your Privacy and Security, Strong Adhesive, Set of 3, Black</t>
  </si>
  <si>
    <t>₹69</t>
  </si>
  <si>
    <t>255</t>
  </si>
  <si>
    <t>HP Z3700 Wireless Optical Mouse with USB Receiver and 2.4GHz Wireless Connection/ 1200DPI / 16 Months Long Battery Life /Ambidextrous and Slim Design (Modern Gold)</t>
  </si>
  <si>
    <t>23,174</t>
  </si>
  <si>
    <t>MAONO AU-400 Lavalier Auxiliary Omnidirectional Microphone (Black)</t>
  </si>
  <si>
    <t>₹478</t>
  </si>
  <si>
    <t>20,218</t>
  </si>
  <si>
    <t>TABLE MAGIC Multipurpose Laptop Table Mat Finish Top Work at Home Study Table (TM Regular- Black) (Alloy Steel)</t>
  </si>
  <si>
    <t>Computers&amp;Accessories|Accessories&amp;Peripherals|LaptopAccessories</t>
  </si>
  <si>
    <t>₹2,490</t>
  </si>
  <si>
    <t>11,074</t>
  </si>
  <si>
    <t>GIZGA Essentials Portable Tabletop Tablet Stand Mobile Holder, Desktop Stand, Cradle, Dock for iPad, Smartphone, Kindle, E-Reader, Fully Foldable, Adjustable Angle, Anti-Slip Pads, Black</t>
  </si>
  <si>
    <t>Computers&amp;Accessories|Accessories&amp;Peripherals|TabletAccessories|Stands</t>
  </si>
  <si>
    <t>25,607</t>
  </si>
  <si>
    <t>boAt Stone 650 10W Bluetooth Speaker with Upto 7 Hours Playback, IPX5 and Integrated Controls (Blue)</t>
  </si>
  <si>
    <t>₹4,990</t>
  </si>
  <si>
    <t>41,226</t>
  </si>
  <si>
    <t>ESnipe Mart Worldwide Travel Adapter with Build in Dual USB Charger Ports with 125V 6A, 250V Protected Electrical Plug for Laptops, Cameras (White)</t>
  </si>
  <si>
    <t>HomeImprovement|Electrical|Adapters&amp;Multi-Outlets</t>
  </si>
  <si>
    <t>₹425</t>
  </si>
  <si>
    <t>boAt Stone 180 5W Bluetooth Speaker with Upto 10 Hours Playback, 1.75" Driver, IPX7 &amp; TWS Feature(Black)</t>
  </si>
  <si>
    <t>18,331</t>
  </si>
  <si>
    <t>Portronics Ruffpad 8.5M Multicolor LCD Writing Pad with Screen 21.5cm (8.5-inch) for Drawing, Playing, Handwriting Gifts for Kids &amp; Adults, India's first notepad to save and share your child's first creatives via Ruffpad app on your Smartphone(Black)</t>
  </si>
  <si>
    <t>₹378</t>
  </si>
  <si>
    <t>BRUSTRO Copytinta Coloured Craft Paper A4 Size 80 GSM Mixed Bright Colour 40 Sheets Pack (10 cols X 4 Sheets) Double Side Color for Office Printing, Art and Craft.</t>
  </si>
  <si>
    <t>OfficeProducts|OfficePaperProducts|Paper|Copy&amp;PrintingPaper|ColouredPaper</t>
  </si>
  <si>
    <t>388</t>
  </si>
  <si>
    <t>Cuzor 12V Mini ups for WiFi Router | Power Backup up to 4 Hours | Replaceable Battery | Ups for Wi-Fi Router and Modem | Ups for Router up to 2A | ups for uninterrupted wi-fi</t>
  </si>
  <si>
    <t>8,656</t>
  </si>
  <si>
    <t>Crucial BX500 240GB 3D NAND SATA 6.35 cm (2.5-inch) SSD (CT240BX500SSD1)</t>
  </si>
  <si>
    <t>Computers&amp;Accessories|Components|InternalSolidStateDrives</t>
  </si>
  <si>
    <t>₹1,815</t>
  </si>
  <si>
    <t>92,925</t>
  </si>
  <si>
    <t>Classmate Pulse Spiral Notebook - 240 mm x 180 mm, Soft Cover, 200 Pages, Unruled</t>
  </si>
  <si>
    <t>₹67</t>
  </si>
  <si>
    <t>₹75</t>
  </si>
  <si>
    <t>Portronics My buddy plus Adjustable Laptop cooling Table (Brown)</t>
  </si>
  <si>
    <t>17,394</t>
  </si>
  <si>
    <t>ZEBRONICS Zeb-Evolve Wireless in Ear Neckband Earphone with Supporting Bluetooth v5.0, Voice Assistant, Rapid Charge, Call Function &amp; Magnetic Earpiece, with mic (Metallic Blue)</t>
  </si>
  <si>
    <t>9,169</t>
  </si>
  <si>
    <t>INOVERA World Map Extended Anti Slip Rubber Gaming Stitched Mouse Pad Desk Mat for Computer Laptop (Black, 900L x 400B x 2H mm)</t>
  </si>
  <si>
    <t>1,030</t>
  </si>
  <si>
    <t>Seagate One Touch 2TB External HDD with Password Protection – Black, for Windows and Mac, with 3 yr Data Recovery Services, and 4 Months Adobe CC Photography (STKY2000400)</t>
  </si>
  <si>
    <t>₹5,799</t>
  </si>
  <si>
    <t>50,273</t>
  </si>
  <si>
    <t>ZEBRONICS Zeb-Fame 5watts 2.0 Multi Media Speakers with AUX, USB and Volume Control (Black)</t>
  </si>
  <si>
    <t>Electronics|HomeAudio|Speakers|MultimediaSpeakerSystems</t>
  </si>
  <si>
    <t>6,742</t>
  </si>
  <si>
    <t>TVARA LCD Writing Tablet 8.5 Inch E-Note Pad LCD Writing Tablet, Kids Drawing Pad 8.5 Inch Doodle Board, Toddler Boy and Girl Learning Gift for 3 4 5 6 Years Old, Black</t>
  </si>
  <si>
    <t>1,208</t>
  </si>
  <si>
    <t>1,933</t>
  </si>
  <si>
    <t>Western Digital WD 1.5TB Elements Portable Hard Disk Drive, USB 3.0, Compatible with PC, PS4 and Xbox, External HDD (WDBU6Y0015BBK-WESN)</t>
  </si>
  <si>
    <t>₹4,449</t>
  </si>
  <si>
    <t>₹5,734</t>
  </si>
  <si>
    <t>25,006</t>
  </si>
  <si>
    <t>Redgear MP35 Speed-Type Gaming Mousepad (Black/Red)</t>
  </si>
  <si>
    <t>33,434</t>
  </si>
  <si>
    <t>Lenovo 400 Wireless Mouse, 1200DPI Optical Sensor, 2.4GHz Wireless Nano USB, 3-Button (Left,Right,Scroll) Upto 8M Left/Right &amp; 100K Scroll clicks &amp; 1yr Battery, Ambidextrous, Ergonomic GY50R91293</t>
  </si>
  <si>
    <t>₹629</t>
  </si>
  <si>
    <t>₹1,390</t>
  </si>
  <si>
    <t>6,301</t>
  </si>
  <si>
    <t>Logitech K480 Wireless Multi-Device Keyboard for Windows, macOS, iPadOS, Android or Chrome OS, Bluetooth, Compact, Compatible with PC, Mac, Laptop, Smartphone, Tablet - Black</t>
  </si>
  <si>
    <t>₹3,295</t>
  </si>
  <si>
    <t>22,618</t>
  </si>
  <si>
    <t>RESONATE RouterUPS CRU12V2A | Zero Drop | UPS for WiFi Router | Mini UPS | Up to 4 Hours PowerBackup | Battery Replacement Program | Router UPS Compatible with 12V &lt;2A Routers, FTTH, Modem, Set Top Box, Alexa, Mini Camera</t>
  </si>
  <si>
    <t>₹2,911</t>
  </si>
  <si>
    <t>20,342</t>
  </si>
  <si>
    <t>3M Post-it Sticky Note Cube, 200 Sheets (4 Colors x 50 Sheets) | 3" x 3" Size | For notes, reminders, study, school and organizing</t>
  </si>
  <si>
    <t>₹90</t>
  </si>
  <si>
    <t>₹175</t>
  </si>
  <si>
    <t>7,429</t>
  </si>
  <si>
    <t>OFIXO Multi-Purpose Laptop Table/Study Table/Bed Table/Foldable and Portable Wooden/Writing Desk (Wooden)</t>
  </si>
  <si>
    <t>26,423</t>
  </si>
  <si>
    <t>Fire-Boltt Ninja Calling 1.69" Bluetooth Calling Smart Watch, Dial Pad, Speaker, AI Voice Assistant with 450 NITS Peak Brightness, Wrist Gaming &amp; 100+ Watch Faces with SpO2, HR, Multiple Sports Mode</t>
  </si>
  <si>
    <t>31,305</t>
  </si>
  <si>
    <t>Airtel AMF-311WW Data Card (Black), 4g Hotspot Support with 2300 Mah Battery</t>
  </si>
  <si>
    <t>Computers&amp;Accessories|NetworkingDevices|DataCards&amp;Dongles</t>
  </si>
  <si>
    <t>₹3,250</t>
  </si>
  <si>
    <t>11,213</t>
  </si>
  <si>
    <t>Gizga Essentials Laptop Power Cable Cord- 3 Pin Adapter Isi Certified(1 Meter/3.3 Feet)</t>
  </si>
  <si>
    <t>Computers&amp;Accessories|Accessories&amp;Peripherals|LaptopAccessories|LaptopChargers&amp;PowerSupplies</t>
  </si>
  <si>
    <t>10,174</t>
  </si>
  <si>
    <t>Logitech MK270r USB Wireless Keyboard and Mouse Set for Windows, 2.4 GHz Wireless, Spill-resistant Design, 8 Multimedia &amp; Shortcut Keys, 2-Year Battery Life, PC/Laptop- Black</t>
  </si>
  <si>
    <t>₹1,345</t>
  </si>
  <si>
    <t>₹2,295</t>
  </si>
  <si>
    <t>17,413</t>
  </si>
  <si>
    <t>DIGITEK® (DTR-200MT) (18 CM) Portable &amp; Flexible Mini Tripod with Mobile Holder &amp; 360 Degree Ball Head, For Smart Phones, Compact Cameras, GoPro, Maximum Operating Height: 7.87 Inch, Maximum Load Upto: 1 kgs</t>
  </si>
  <si>
    <t>6,676</t>
  </si>
  <si>
    <t>FEDUS Cat6 Ethernet Cable, 10 Meter High Speed 550MHZ / 10 Gigabit Speed UTP LAN Cable, Network Cable Internet Cable RJ45 Cable LAN Wire, Patch Computer Cord Gigabit Category 6 Wires for Modem, Router</t>
  </si>
  <si>
    <t>₹287</t>
  </si>
  <si>
    <t>8,076</t>
  </si>
  <si>
    <t>Kingston DataTraveler Exodia DTX/32 GB Pen Drive USB 3.2 Gen 1 (Multicolor)</t>
  </si>
  <si>
    <t>₹450</t>
  </si>
  <si>
    <t>18,656</t>
  </si>
  <si>
    <t>Duracell Rechargeable AA 2500mAh Batteries, 4 Pcs</t>
  </si>
  <si>
    <t>₹879</t>
  </si>
  <si>
    <t>31,599</t>
  </si>
  <si>
    <t>ENVIE® (AA10004PLNi-CD) AA Rechargeable Batteries, Low Self Discharge, AA 1000mAh Ni-CD (Pack of 4)</t>
  </si>
  <si>
    <t>13,971</t>
  </si>
  <si>
    <t>ZEBRONICS Zeb-Buds 30 3.5Mm Stereo Wired in Ear Earphones with Mic for Calling, Volume Control, Multifunction Button, 14Mm Drivers, Stylish Eartip,1.2 Meter Durable Cable and Lightweight Design(Red)</t>
  </si>
  <si>
    <t>2,492</t>
  </si>
  <si>
    <t>575</t>
  </si>
  <si>
    <t>LAPSTER Accessories Power Cable Cord 2 Pin Laptop Adapter and Tape Recorder 1.5M</t>
  </si>
  <si>
    <t>2,523</t>
  </si>
  <si>
    <t>Portronics Ruffpad 12E Re-Writable LCD Writing Pad with 30.4cm (12 inch) Writing Area, Single Tap Erase, Smart Lock, Long Battery Life, India's first notepad to save and share your child's first creatives via Ruffpad app on your Smartphone(Black)</t>
  </si>
  <si>
    <t>₹469</t>
  </si>
  <si>
    <t>352</t>
  </si>
  <si>
    <t>Verilux® USB C Hub Multiport Adapter- 6 in 1 Portable Aluminum Type C Hub with 4K HDMI Output, USB 2.0/3.0 Ports, SD/Micro SD Card Reader Compatible for MacBook Pro 2016-2020, MacBook Air 2018-2020, Type-C Devices</t>
  </si>
  <si>
    <t>₹1,187</t>
  </si>
  <si>
    <t>₹1,929</t>
  </si>
  <si>
    <t>1,662</t>
  </si>
  <si>
    <t>Zebronics Zeb Wonderbar 10 USB Powered 2.0 Computer Speaker with RGB Lights</t>
  </si>
  <si>
    <t>Computers&amp;Accessories|Accessories&amp;Peripherals|Audio&amp;VideoAccessories|PCSpeakers</t>
  </si>
  <si>
    <t>7,352</t>
  </si>
  <si>
    <t>HP Wired Mouse 100 with 1600 DPI Optical Sensor, USB Plug-and -Play,ambidextrous Design, Built-in Scrolling and 3 Handy Buttons. 3-Years Warranty (6VY96AA)</t>
  </si>
  <si>
    <t>₹328</t>
  </si>
  <si>
    <t>3,441</t>
  </si>
  <si>
    <t>Anjaney Enterprise Smart Multipurpose Foldable Laptop Table with Cup Holder, Study Table, Bed Table, Breakfast Table, Foldable and Portable/Ergonomic &amp; Rounded Edges/Non-Slip (Black)</t>
  </si>
  <si>
    <t>93</t>
  </si>
  <si>
    <t>ENVIE ECR-20 Charger for AA &amp; AAA Rechargeable Batteries</t>
  </si>
  <si>
    <t>Electronics|Cameras&amp;Photography|Accessories|Batteries&amp;Chargers|BatteryChargers</t>
  </si>
  <si>
    <t>₹400</t>
  </si>
  <si>
    <t>40,895</t>
  </si>
  <si>
    <t>ProElite Faux Leather Smart Flip Case Cover for Apple iPad 10.2" 9th Gen (2021) / 8th Gen / 7th Gen with Stylus Pen, Black</t>
  </si>
  <si>
    <t>Computers&amp;Accessories|Accessories&amp;Peripherals|TabletAccessories|Bags,Cases&amp;Sleeves|Cases</t>
  </si>
  <si>
    <t>11,006</t>
  </si>
  <si>
    <t>Classmate Pulse 6 Subject Notebook - Unruled, 300 Pages, Spiral Binding, 240mm*180mm</t>
  </si>
  <si>
    <t>₹114</t>
  </si>
  <si>
    <t>8,938</t>
  </si>
  <si>
    <t>Pentonic Multicolor Ball Point Pen, Pack of 10</t>
  </si>
  <si>
    <t>OfficeProducts|OfficePaperProducts|Paper|Stationery|Pens,Pencils&amp;WritingSupplies|Pens&amp;Refills|StickBallpointPens</t>
  </si>
  <si>
    <t>4,308</t>
  </si>
  <si>
    <t>1,07,686</t>
  </si>
  <si>
    <t>Logitech Pebble M350 Wireless Mouse with Bluetooth or USB - Silent, Slim Computer Mouse with Quiet Click for Laptop, Notebook, PC and Mac - Graphite</t>
  </si>
  <si>
    <t>10,652</t>
  </si>
  <si>
    <t>Apsara Platinum Pencils Value Pack - Pack of 20</t>
  </si>
  <si>
    <t>Home&amp;Kitchen|CraftMaterials|DrawingMaterials|DrawingMedia|Pencils|WoodenPencils</t>
  </si>
  <si>
    <t>5,036</t>
  </si>
  <si>
    <t>Zebronics Zeb-Power Wired USB Mouse, 3-Button, 1200 DPI Optical Sensor, Plug &amp; Play, for Windows/Mac</t>
  </si>
  <si>
    <t>5,057</t>
  </si>
  <si>
    <t>Ant Esports GM320 RGB Optical Wired Gaming Mouse | 8 Programmable Buttons | 12800 DPI</t>
  </si>
  <si>
    <t>₹575</t>
  </si>
  <si>
    <t>8,537</t>
  </si>
  <si>
    <t>Pilot V7 Liquid Ink Roller Ball Pen (2 Blue + 1 Black)</t>
  </si>
  <si>
    <t>₹178</t>
  </si>
  <si>
    <t>2,450</t>
  </si>
  <si>
    <t>boAt Airdopes 191G True Wireless Earbuds with ENx™ Tech Equipped Quad Mics, Beast™ Mode(Low Latency- 65ms) for Gaming, 2x6mm Dual Drivers, 30H Playtime, IPX5, IWP™, Appealing Case LEDs(Sport Blue)</t>
  </si>
  <si>
    <t>676</t>
  </si>
  <si>
    <t>Boult Audio BassBuds Oak in-Ear Wired Earphones with 10mm Extra Bass Driver and HD Sound with mic(Brown)</t>
  </si>
  <si>
    <t>IT2M Designer Mouse Pad for Laptop/Computer (9.2 X 7.6 Inches, 12788)</t>
  </si>
  <si>
    <t>9,998</t>
  </si>
  <si>
    <t>Noise ColorFit Ultra Buzz Bluetooth Calling Smart Watch with 1.75" HD Display, 320x385 px Resolution, 100 Sports Modes, Stock Market Info Smartwatch for Men &amp; Women (Olive Green)</t>
  </si>
  <si>
    <t>5,852</t>
  </si>
  <si>
    <t>Lapster Caddy for ssd and HDD, Optical Bay 2nd Hard Drive Caddy, Caddy 9.5mm for Laptop</t>
  </si>
  <si>
    <t>Computers&amp;Accessories|Components|InternalHardDrives</t>
  </si>
  <si>
    <t>362</t>
  </si>
  <si>
    <t>SanDisk Extreme SD UHS I 64GB Card for 4K Video for DSLR and Mirrorless Cameras 170MB/s Read &amp; 80MB/s Write</t>
  </si>
  <si>
    <t>₹939</t>
  </si>
  <si>
    <t>2,05,052</t>
  </si>
  <si>
    <t>Fire-Boltt Ring Pro Bluetooth Calling, 1.75” 320*385px High Res, IP68 &amp; SpO2 Monitoring, Pin Code Locking Functionality &amp; Split Screen Access, Built in Mic &amp; Speaker for HD Calls, Black, Free Size</t>
  </si>
  <si>
    <t>9,090</t>
  </si>
  <si>
    <t>Lenovo 600 Bluetooth 5.0 Silent Mouse: Compact, Portable, Dongle-Free Multi-Device connectivity with Microsoft Swift Pair | 3-Level Adjustable DPI up to 2400 | Battery Life: up to 1 yr</t>
  </si>
  <si>
    <t>₹1,439</t>
  </si>
  <si>
    <t>₹2,890</t>
  </si>
  <si>
    <t>4,099</t>
  </si>
  <si>
    <t>Boult Audio Airbass Propods X TWS Bluetooth Truly Wireless in Ear Earbuds with Mic, 32H Playtime, Fast Charging Type-C, Ipx5 Water Resistant, Touch Controls and Voice Assistant (Red)</t>
  </si>
  <si>
    <t>12,966</t>
  </si>
  <si>
    <t>Classmate Soft Cover 6 Subject Spiral Binding Notebook, Unruled, 300 Pages</t>
  </si>
  <si>
    <t>4,428</t>
  </si>
  <si>
    <t>LS LAPSTER Quality Assured Universal Silicone 15.6" Keyboard Protector Skin|| Keyboard Dust Cover|| Keyboard Skin for 15.6" Laptop| 15.6" Keyguard| (3.93 x 11.81 x 0.39 inches)</t>
  </si>
  <si>
    <t>5,692</t>
  </si>
  <si>
    <t>KLAM LCD Writing Tablet Screenwriting Toys Board Smart Digital E-Note Pad 8.5 Inch Light Weight Magic Slate for Drawing Playing Noting by Kids and Adults Best Birthday Gift Girls Boys, Multicolor</t>
  </si>
  <si>
    <t>21</t>
  </si>
  <si>
    <t>CP PLUS 2MP Full HD Smart Wi-fi CCTV Security Camera | 360° with Pan Tilt | Two Way Talk | Cloud Monitor | Motion Detect | Night Vision | Supports SD Card (Up to 128 GB) | Alexa &amp; Ok Google | CP-E21A</t>
  </si>
  <si>
    <t>₹4,700</t>
  </si>
  <si>
    <t>1,880</t>
  </si>
  <si>
    <t>HP Deskjet 2331 Colour Printer, Scanner and Copier for Home/Small Office, Compact Size, Reliable, Easy Set-Up Through Smart App On Your Pc Connected Through USB, Ideal for Home.</t>
  </si>
  <si>
    <t>Computers&amp;Accessories|Printers,Inks&amp;Accessories|Printers</t>
  </si>
  <si>
    <t>₹4,332.96</t>
  </si>
  <si>
    <t>21,762</t>
  </si>
  <si>
    <t>D-Link DIR-615 Wi-fi Ethernet-N300 Single_band 300Mbps Router, Mobile App Support, Router | AP | Repeater | Client Modes(Black)</t>
  </si>
  <si>
    <t>22,375</t>
  </si>
  <si>
    <t>RPM Euro Games Gaming Mousepad Speed Type Extended Large (Size - 800 mm x 300 mm x 3 mm)</t>
  </si>
  <si>
    <t>₹990</t>
  </si>
  <si>
    <t>2,453</t>
  </si>
  <si>
    <t>Wacom One by CTL-472/K0-CX Digital Drawing Graphics Pen Tablet (Red &amp; Black) Small (6-inch x 3.5-inch)(15x8cm) | Battery Free Cordless Pen with 2048 Pressure Level</t>
  </si>
  <si>
    <t>₹3,303</t>
  </si>
  <si>
    <t>13,544</t>
  </si>
  <si>
    <t>Lenovo 300 FHD Webcam with Full Stereo Dual Built-in mics | FHD 1080P 2.1 Megapixel CMOS Camera |Privacy Shutter | Ultra-Wide 95 Lens | 360 Rotation | Flexible Mount, Plug-n-Play | Cloud Grey</t>
  </si>
  <si>
    <t>₹1,890</t>
  </si>
  <si>
    <t>₹5,490</t>
  </si>
  <si>
    <t>10,976</t>
  </si>
  <si>
    <t>Parker Quink Ink Bottle (Black)</t>
  </si>
  <si>
    <t>3,061</t>
  </si>
  <si>
    <t>Sony WI-C100 Wireless Headphones with Customizable Equalizer for Deep Bass &amp; 25 Hrs Battery, DSEE-Upscale, Splash Proof, 360RA, Fast Pair, in-Ear Bluetooth Headset with mic for Phone Calls (Black)</t>
  </si>
  <si>
    <t>₹2,790</t>
  </si>
  <si>
    <t>2,272</t>
  </si>
  <si>
    <t>Zebronics, ZEB-NC3300 USB Powered Laptop Cooling Pad with Dual Fan, Dual USB Port and Blue LED Lights</t>
  </si>
  <si>
    <t>7,601</t>
  </si>
  <si>
    <t>Tukzer Gel Mouse Pad Wrist Rest Memory-Foam Ergonomic Mousepad| Cushion Wrist Support &amp; Pain Relief| Suitable for Gaming, Computer, Laptop, Home &amp; Office Non-Slip Rubber Base (Blue)</t>
  </si>
  <si>
    <t>4,219</t>
  </si>
  <si>
    <t>Infinity (JBL Glide 510, 72 Hrs Playtime with Quick Charge, Wireless On Ear Headphone with Mic, Deep Bass, Dual Equalizer, Bluetooth 5.0 with Voice Assistant Support (Black)</t>
  </si>
  <si>
    <t>42,775</t>
  </si>
  <si>
    <t>Robustrion Smart Trifold Hard Back Flip Stand Case Cover for Apple iPad 10.2 Cover iPad 9th Generation Cover 2021 8th Gen 2020 7th Gen 2019 Generation Case - Black</t>
  </si>
  <si>
    <t>5,556</t>
  </si>
  <si>
    <t>Logitech M331 Silent Plus Wireless Mouse, 2.4GHz with USB Nano Receiver, 1000 DPI Optical Tracking, 3 Buttons, 24 Month Life Battery, PC/Mac/Laptop - Black</t>
  </si>
  <si>
    <t>₹1,645</t>
  </si>
  <si>
    <t>12,375</t>
  </si>
  <si>
    <t>Camel Artist Acrylic Color Box - 9ml Tubes, 12 Shades</t>
  </si>
  <si>
    <t>₹310</t>
  </si>
  <si>
    <t>5,882</t>
  </si>
  <si>
    <t>Portronics Key2 Combo Multimedia USB Wireless Keyboard and Mouse Set with 2.4 GHz Wireless Technology, Soft &amp; Silent Button, Compact Size (Grey)</t>
  </si>
  <si>
    <t>10,443</t>
  </si>
  <si>
    <t>SupCares Laptop Stand 7 Height Adjustable, Aluminium, Ventilated, Foldable, Portable Laptop Holder for Desk &amp; Table Mount Upto 15.6 inch Laptop with Carry Pouch (Silver)</t>
  </si>
  <si>
    <t>434</t>
  </si>
  <si>
    <t>ZEBRONICS Zeb-Sound Bomb N1 True Wireless in Ear Earbuds with Mic ENC, Gaming Mode (up to 50ms), up to 18H Playback, BT V5.2, Fidget Case, Voice Assistant, Splash Proof, Type C (Midnight Black)</t>
  </si>
  <si>
    <t>₹4,199</t>
  </si>
  <si>
    <t>1,913</t>
  </si>
  <si>
    <t>Western Digital WD Green SATA 240GB Internal SSD Solid State Drive - SATA 6Gb/s 2.5 inches - WDS240G3G0A</t>
  </si>
  <si>
    <t>₹1,709</t>
  </si>
  <si>
    <t>₹4,000</t>
  </si>
  <si>
    <t>3,029</t>
  </si>
  <si>
    <t>Classmate Octane Neon- 25 Blue Gel Pens | Smooth Writing Pens| Water-proof Ink For Smudge-free Writing| Preferred By Students For Exam &amp; Class Notes| Study At Home Essential</t>
  </si>
  <si>
    <t>2,628</t>
  </si>
  <si>
    <t>Classmate Octane Colour Burst-Multicolour Gel Pens (Pack of 10) | Gold &amp; Silver Glitter Sparkle Pens|10 colour ink shades for art lovers and kids|Fun at home essentials</t>
  </si>
  <si>
    <t>Home&amp;Kitchen|CraftMaterials|DrawingMaterials|DrawingMedia|Pens</t>
  </si>
  <si>
    <t>10,718</t>
  </si>
  <si>
    <t>Tukzer Stylus Pen, iPad Pencil with Palm Rejection Tilt Sensor| 2nd Gen for 2018-2022 iPad 6/7/8/9th Gen; iPad 10.2", Pro 12.9/11", Mini 6/5th, Air 5/4/3rd, Precise for Writing/Drawing (3 Spare Tips)</t>
  </si>
  <si>
    <t>₹2,025</t>
  </si>
  <si>
    <t>6,233</t>
  </si>
  <si>
    <t>Logitech G102 USB Light Sync Gaming Mouse with Customizable RGB Lighting, 6 Programmable Buttons, Gaming Grade Sensor, 8K DPI Tracking, 16.8mn Color, Light Weight - Black</t>
  </si>
  <si>
    <t>10,541</t>
  </si>
  <si>
    <t>Zebronics ZEB-VITA Wireless Bluetooth 10W Portable Bar Speaker With Supporting USB, SD Card, AUX, FM, TWS &amp; Call Function</t>
  </si>
  <si>
    <t>10,751</t>
  </si>
  <si>
    <t>Lapster USB 3.0 sata Cable for 2.5 inch SSD and HDD , USB 3.0 to SATA III Hard Driver Adapter , sata to USB Cable-(Blue)</t>
  </si>
  <si>
    <t>Computers&amp;Accessories|Accessories&amp;Peripherals|Cables&amp;Accessories|Cables|SATACables</t>
  </si>
  <si>
    <t>817</t>
  </si>
  <si>
    <t>URBN 10000 mAh Lithium Power Bank UPR10K with 12 Watt Fast Charging, Blue</t>
  </si>
  <si>
    <t>Qubo Smart Cam 360 from Hero Group | Made in India | 2MP 1080p Full HD | CCTV Wi-Fi Camera | 360 Degree Coverage| Two Way Talk | Mobile App Connectivity | Night Vision | Cloud &amp; SD Card Recording</t>
  </si>
  <si>
    <t>3,606</t>
  </si>
  <si>
    <t>Duracell CR2025 3V Lithium Coin Battery, 5 pcs, 2025 Coin Button Cell Battery, DL2025</t>
  </si>
  <si>
    <t>₹116</t>
  </si>
  <si>
    <t>₹200</t>
  </si>
  <si>
    <t>357</t>
  </si>
  <si>
    <t>Camel Fabrica Acrylic Ultra Color - 15ml each, 10 Shades</t>
  </si>
  <si>
    <t>10,170</t>
  </si>
  <si>
    <t>Lenovo GX20L29764 65W Laptop Adapter/Charger with Power Cord for Select Models of Lenovo (Round pin) (Black)</t>
  </si>
  <si>
    <t>₹2,796</t>
  </si>
  <si>
    <t>4,598</t>
  </si>
  <si>
    <t>Hp Wired On Ear Headphones With Mic With 3.5 Mm Drivers, In-Built Noise Cancelling, Foldable And Adjustable For Laptop/Pc/Office/Home/ 1 Year Warranty (B4B09Pa)</t>
  </si>
  <si>
    <t>Computers&amp;Accessories|Accessories&amp;Peripherals|Audio&amp;VideoAccessories|PCHeadsets</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</si>
  <si>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</si>
  <si>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</si>
  <si>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</si>
  <si>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1,271</t>
  </si>
  <si>
    <t>HP GT 53 XL Cartridge Ink</t>
  </si>
  <si>
    <t>₹596</t>
  </si>
  <si>
    <t>₹723</t>
  </si>
  <si>
    <t>3,219</t>
  </si>
  <si>
    <t>Noise ColorFit Ultra Smart Watch with 1.75" HD Display, Aluminium Alloy Body, 60 Sports Modes, Spo2, Lightweight, Stock Market Info, Calls &amp; SMS Reply (Space Blue)</t>
  </si>
  <si>
    <t>Zebronics Zeb-JUKEBAR 3900, 80W Multimedia soundbar with subwoofer Supporting Bluetooth, HDMI(ARC), Coaxial Input, AUX, USB &amp; Remote Control (Black)</t>
  </si>
  <si>
    <t>Electronics|HomeAudio|Speakers|SoundbarSpeakers</t>
  </si>
  <si>
    <t>4,541</t>
  </si>
  <si>
    <t>boAt Bassheads 102 Wired in Ear Earphones with Mic (Mint Green)</t>
  </si>
  <si>
    <t>76,042</t>
  </si>
  <si>
    <t>Duracell CR2016 3V Lithium Coin Battery, 5 pcs, 2016 Coin Button Cell Battery, DL2016</t>
  </si>
  <si>
    <t>485</t>
  </si>
  <si>
    <t>MI 360° Home Security Wireless Camera 2K Pro with Bluetooth Gateway BLE 4.2 l Dual Band Wi-fi Connection l 3 Million 1296p| Full Color in Low-Light | AI Human Detection, White</t>
  </si>
  <si>
    <t>44,696</t>
  </si>
  <si>
    <t>ZEBRONICS Zeb-100HB 4 Ports USB Hub for Laptop, PC Computers, Plug &amp; Play, Backward Compatible - Black</t>
  </si>
  <si>
    <t>₹330</t>
  </si>
  <si>
    <t>8,566</t>
  </si>
  <si>
    <t>Boult Audio Bass Buds Q2 Lightweight Stereo Wired Over Ear Headphones Set with Mic with Deep Bass, Comfortable Ear Cushions, &amp; Long Cord (Black)</t>
  </si>
  <si>
    <t>13,049</t>
  </si>
  <si>
    <t>ESR Screen Protector Compatible with iPad Pro 11 Inch (2022/2021/2020/2018) and iPad Air 5/4 (2022/2020, 10.9 Inch), Tempered-Glass Film with Alignment Frame, Scratch Resistant, HD Clarity, 2 Pack</t>
  </si>
  <si>
    <t>₹1,234</t>
  </si>
  <si>
    <t>16,680</t>
  </si>
  <si>
    <t>97,174</t>
  </si>
  <si>
    <t>Parker Vector Standard Chrome Trim Ball Pen (Ink - Black)</t>
  </si>
  <si>
    <t>₹272</t>
  </si>
  <si>
    <t>3,686</t>
  </si>
  <si>
    <t>Silicone Rubber Earbuds Tips, Eartips, Earpads, Earplugs, for Replacement in Earphones and Bluetooth Medium Size (10 Pcs Black)</t>
  </si>
  <si>
    <t>Electronics|Headphones,Earbuds&amp;Accessories|Earpads</t>
  </si>
  <si>
    <t>594</t>
  </si>
  <si>
    <t>Canon PIXMA MG2577s All-in-One Inkjet Colour Printer with 1 Additional Colour Cartridge</t>
  </si>
  <si>
    <t>Computers&amp;Accessories|Printers,Inks&amp;Accessories|Printers|InkjetPrinters</t>
  </si>
  <si>
    <t>₹3,498</t>
  </si>
  <si>
    <t>₹3,875</t>
  </si>
  <si>
    <t>12,185</t>
  </si>
  <si>
    <t>Samsung 24-inch(60.46cm) FHD Monitor, IPS, 75 Hz, Bezel Less Design, AMD FreeSync, Flicker Free, HDMI, D-sub, (LF24T350FHWXXL, Dark Blue Gray)</t>
  </si>
  <si>
    <t>₹10,099</t>
  </si>
  <si>
    <t>₹19,110</t>
  </si>
  <si>
    <t>2,623</t>
  </si>
  <si>
    <t>AirCase Protective Laptop Bag Sleeve fits Upto 14.1" Laptop/ MacBook, Wrinkle Free, Padded, Waterproof Light Neoprene case Cover Pouch, for Men &amp; Women, Black- 6 Months Warranty</t>
  </si>
  <si>
    <t>9,701</t>
  </si>
  <si>
    <t>Faber-Castell Connector Pen Set - Pack of 25 (Assorted)</t>
  </si>
  <si>
    <t>Toys&amp;Games|Arts&amp;Crafts|Drawing&amp;PaintingSupplies|ColouringPens&amp;Markers</t>
  </si>
  <si>
    <t>15,867</t>
  </si>
  <si>
    <t>Zinq UPS for Router, Mini UPS for 12V WiFi Router Broadband Modem with Upto 4 Hours Power Backup, Upto 2Amp, Works with Existing Adapter, Also Works with Set-top Box, Smart Camera, CCTV (Black)</t>
  </si>
  <si>
    <t>10,725</t>
  </si>
  <si>
    <t>SaleOn™ Portable Storage Organizer Bag for Earphone USB Cable Power Bank Mobile Charger Digital Gadget Hard Disk, Water Resistance Material - Dark Grey</t>
  </si>
  <si>
    <t>₹397</t>
  </si>
  <si>
    <t>3,025</t>
  </si>
  <si>
    <t>RPM Euro Games Laptop/PC Controller Wired for Windows - 7, 8, 8.1, 10 and XP, Ps3(Upgraded with XYAB Buttons)</t>
  </si>
  <si>
    <t>5,736</t>
  </si>
  <si>
    <t>realme Buds Wireless in Ear Bluetooth Earphones with mic, 11.2mm Bass Boost Driver, Magnetic Fast Pair, Fast Charging and 12 Hrs Playtime (Yellow)</t>
  </si>
  <si>
    <t>₹1,679</t>
  </si>
  <si>
    <t>72,563</t>
  </si>
  <si>
    <t>TVARA LCD Writing Tablet, 8.5" Inch Colorful Toddler Doodle Board Drawing Tablet, Erasable Reusable Electronic Drawing Pads, Educational and Learning Tool for 3-6 Years Old Boy and Girls Mix Colors</t>
  </si>
  <si>
    <t>₹354</t>
  </si>
  <si>
    <t>1,026</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</si>
  <si>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</si>
  <si>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</si>
  <si>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2,043</t>
  </si>
  <si>
    <t>Robustrion [Anti-Scratch] &amp; [Smudge Proof] [S Pen Compatible] Premium Tempered Glass Screen Protector for Samsung Tab S6 Lite 10.4 inch SM-P610/615 [Bubble Free]</t>
  </si>
  <si>
    <t>4,149</t>
  </si>
  <si>
    <t>Cablet 2.5 Inch SATA USB 3.0 HDD/SSD Portable External Enclosure for 7mm and 9.5mm, Tool-Free Design, Supports UASP Max 6TB</t>
  </si>
  <si>
    <t>₹775</t>
  </si>
  <si>
    <t>74</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</si>
  <si>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</si>
  <si>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</si>
  <si>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</si>
  <si>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</si>
  <si>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41,398</t>
  </si>
  <si>
    <t>ZEBRONICS Zeb-Warrior II 10 watts 2.0 Multimedia Speaker with RGB Lights, USB Powered, AUX Input, Volume Control Pod for PC, Laptops, Desktop</t>
  </si>
  <si>
    <t>₹1,300</t>
  </si>
  <si>
    <t>5,195</t>
  </si>
  <si>
    <t>TP-Link UE300C USB Type-C to RJ45 Gigabit Ethernet Network Adapter/RJ45 LAN Wired Adapter for Ultrabook, Chromebook, Laptop, Desktop, Plug &amp; Play, USB 3.0, Foldable and Portable Design</t>
  </si>
  <si>
    <t>Computers&amp;Accessories|NetworkingDevices|NetworkAdapters|PowerLANAdapters</t>
  </si>
  <si>
    <t>Wecool Moonwalk M1 ENC True Wireless in Ear Earbuds with Mic, Titanium Drivers for Rich Bass Experience, 40+ Hours Play Time, Type C Fast Charging, Low Latency, BT 5.3, IPX5, Deep Bass (Black)</t>
  </si>
  <si>
    <t>2,284</t>
  </si>
  <si>
    <t>HP 330 Wireless Black Keyboard and Mouse Set with Numeric Keypad, 2.4GHz Wireless Connection and 1600 DPI, USB Receiver, LED Indicators , Black(2V9E6AA)</t>
  </si>
  <si>
    <t>₹1,409</t>
  </si>
  <si>
    <t>427</t>
  </si>
  <si>
    <t>RC PRINT GI 790 Ink Refill for Canon G1000, G1010, G1100, G2000, G2002, G2010, G2012, G2100, G3000, G3010, G3012, G3100, G4000, G4010</t>
  </si>
  <si>
    <t>Computers&amp;Accessories|Printers,Inks&amp;Accessories|Inks,Toners&amp;Cartridges|InkjetInkRefills&amp;Kits</t>
  </si>
  <si>
    <t>1,367</t>
  </si>
  <si>
    <t>Redgear Cloak Wired RGB Wired Over Ear Gaming Headphones with Mic for PC</t>
  </si>
  <si>
    <t>13,199</t>
  </si>
  <si>
    <t>Wayona Type C To Type C 65W/3.25A Nylon Braided Fast Charging Cable Compatible For Laptop, Macbook, Samsung Galaxy M33 M53 M51 S20 Ultra, A71, A53, A51, Ipad Pro 2018 (1M, Grey)</t>
  </si>
  <si>
    <t>Amazfit GTS2 Mini (New Version) Smart Watch with Always-on AMOLED Display, Alexa Built-in, SpO2, 14 Days' Battery Life, 68 Sports Modes, GPS, HR, Sleep &amp; Stress Monitoring (Meteor Black)</t>
  </si>
  <si>
    <t>₹5,998</t>
  </si>
  <si>
    <t>30,355</t>
  </si>
  <si>
    <t>Tabelito® Polyester Foam, Nylon Hybrid laptopss Bag Sleeve Case Cover Pouch for laptopss Apple/Dell/Lenovo/ Asus/ Hp/Samsung/Mi/MacBook/Ultrabook/Thinkpad/Ideapad/Surfacepro (15.6 inches /39.6cm, Blue) laptopsss</t>
  </si>
  <si>
    <t>2,868</t>
  </si>
  <si>
    <t>Robustrion Anti-Scratch &amp; Smudge Proof Tempered Glass Screen Protector for Xiaomi Mi Pad 5 11 inch</t>
  </si>
  <si>
    <t>670</t>
  </si>
  <si>
    <t>Portronics Ruffpad 15 Re-Writable LCD Screen 38.1cm (15-inch) Writing Pad for Drawing, Playing, Handwriting Gifts for Kids &amp; Adults (Grey)</t>
  </si>
  <si>
    <t>OfficeProducts|OfficePaperProducts|Paper|Stationery|Notebooks,WritingPads&amp;Diaries</t>
  </si>
  <si>
    <t>3,530</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</si>
  <si>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</si>
  <si>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</si>
  <si>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6,183</t>
  </si>
  <si>
    <t>Classmate Pulse 1 Subject Notebook - 240mm x 180mm , Soft Cover, 180 Pages, Single Line, Pack of 4</t>
  </si>
  <si>
    <t>₹300</t>
  </si>
  <si>
    <t>419</t>
  </si>
  <si>
    <t>Scarters Mouse Pad, Desk Mat Extended for Work from Home/Office/Gaming | Vegan PU Leather | Anti-Skid, Anti-Slip, Reversible Splash-Proof – Deskspread ~ Navy Blue &amp; Yellow</t>
  </si>
  <si>
    <t>7,317</t>
  </si>
  <si>
    <t>Casio MJ-120D 150 Steps Check and Correct Desktop Calculator with Tax Keys, Black</t>
  </si>
  <si>
    <t>OfficeProducts|OfficeElectronics|Calculators|Financial&amp;Business</t>
  </si>
  <si>
    <t>₹535</t>
  </si>
  <si>
    <t>45,237</t>
  </si>
  <si>
    <t>Gizga Essentials Laptop Bag Sleeve Case Cover Pouch with Handle for 14.1 Inch Laptop for Men &amp; Women, Padded Laptop Compartment, Premium Zipper Closure, Water Repellent Nylon Fabric, Grey</t>
  </si>
  <si>
    <t>1,092</t>
  </si>
  <si>
    <t>Parker Vector Camouflage Gift Set - Roller Ball Pen &amp; Parker Logo Keychain (Black Body, Blue Ink), 2 Piece Set</t>
  </si>
  <si>
    <t>₹341</t>
  </si>
  <si>
    <t>2,493</t>
  </si>
  <si>
    <t>TP-Link AC1200 Archer A6 Smart WiFi, 5GHz Gigabit Dual Band MU-MIMO Wireless Internet Router, Long Range Coverage by 4 Antennas, Qualcomm Chipset</t>
  </si>
  <si>
    <t>12,679</t>
  </si>
  <si>
    <t>HP Deskjet 2723 AIO Printer, Copy, Scan, WiFi, Bluetooth, USB, Simple Setup Smart App, Ideal for Home.</t>
  </si>
  <si>
    <t>₹5,899</t>
  </si>
  <si>
    <t>₹7,005</t>
  </si>
  <si>
    <t>4,199</t>
  </si>
  <si>
    <t>14,403</t>
  </si>
  <si>
    <t>Xiaomi Mi 4A Dual_Band Ethernet 1200Mbps Speed Router| 2.4GHz &amp; 5GHz Frequency|128MB RAM | DualCore 4 Thread CPU|4 Omni Directional Antenna|Mi Wi-Fi app-Parental Control &amp; Anti Hacking|Repeater, White</t>
  </si>
  <si>
    <t>₹1,565</t>
  </si>
  <si>
    <t>11,113</t>
  </si>
  <si>
    <t>SLOVIC® Tripod Mount Adapter| Tripod Mobile Holder|Tripod Phone Mount(Made in India)| Smartphone Clip Clipper 360 Degree for Taking Magic Video Shots &amp; Pictures.</t>
  </si>
  <si>
    <t>₹326</t>
  </si>
  <si>
    <t>10,773</t>
  </si>
  <si>
    <t>Orico 2.5"(6.3cm) USB 3.0 HDD Enclosure Case Cover for SATA SSD HDD | SATA SSD HDD Enclosure High Speed USB 3.0 | Tool Free Installation | Black</t>
  </si>
  <si>
    <t>₹657</t>
  </si>
  <si>
    <t>13,944</t>
  </si>
  <si>
    <t>Logitech G402 Hyperion Fury USB Wired Gaming Mouse, 4,000 DPI, Lightweight, 8 Programmable Buttons, Compatible for PC/Mac - Black</t>
  </si>
  <si>
    <t>₹2,895</t>
  </si>
  <si>
    <t>10,760</t>
  </si>
  <si>
    <t>Panasonic Eneloop BQ-CC55N Advanced, Smart and Quick Charger for AA &amp; AAA Rechargeable Batteries, White</t>
  </si>
  <si>
    <t>25,996</t>
  </si>
  <si>
    <t>Logitech K380 Wireless Multi-Device Keyboard for Windows, Apple iOS, Apple TV Android or Chrome, Bluetooth, Compact Space-Saving Design, PC/Mac/Laptop/Smartphone/Tablet (Dark Grey)</t>
  </si>
  <si>
    <t>₹2,640</t>
  </si>
  <si>
    <t>₹3,195</t>
  </si>
  <si>
    <t>16,146</t>
  </si>
  <si>
    <t>Canon PIXMA E477 All-in-One Wireless Ink Efficient Colour Printer (White/Blue)</t>
  </si>
  <si>
    <t>₹6,355</t>
  </si>
  <si>
    <t>8,280</t>
  </si>
  <si>
    <t>Redgear Cosmo 7,1 Usb Gaming Wired Over Ear Headphones With Mic With Virtual Surround Sound,50Mm Driver, Rgb Leds &amp; Remote Control(Black)</t>
  </si>
  <si>
    <t>14,237</t>
  </si>
  <si>
    <t>Belkin Essential Series 4-Socket Surge Protector Universal Socket with 5ft Heavy Duty Cable (Grey)</t>
  </si>
  <si>
    <t>Electronics|PowerAccessories|SurgeProtectors</t>
  </si>
  <si>
    <t>20,668</t>
  </si>
  <si>
    <t>Classmate Long Book - Unruled, 160 Pages, 314 mm x 194 mm - Pack Of 3</t>
  </si>
  <si>
    <t>1,674</t>
  </si>
  <si>
    <t>Artis AR-45W-MG2 45 Watts MG2 Laptop Adapter/Charger Compatible with MB Air 13” &amp; MB Air 11” (14.5 V, 3.1 A) Connector: MG2 (T Tip Connector)</t>
  </si>
  <si>
    <t>7,689</t>
  </si>
  <si>
    <t>Imou 360° 1080P Full HD Security Camera, Human Detection, Motion Tracking, 2-Way Audio, Night Vision, Dome Camera with WiFi &amp; Ethernet Connection, Alexa Google Assistant, Up to 256GB SD Card Support</t>
  </si>
  <si>
    <t>₹7,500</t>
  </si>
  <si>
    <t>5,554</t>
  </si>
  <si>
    <t>E-COSMOS 5V 1.2W Portable Flexible USB LED Light (Colours May Vary, Small, EC-POF1)</t>
  </si>
  <si>
    <t>3,344</t>
  </si>
  <si>
    <t>Xiaomi Pad 5| Qualcomm Snapdragon 860| 120Hz Refresh Rate| 6GB, 128GB| 2.5K+ Display (10.95-inch/27.81cm)|1 Billion Colours| Dolby Vision Atmos| Quad Speakers| Wi-Fi| Gray</t>
  </si>
  <si>
    <t>Computers&amp;Accessories|Tablets</t>
  </si>
  <si>
    <t>2,886</t>
  </si>
  <si>
    <t>Sennheiser CX 80S in-Ear Wired Headphones with in-line One-Button Smart Remote with Microphone Black</t>
  </si>
  <si>
    <t>98,250</t>
  </si>
  <si>
    <t>HB Plus Folding Height Adjustable Aluminum Foldable Portable Adjustment Desktop Laptop Holder Riser Stand</t>
  </si>
  <si>
    <t>₹398</t>
  </si>
  <si>
    <t>₹1,949</t>
  </si>
  <si>
    <t>75</t>
  </si>
  <si>
    <t>HP 65W AC Laptops Charger Adapter 4.5mm for HP Pavilion Black (Without Power Cable)</t>
  </si>
  <si>
    <t>₹770</t>
  </si>
  <si>
    <t>₹1,547</t>
  </si>
  <si>
    <t>2,585</t>
  </si>
  <si>
    <t>Tukzer Fully Foldable Tabletop Desktop Tablet Mobile Stand Holder - Angle &amp; Height Adjustable for Desk, Cradle, Dock, Compatible with Smartphones &amp; Tablets (White)</t>
  </si>
  <si>
    <t>5,072</t>
  </si>
  <si>
    <t>Gizga Essentials Cable Organiser, Cord Management System for PC, TV, Home Theater, Speaker &amp; Cables, Reusable Cable Organizer for Desk, WFH Accessories, Organizer Tape Roll, Reusable Cable Ties Strap</t>
  </si>
  <si>
    <t>HomeImprovement|Electrical|CordManagement</t>
  </si>
  <si>
    <t>5,985</t>
  </si>
  <si>
    <t>Camel Oil Pastel with Reusable Plastic Box - 50 Shades</t>
  </si>
  <si>
    <t>Home&amp;Kitchen|CraftMaterials|PaintingMaterials</t>
  </si>
  <si>
    <t>9,427</t>
  </si>
  <si>
    <t>HP M270 Backlit USB Wired Gaming Mouse with 6 Buttons, 4-Speed Customizable 2400 DPI, Ergonomic Design, Breathing LED Lighting, Metal Scroll Wheel, Lightweighted / 3 Years Warranty (7ZZ87AA), Black</t>
  </si>
  <si>
    <t>2,301</t>
  </si>
  <si>
    <t>Foxin FTC 12A / Q2612A Black Laser Toner Cartridge Compatible with Laserjet 1020,M1005,1018,1010,1012,1015,1020 Plus,1022,3015,3020,3030,3050, 3050Z, 3052,3055 (Black)</t>
  </si>
  <si>
    <t>Computers&amp;Accessories|Printers,Inks&amp;Accessories|Inks,Toners&amp;Cartridges|TonerCartridges</t>
  </si>
  <si>
    <t>₹1,150</t>
  </si>
  <si>
    <t>2,535</t>
  </si>
  <si>
    <t>Robustrion [Anti-Scratch] &amp; [Smudge Proof] [Bubble Free] Premium Tempered Glass Screen Protector Guard for Samsung Galaxy Tab A8 10.5 inch [SM-X200/X205/X207] 2022</t>
  </si>
  <si>
    <t>691</t>
  </si>
  <si>
    <t>PC SQUARE Laptop Tabletop Stand/ Computer Tablet Stand 6 Angles Adjustable Aluminum Ergonomic Foldable Portable Desktop Holder Compatible with MacBook, HP, Dell, Lenovo &amp; All Other Notebook (Silver)</t>
  </si>
  <si>
    <t>2,740</t>
  </si>
  <si>
    <t>Lenovo 130 Wireless Compact Mouse, 1K DPI Optical sensor, 2.4GHz Wireless NanoUSB, 10m range, 3button(left,right,scroll) upto 3M left/right clicks, 10 month battery, Ambidextrous, Ergonomic GY51C12380</t>
  </si>
  <si>
    <t>₹1,090</t>
  </si>
  <si>
    <t>3,482</t>
  </si>
  <si>
    <t>Pilot Frixion Clicker Roller Pen (Blue), (9000019529)</t>
  </si>
  <si>
    <t>OfficeProducts|OfficePaperProducts|Paper|Stationery|Pens,Pencils&amp;WritingSupplies|Pens&amp;Refills|LiquidInkRollerballPens</t>
  </si>
  <si>
    <t>6,199</t>
  </si>
  <si>
    <t>ZEBRONICS Aluminium Alloy Laptop Stand, Compatible with 9-15.6 inch Laptops, 7 Angles Adjustable, Anti Slip Silicon Rubber Pads, Foldable, Velvet Pouch Inside, Zeb-NS2000 (Dark Grey)</t>
  </si>
  <si>
    <t>1,667</t>
  </si>
  <si>
    <t>HP K500F Backlit Membrane Wired Gaming Keyboard with Mixed Color Lighting, Metal Panel with Logo Lighting, 26 Anti-Ghosting Keys, and Windows Lock Key / 3 Years Warranty(7ZZ97AA)</t>
  </si>
  <si>
    <t>4,723</t>
  </si>
  <si>
    <t>GIZGA Club-laptop Neoprene Reversible for 15.6-inches Laptop Sleeve - Black-Red</t>
  </si>
  <si>
    <t>22,860</t>
  </si>
  <si>
    <t>Inventis 5V 1.2W Portable Flexible USB LED Light Lamp (Colors may vary)</t>
  </si>
  <si>
    <t>13,572</t>
  </si>
  <si>
    <t>TP-Link TL-WA855RE 300 Mbps Wi-Fi Range Extender (White)</t>
  </si>
  <si>
    <t>₹3,599</t>
  </si>
  <si>
    <t>16,182</t>
  </si>
  <si>
    <t>boAt Stone 250 Portable Wireless Speaker with 5W RMS Immersive Audio, RGB LEDs, Up to 8HRS Playtime, IPX7 Water Resistance, Multi-Compatibility Modes(Black)</t>
  </si>
  <si>
    <t>2,908</t>
  </si>
  <si>
    <t>Offbeat® - DASH 2.4GHz Wireless + Bluetooth 5.1 Mouse, Multi-Device Dual Mode Slim Rechargeable Silent Click Buttons Wireless Bluetooth Mouse, 3 Adjustable DPI, Works on 2 devices at the same time with a switch button for Windows/Mac/Android/Ipad/Smart TV</t>
  </si>
  <si>
    <t>2,375</t>
  </si>
  <si>
    <t>Classmate Drawing Book - Unruled, 40 Pages, 210 mm x 297 mm - Pack Of 4</t>
  </si>
  <si>
    <t>4,951</t>
  </si>
  <si>
    <t>HP GK320 Wired Full Size RGB Backlight Mechanical Gaming Keyboard, 4 LED Indicators, Mechanical Switches, Double Injection Key Caps, and Windows Lock Key(4QN01AA)</t>
  </si>
  <si>
    <t>408</t>
  </si>
  <si>
    <t>Parker Moments Vector Timecheck Gold Trim Roller Ball Pen (Black)</t>
  </si>
  <si>
    <t>₹420</t>
  </si>
  <si>
    <t>1,926</t>
  </si>
  <si>
    <t>Camlin Elegante Fountain Pen - Black/Blue/Red</t>
  </si>
  <si>
    <t>OfficeProducts|OfficePaperProducts|Paper|Stationery|Pens,Pencils&amp;WritingSupplies|Pens&amp;Refills|FountainPens</t>
  </si>
  <si>
    <t>4,798</t>
  </si>
  <si>
    <t>CARECASE® Optical Bay 2nd Hard Drive Caddy, 9.5 mm CD/DVD Drive Slot for SSD and HDD</t>
  </si>
  <si>
    <t>Computers&amp;Accessories|Accessories&amp;Peripherals|HardDriveAccessories|Caddies</t>
  </si>
  <si>
    <t>7,333</t>
  </si>
  <si>
    <t>Canon E4570 All-in-One Wi-Fi Ink Efficient Colour Printer with FAX/ADF/Duplex Printing (Black)- Smart Speaker Compatible, Standard</t>
  </si>
  <si>
    <t>₹8,349</t>
  </si>
  <si>
    <t>₹9,625</t>
  </si>
  <si>
    <t>3,652</t>
  </si>
  <si>
    <t>Crucial P3 500GB PCIe 3.0 3D NAND NVMe M.2 SSD, up to 3500MB/s - CT500P3SSD8</t>
  </si>
  <si>
    <t>₹3,307</t>
  </si>
  <si>
    <t>₹6,100</t>
  </si>
  <si>
    <t>2,515</t>
  </si>
  <si>
    <t>HP v222w 64GB USB 2.0 Pen Drive (Silver)</t>
  </si>
  <si>
    <t>4,959</t>
  </si>
  <si>
    <t>Duracell Ultra Alkaline D Battery, 2 Pcs</t>
  </si>
  <si>
    <t>₹380</t>
  </si>
  <si>
    <t>2,111</t>
  </si>
  <si>
    <t>BESTOR® LCD Writing Tablet/pad 12 inches | Electronic Writing Scribble Board for Kids | Kids Learning Toy | Portable Ruff for LCD Paperless Memo Digital Tablet Notepad E-Writer/Writing/Drawing Pad Home/School/Office (Black)</t>
  </si>
  <si>
    <t>1,462</t>
  </si>
  <si>
    <t>Lenovo IdeaPad 3 11th Gen Intel Core i3 15.6" FHD Thin &amp; Light Laptop(8GB/512GB SSD/Windows 11/Office 2021/2Yr Warranty/3months Xbox Game Pass/Platinum Grey/1.7Kg), 81X800LGIN</t>
  </si>
  <si>
    <t>Computers&amp;Accessories|Laptops|TraditionalLaptops</t>
  </si>
  <si>
    <t>₹37,247</t>
  </si>
  <si>
    <t>₹59,890</t>
  </si>
  <si>
    <t>boAt BassHeads 900 On-Ear Wired Headphones with Mic (White)</t>
  </si>
  <si>
    <t>91,188</t>
  </si>
  <si>
    <t>Zebronics Astra 10 Portable Wireless BT v5.0 Speaker, 10W RMS Power, 15* Hours Backup, 2.25" Drive Size, up to 6.4" Mobile Holder Support, Carry Handle, USB, mSD, AUX Input and FM Radio with Antenna</t>
  </si>
  <si>
    <t>418</t>
  </si>
  <si>
    <t>SWAPKART Portable Flexible Adjustable Eye Protection USB LED Desk Light Table Lamp for Reading, Working on PC, Laptop, Power Bank, Bedroom ( Multicolour )</t>
  </si>
  <si>
    <t>₹298</t>
  </si>
  <si>
    <t>1,552</t>
  </si>
  <si>
    <t>Infinity (JBL Fuze 100, Wireless Portable Bluetooth Speaker with Mic, Deep Bass, Dual Equalizer, IPX7 Waterproof, Rugged Fabric Design (Black)</t>
  </si>
  <si>
    <t>25,262</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</si>
  <si>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</si>
  <si>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</si>
  <si>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</si>
  <si>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1,23,365</t>
  </si>
  <si>
    <t>USHA Quartz Room Heater with Overheating Protection (3002, Ivory, 800 Watts)</t>
  </si>
  <si>
    <t>Home&amp;Kitchen|Heating,Cooling&amp;AirQuality|RoomHeaters|ElectricHeaters</t>
  </si>
  <si>
    <t>₹1,695</t>
  </si>
  <si>
    <t>13,300</t>
  </si>
  <si>
    <t>Amazon Brand - Solimo 2000/1000 Watts Room Heater with Adjustable Thermostat (ISI certified, White colour, Ideal for small to medium room/area)</t>
  </si>
  <si>
    <t>Home&amp;Kitchen|Heating,Cooling&amp;AirQuality|RoomHeaters|FanHeaters</t>
  </si>
  <si>
    <t>4</t>
  </si>
  <si>
    <t>18,543</t>
  </si>
  <si>
    <t>StyleHouse Lint Remover for Woolen Clothes, Electric Lint Remover, Best Lint Shaver for Clothes</t>
  </si>
  <si>
    <t>Home&amp;Kitchen|Kitchen&amp;HomeAppliances|Vacuum,Cleaning&amp;Ironing|Irons,Steamers&amp;Accessories|LintShavers</t>
  </si>
  <si>
    <t>3,578</t>
  </si>
  <si>
    <t>beatXP Kitchen Scale Multipurpose Portable Electronic Digital Weighing Scale | Weight Machine With Back light LCD Display | White |10 kg | 2 Year Warranty |</t>
  </si>
  <si>
    <t>Home&amp;Kitchen|Kitchen&amp;HomeAppliances|SmallKitchenAppliances|DigitalKitchenScales</t>
  </si>
  <si>
    <t>2,031</t>
  </si>
  <si>
    <t>Glun Multipurpose Portable Electronic Digital Weighing Scale Weight Machine (10 Kg - with Back Light)</t>
  </si>
  <si>
    <t>₹293</t>
  </si>
  <si>
    <t>44,994</t>
  </si>
  <si>
    <t>Pigeon Polypropylene Mini Handy and Compact Chopper with 3 Blades for Effortlessly Chopping Vegetables and Fruits for Your Kitchen (12420, Green, 400 ml)</t>
  </si>
  <si>
    <t>Home&amp;Kitchen|Kitchen&amp;Dining|KitchenTools|ManualChoppers&amp;Chippers|Choppers</t>
  </si>
  <si>
    <t>2,70,563</t>
  </si>
  <si>
    <t>Prestige 1.5 Litre Kettle 1500-watts, Red</t>
  </si>
  <si>
    <t>31,783</t>
  </si>
  <si>
    <t>Bajaj RHX-2 800-Watt Room Heater (White)</t>
  </si>
  <si>
    <t>2,602</t>
  </si>
  <si>
    <t>Prestige Electric Kettle PKOSS - 1500watts, Steel (1.5Ltr), Black</t>
  </si>
  <si>
    <t>₹1,445</t>
  </si>
  <si>
    <t>63,350</t>
  </si>
  <si>
    <t>Pigeon by Stovekraft Cruise 1800 watt Induction Cooktop (Black)</t>
  </si>
  <si>
    <t>Home&amp;Kitchen|Kitchen&amp;HomeAppliances|SmallKitchenAppliances|InductionCooktop</t>
  </si>
  <si>
    <t>₹3,193</t>
  </si>
  <si>
    <t>54,032</t>
  </si>
  <si>
    <t>Prestige PKGSS 1.7L 1500W Electric Kettle (Stainless Steel)</t>
  </si>
  <si>
    <t>₹1,043</t>
  </si>
  <si>
    <t>15,592</t>
  </si>
  <si>
    <t>SHOPTOSHOP Electric Lint Remover, Best Lint Shaver for Clothes,Lint Remover for Woolen Clothes ,Lint Remover for Sweaters</t>
  </si>
  <si>
    <t>4,859</t>
  </si>
  <si>
    <t>Orpat OEH-1260 2000-Watt Fan Heater (Grey)</t>
  </si>
  <si>
    <t>₹1,464</t>
  </si>
  <si>
    <t>14,120</t>
  </si>
  <si>
    <t>PRO365 Indo Mocktails/Coffee Foamer/Cappuccino/Lemonade/Milk Frother (6 Months Warranty)</t>
  </si>
  <si>
    <t>Home&amp;Kitchen|Kitchen&amp;HomeAppliances|SmallKitchenAppliances|HandBlenders</t>
  </si>
  <si>
    <t>8,427</t>
  </si>
  <si>
    <t>Bajaj DX-6 1000W Dry Iron with Advance Soleplate and Anti-bacterial German Coating Technology, White</t>
  </si>
  <si>
    <t>Home&amp;Kitchen|Kitchen&amp;HomeAppliances|Vacuum,Cleaning&amp;Ironing|Irons,Steamers&amp;Accessories|Irons|DryIrons</t>
  </si>
  <si>
    <t>₹625</t>
  </si>
  <si>
    <t>23,316</t>
  </si>
  <si>
    <t>Croma 500W Mixer Grinder with 3 Stainless Steel Leak-proof Jars, 3 speed &amp; Pulse function, 2 years warranty (CRAK4184, White &amp; Purple)</t>
  </si>
  <si>
    <t>Home&amp;Kitchen|Kitchen&amp;HomeAppliances|SmallKitchenAppliances|MixerGrinders</t>
  </si>
  <si>
    <t>6,530</t>
  </si>
  <si>
    <t>Havells Instanio 3-Litre Instant Geyser (White/Blue)</t>
  </si>
  <si>
    <t>Home&amp;Kitchen|Heating,Cooling&amp;AirQuality|WaterHeaters&amp;Geysers|InstantWaterHeaters</t>
  </si>
  <si>
    <t>₹3,600</t>
  </si>
  <si>
    <t>₹6,190</t>
  </si>
  <si>
    <t>11,924</t>
  </si>
  <si>
    <t>Morphy Richards OFR Room Heater, 09 Fin 2000 Watts Oil Filled Room Heater , ISI Approved (OFR 9 Grey)</t>
  </si>
  <si>
    <t>Home&amp;Kitchen|Heating,Cooling&amp;AirQuality|RoomHeaters</t>
  </si>
  <si>
    <t>₹6,549</t>
  </si>
  <si>
    <t>2,961</t>
  </si>
  <si>
    <t>Havells Aqua Plus 1.2 litre Double Wall Kettle / 304 Stainless Steel Inner Body / Cool touch outer body / Wider mouth/ 2 Year warranty (Black, 1500 Watt)</t>
  </si>
  <si>
    <t>₹1,625</t>
  </si>
  <si>
    <t>₹2,995</t>
  </si>
  <si>
    <t>23,484</t>
  </si>
  <si>
    <t>Bajaj Splendora 3 Litre 3KW IWH Instant Water Heater (Geyser), White</t>
  </si>
  <si>
    <t>₹5,890</t>
  </si>
  <si>
    <t>21,783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</si>
  <si>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</si>
  <si>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</si>
  <si>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14,030</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</si>
  <si>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</si>
  <si>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</si>
  <si>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</si>
  <si>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6,398</t>
  </si>
  <si>
    <t>Lifelong LLMG23 Power Pro 500-Watt Mixer Grinder with 3 Jars (Liquidizing, Wet Grinding and Chutney Jar), Stainless Steel blades, 1 Year Warranty (Black)</t>
  </si>
  <si>
    <t>44,050</t>
  </si>
  <si>
    <t>Bajaj Majesty DX-11 1000W Dry Iron with Advance Soleplate and Anti-bacterial German Coating Technology, White and Blue</t>
  </si>
  <si>
    <t>₹785</t>
  </si>
  <si>
    <t>24,247</t>
  </si>
  <si>
    <t>Bajaj Rex 500W Mixer Grinder with Nutri-Pro Feature, 3 Jars, White</t>
  </si>
  <si>
    <t>₹3,210</t>
  </si>
  <si>
    <t>41,349</t>
  </si>
  <si>
    <t>Lifelong LLEK15 Electric Kettle 1.5L with Stainless Steel Body, Easy and Fast Boiling of Water for Instant Noodles, Soup, Tea etc. (1 Year Warranty, Silver)</t>
  </si>
  <si>
    <t>1,074</t>
  </si>
  <si>
    <t>Lifelong LLQH922 Regalia 800 W (ISI Certified) Quartz Room Heater with 2 Power settings, Overheating Protection, 2 Rod Heater (1 Year Warranty, White)</t>
  </si>
  <si>
    <t>1,163</t>
  </si>
  <si>
    <t>R B Nova Lint/Fabric Shaver for Cloths, Lint Remover for Woolen Sweaters, Blankets, Jackets/Burr Remover Pill Remover from Carpets, Pack of 1</t>
  </si>
  <si>
    <t>257</t>
  </si>
  <si>
    <t>Bajaj Immersion Rod Water Heater 1500 Watts, Silver</t>
  </si>
  <si>
    <t>Home&amp;Kitchen|Heating,Cooling&amp;AirQuality|WaterHeaters&amp;Geysers|ImmersionRods</t>
  </si>
  <si>
    <t>36,017</t>
  </si>
  <si>
    <t>INALSA Electric Kettle 1.5 Litre with Stainless Steel Body - Absa|Auto Shut Off &amp; Boil Dry Protection Safety Features| Cordless Base &amp; Cord Winder|Hot Water Kettle |Water Heater Jug</t>
  </si>
  <si>
    <t>₹1,595</t>
  </si>
  <si>
    <t>8,090</t>
  </si>
  <si>
    <t>Prestige PIC 20 1600 Watt Induction Cooktop with Push button (Black)</t>
  </si>
  <si>
    <t>₹2,148</t>
  </si>
  <si>
    <t>₹3,645</t>
  </si>
  <si>
    <t>31,388</t>
  </si>
  <si>
    <t>Pigeon Healthifry Digital Air Fryer, 360° High Speed Air Circulation Technology 1200 W with Non-Stick 4.2 L Basket - Green</t>
  </si>
  <si>
    <t>Home&amp;Kitchen|Kitchen&amp;HomeAppliances|SmallKitchenAppliances|DeepFatFryers|AirFryers</t>
  </si>
  <si>
    <t>₹7,950</t>
  </si>
  <si>
    <t>PrettyKrafts Laundry Basket for clothes with Lid &amp; Handles, Toys Organiser, 75 Ltr Black &amp; Grey</t>
  </si>
  <si>
    <t>Home&amp;Kitchen|HomeStorage&amp;Organization|LaundryOrganization|LaundryBaskets</t>
  </si>
  <si>
    <t>₹351</t>
  </si>
  <si>
    <t>5,380</t>
  </si>
  <si>
    <t>Philips GC1905 1440-Watt Steam Iron with Spray (Blue)</t>
  </si>
  <si>
    <t>Home&amp;Kitchen|Kitchen&amp;HomeAppliances|Vacuum,Cleaning&amp;Ironing|Irons,Steamers&amp;Accessories|Irons|SteamIrons</t>
  </si>
  <si>
    <t>₹1,614</t>
  </si>
  <si>
    <t>₹1,745</t>
  </si>
  <si>
    <t>37,974</t>
  </si>
  <si>
    <t>Havells Immersion HB15 1500 Watt (White Blue)</t>
  </si>
  <si>
    <t>17,218</t>
  </si>
  <si>
    <t>AGARO LR2007 Lint Remover, Rechargeable, for Woolen Sweaters, Blankets, Jackets, Burr Remover, Pill Remover From Carpets, Curtains</t>
  </si>
  <si>
    <t>₹678</t>
  </si>
  <si>
    <t>900</t>
  </si>
  <si>
    <t>Pigeon 1.5 litre Hot Kettle and Stainless Steel Water Bottle Combo used for boiling Water, Making Tea and Coffee, Instant Noodles, Soup, 1500 Watt with Auto Shut- off Feature - (Silver)</t>
  </si>
  <si>
    <t>₹809</t>
  </si>
  <si>
    <t>₹1,545</t>
  </si>
  <si>
    <t>976</t>
  </si>
  <si>
    <t>NutriPro Juicer Mixer Grinder - Smoothie Maker - 500 Watts (3 Jars 2 Blades)</t>
  </si>
  <si>
    <t>Home&amp;Kitchen|Kitchen&amp;HomeAppliances|SmallKitchenAppliances|JuicerMixerGrinders</t>
  </si>
  <si>
    <t>₹1,969</t>
  </si>
  <si>
    <t>₹5,000</t>
  </si>
  <si>
    <t>4,927</t>
  </si>
  <si>
    <t>Philips GC026/30 Fabric Shaver, Lint Remover for Woolen Sweaters, Blankets, Jackets/Burr Remover Pill Remover from Carpets, Curtains (White)</t>
  </si>
  <si>
    <t>3,543</t>
  </si>
  <si>
    <t>Havells Cista Room Heater, White, 2000 Watts</t>
  </si>
  <si>
    <t>₹3,945</t>
  </si>
  <si>
    <t>2,732</t>
  </si>
  <si>
    <t>AGARO Regal 800 Watts Handheld Vacuum Cleaner, Lightweight &amp; Durable Body, Small/Mini Size ( Black)</t>
  </si>
  <si>
    <t>Home&amp;Kitchen|Kitchen&amp;HomeAppliances|Vacuum,Cleaning&amp;Ironing|Vacuums&amp;FloorCare|Vacuums|HandheldVacuums</t>
  </si>
  <si>
    <t>₹1,665</t>
  </si>
  <si>
    <t>14,368</t>
  </si>
  <si>
    <t>Philips Viva Collection HD4928/01 2100-Watt Induction Cooktop with Feather Touch Sensor and Crystal Glass Plate (Black)</t>
  </si>
  <si>
    <t>₹3,229</t>
  </si>
  <si>
    <t>₹5,295</t>
  </si>
  <si>
    <t>39,724</t>
  </si>
  <si>
    <t>Pigeon By Stovekraft ABS Plastic Acer Plus Induction Cooktop 1800 Watts With Feather Touch Control - Black</t>
  </si>
  <si>
    <t>₹3,595</t>
  </si>
  <si>
    <t>9,791</t>
  </si>
  <si>
    <t>AGARO Esteem Multi Kettle 1.2 Litre, 600W with 3 Heating Modes &amp; Rapid Boil Technology</t>
  </si>
  <si>
    <t>₹1,260</t>
  </si>
  <si>
    <t>2,891</t>
  </si>
  <si>
    <t>Bajaj Minor 1000 Watts Radiant Room Heater (Steel, ISI Approved)</t>
  </si>
  <si>
    <t>₹1,129</t>
  </si>
  <si>
    <t>2,446</t>
  </si>
  <si>
    <t>Butterfly Jet Elite Mixer Grinder, 750W, 4 Jars (Grey)</t>
  </si>
  <si>
    <t>₹5,795</t>
  </si>
  <si>
    <t>25,340</t>
  </si>
  <si>
    <t>SOFLIN Egg Boiler Electric Automatic Off 7 Egg Poacher for Steaming, Cooking, Boiling and Frying (400 Watts, Blue)</t>
  </si>
  <si>
    <t>Home&amp;Kitchen|Kitchen&amp;HomeAppliances|SmallKitchenAppliances|EggBoilers</t>
  </si>
  <si>
    <t>3,096</t>
  </si>
  <si>
    <t>Lifelong LLQH925 Dyno Quartz Heater 2 Power settings Tip Over Cut-off Switch 800 Watt Silent operation Power Indicator 2 Rod Room Heater (1 Year Warranty, Grey)</t>
  </si>
  <si>
    <t>Amazon Basics 1500 W Electric Kettle (Stainless Steel Body, 1.5 L)</t>
  </si>
  <si>
    <t>Prestige Sandwich Maker PGMFD 01, Black</t>
  </si>
  <si>
    <t>Home&amp;Kitchen|Kitchen&amp;HomeAppliances|SmallKitchenAppliances|SandwichMakers</t>
  </si>
  <si>
    <t>40,106</t>
  </si>
  <si>
    <t>Orient Electric Fabrijoy DIFJ10BP 1000-Watt Dry Iron, Non-Stick (White and Blue)</t>
  </si>
  <si>
    <t>13,029</t>
  </si>
  <si>
    <t>Lifelong LLFH921 Regalia 2000 W Fan Heater, 3 Air Settings, Room Heater with Overheating Protection, 1 Year Warranty ( White, (ISI Certified, Ideal for small to medium room/area)</t>
  </si>
  <si>
    <t>291</t>
  </si>
  <si>
    <t>Philips GC181 Heavy Weight 1000-Watt Dry Iron, Pack of 1</t>
  </si>
  <si>
    <t>₹1,321</t>
  </si>
  <si>
    <t>15,453</t>
  </si>
  <si>
    <t>Bulfyss USB Rechargeable Lint Remover Fabric Shaver Pet Hair Remover, Effectively and Quickly Remove Fuzz for Clothes, Sweater, Couch, Sofa, Blanket, Curtain, Wool, Cashmere (Grey, 1 Year Warranty)</t>
  </si>
  <si>
    <t>604</t>
  </si>
  <si>
    <t>Bajaj DX-7 1000W Dry Iron with Advance Soleplate and Anti-bacterial German Coating Technology, White</t>
  </si>
  <si>
    <t>₹875</t>
  </si>
  <si>
    <t>46,647</t>
  </si>
  <si>
    <t>Bajaj New Shakti Neo 25L Vertical Storage Water Heater (Geyser 25 Litres) 4 Star BEE Rated Heater For Water Heating with Titanium Armour, Swirl Flow Technology, Glasslined Tank(White), 1 Yr Warranty</t>
  </si>
  <si>
    <t>₹15,270</t>
  </si>
  <si>
    <t>3,233</t>
  </si>
  <si>
    <t>PHILIPS Handheld Garment Steamer STH3000/20 - Compact &amp; Foldable, Convenient Vertical Steaming, 1000 Watt Quick Heat Up, up to 20g/min, Kills 99.9%* Bacteria (Reno Blue), Small</t>
  </si>
  <si>
    <t>₹3,190</t>
  </si>
  <si>
    <t>₹4,195</t>
  </si>
  <si>
    <t>1,282</t>
  </si>
  <si>
    <t>Room Heater Warmer Wall-Outlet 400 Watts Electric Handy Room Heater (Room Heaters Home for Bedroom, Reading Books, Work, bathrooms, Rooms, Offices, Home Offices,2022</t>
  </si>
  <si>
    <t>70</t>
  </si>
  <si>
    <t>Wonderchef Nutri-blend Mixer, Grinder &amp; Blender | Powerful 400W 22000 RPM motor | Stainless steel Blades | 2 unbreakable jars | 2 Years warranty | Online recipe book by Chef Sanjeev Kapoor | Black</t>
  </si>
  <si>
    <t>26,164</t>
  </si>
  <si>
    <t>USHA Armor AR1100WB 1100 W Dry Iron with Black Weilburger Soleplate (Purple)</t>
  </si>
  <si>
    <t>16,166</t>
  </si>
  <si>
    <t>Butterfly EKN 1.5-Litre Electric Kettle (Silver with Black)</t>
  </si>
  <si>
    <t>₹1,111</t>
  </si>
  <si>
    <t>35,693</t>
  </si>
  <si>
    <t>Crompton Arno Neo 15-L 5 Star Rated Storage Water Heater (Geyser) with Advanced 3 Level Safety (Grey)</t>
  </si>
  <si>
    <t>₹6,199</t>
  </si>
  <si>
    <t>₹10,400</t>
  </si>
  <si>
    <t>14,391</t>
  </si>
  <si>
    <t>Borosil Chef Delite BCH20DBB21 300-Watt Chopper (Black)</t>
  </si>
  <si>
    <t>Home&amp;Kitchen|Kitchen&amp;HomeAppliances|SmallKitchenAppliances|MiniFoodProcessors&amp;Choppers</t>
  </si>
  <si>
    <t>₹1,819</t>
  </si>
  <si>
    <t>7,946</t>
  </si>
  <si>
    <t>KENT 16055 Amaze Cool Touch Electric Kettle 1.8 L 1500 W | Plastic Outer &amp; Stainless Steel Inside body | Auto shut off Over heating protection | Multipurpose hot water Kettle | 1 Year Warranty</t>
  </si>
  <si>
    <t>1,765</t>
  </si>
  <si>
    <t>Prestige IRIS Plus 750 watt mixer grinder</t>
  </si>
  <si>
    <t>₹3,249</t>
  </si>
  <si>
    <t>₹6,295</t>
  </si>
  <si>
    <t>14,062</t>
  </si>
  <si>
    <t>Simxen Egg Boiler Electric Automatic Off 7 Egg Poacher for Steaming, Cooking Also Boiling and Frying 400 W (Blue, Pink)</t>
  </si>
  <si>
    <t>15,646</t>
  </si>
  <si>
    <t>Amazon Basics 2000/1000 Watt Room Heater with Adjustable Thermostat (ISI certified, White color, Ideal for small to medium room/area)</t>
  </si>
  <si>
    <t>3.1</t>
  </si>
  <si>
    <t>111</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</si>
  <si>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</si>
  <si>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</si>
  <si>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9,695</t>
  </si>
  <si>
    <t>Bajaj New Shakti Neo 10L Vertical Storage Water Heater (Geyser 10 Litres) 4 Star BEE Rated Heater For Water Heating with Titanium Armour, Swirl Flow Technology, Glasslined Tank(White), 1 Yr Warranty</t>
  </si>
  <si>
    <t>₹9,650</t>
  </si>
  <si>
    <t>1,772</t>
  </si>
  <si>
    <t>Bosch Pro 1000W Mixer Grinder MGM8842MIN - Black</t>
  </si>
  <si>
    <t>₹10,590</t>
  </si>
  <si>
    <t>11,499</t>
  </si>
  <si>
    <t>Bulfyss Stainless Steel Digital Kitchen Weighing Scale &amp; Food Weight Machine for Diet, Nutrition, Health, Fitness, Baking &amp; Cooking (5Kgs, Stainless Steel, 2 Years Warranty)</t>
  </si>
  <si>
    <t>2,162</t>
  </si>
  <si>
    <t>VR 18 Pcs - 3 Different Size Plastic Food Snack Bag Pouch Clip Sealer Large, Medium, Small Plastic Snack Seal Sealing Bag Clips Vacuum Sealer (Set of 18, Multi-Color) (Multicolor)</t>
  </si>
  <si>
    <t>Home&amp;Kitchen|Kitchen&amp;HomeAppliances|SmallKitchenAppliances|VacuumSealers</t>
  </si>
  <si>
    <t>19,621</t>
  </si>
  <si>
    <t>Orient Electric Apex-FX 1200mm Ultra High Speed 400 RPM Ceiling Fan (Brown)</t>
  </si>
  <si>
    <t>Home&amp;Kitchen|Heating,Cooling&amp;AirQuality|Fans|CeilingFans</t>
  </si>
  <si>
    <t>₹2,485</t>
  </si>
  <si>
    <t>19,998</t>
  </si>
  <si>
    <t>PrettyKrafts Folding Laundry Basket for Clothes with Lid &amp; Handle, Toys Organiser, 75 Litre, (Pack of 1), Mushroom Print</t>
  </si>
  <si>
    <t>₹355</t>
  </si>
  <si>
    <t>1,051</t>
  </si>
  <si>
    <t>Bajaj Majesty RX11 2000 Watts Heat Convector Room Heater (White, ISI Approved)</t>
  </si>
  <si>
    <t>₹2,169</t>
  </si>
  <si>
    <t>₹3,279</t>
  </si>
  <si>
    <t>1,716</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</si>
  <si>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</si>
  <si>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</si>
  <si>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32,931</t>
  </si>
  <si>
    <t>Pigeon by Stovekraft Quartz Electric Kettle (14299) 1.7 Litre with Stainless Steel Body, used for boiling Water, making tea and coffee, instant noodles, soup etc. 1500 Watt (Silver)</t>
  </si>
  <si>
    <t>17,424</t>
  </si>
  <si>
    <t>Maharaja Whiteline Lava Neo 1200-Watts Halogen Heater (White and Red)</t>
  </si>
  <si>
    <t>1,889</t>
  </si>
  <si>
    <t>Crompton Gracee 5-L Instant Water Heater (Geyser)</t>
  </si>
  <si>
    <t>10,324</t>
  </si>
  <si>
    <t>Bajaj DX-2 600W Dry Iron with Advance Soleplate and Anti-bacterial German Coating Technology, Black</t>
  </si>
  <si>
    <t>5,355</t>
  </si>
  <si>
    <t>Bajaj Waterproof 1500 Watts Immersion Rod Heater</t>
  </si>
  <si>
    <t>₹653</t>
  </si>
  <si>
    <t>₹1,020</t>
  </si>
  <si>
    <t>3,366</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</si>
  <si>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</si>
  <si>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</si>
  <si>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</si>
  <si>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1,017</t>
  </si>
  <si>
    <t>Bajaj Deluxe 2000 Watts Halogen Room Heater (Steel, ISI Approved), Multicolor</t>
  </si>
  <si>
    <t>Home&amp;Kitchen|Heating,Cooling&amp;AirQuality|RoomHeaters|HalogenHeaters</t>
  </si>
  <si>
    <t>₹1,639</t>
  </si>
  <si>
    <t>787</t>
  </si>
  <si>
    <t>Orpat HHB-100E WOB 250-Watt Hand Blender (White)</t>
  </si>
  <si>
    <t>₹753</t>
  </si>
  <si>
    <t>18,462</t>
  </si>
  <si>
    <t>GILTON Egg Boiler Electric Automatic Off 7 Egg Poacher for Steaming, Cooking Also Boiling and Frying, Multi Color</t>
  </si>
  <si>
    <t>₹353</t>
  </si>
  <si>
    <t>629</t>
  </si>
  <si>
    <t>HealthSense Chef-Mate KS 33 Digital Kitchen Weighing Scale &amp; Food Weight Machine for Health, Fitness, Home Baking &amp; Cooking with Free Bowl, 1 Year Warranty &amp; Batteries Included</t>
  </si>
  <si>
    <t>15,276</t>
  </si>
  <si>
    <t>PHILIPS Digital Air Fryer HD9252/90 with Touch Panel, uses up to 90% less fat, 7 Pre-set Menu, 1400W, 4.1 Liter, with Rapid Air Technology (Black), Large</t>
  </si>
  <si>
    <t>₹8,799</t>
  </si>
  <si>
    <t>₹11,595</t>
  </si>
  <si>
    <t>2,981</t>
  </si>
  <si>
    <t>Milton Go Electro 2.0 Stainless Steel Electric Kettle, 1 Piece, 2 Litres, Silver | Power Indicator | 1500 Watts | Auto Cut-off | Detachable 360 Degree Connector | Boiler for Water</t>
  </si>
  <si>
    <t>₹1,750</t>
  </si>
  <si>
    <t>2,466</t>
  </si>
  <si>
    <t>Philips Daily Collection HD2582/00 830-Watt 2-Slice Pop-up Toaster (White)</t>
  </si>
  <si>
    <t>Home&amp;Kitchen|Kitchen&amp;HomeAppliances|SmallKitchenAppliances|Pop-upToasters</t>
  </si>
  <si>
    <t>₹2,095</t>
  </si>
  <si>
    <t>7,949</t>
  </si>
  <si>
    <t>Crompton Insta Comfy 800 Watt Room Heater with 2 Heat Settings(Grey Blue)</t>
  </si>
  <si>
    <t>₹1,498</t>
  </si>
  <si>
    <t>₹2,300</t>
  </si>
  <si>
    <t>95</t>
  </si>
  <si>
    <t>USHA Heat Convector 812 T 2000-Watt with Instant Heating Feature (Black)</t>
  </si>
  <si>
    <t>Home&amp;Kitchen|Heating,Cooling&amp;AirQuality|RoomHeaters|HeatConvectors</t>
  </si>
  <si>
    <t>1,558</t>
  </si>
  <si>
    <t>Philips HL7756/00 Mixer Grinder, 750W, 3 Jars (Black)</t>
  </si>
  <si>
    <t>₹3,699</t>
  </si>
  <si>
    <t>₹4,295</t>
  </si>
  <si>
    <t>26,543</t>
  </si>
  <si>
    <t>Kuber Industries Waterproof Round Non Wovan Laundry Bag/Hamper|Metalic Printed With Handles|Foldable Bin &amp; 45 Liter Capicity|Size 37 x 37 x 49, Pack of 1 (Beige &amp; Brown)-KUBMART11450</t>
  </si>
  <si>
    <t>₹177</t>
  </si>
  <si>
    <t>3,688</t>
  </si>
  <si>
    <t>Lifelong LLMG93 500 Watt Duos Mixer Grinder, 2 Stainless Steel Jar (Liquidizing and Chutney Jar)| ABS Body, Stainless Steel Blades, 3 Speed Options with Whip (1 Year Warranty, Black)</t>
  </si>
  <si>
    <t>4,383</t>
  </si>
  <si>
    <t>IKEA Frother for Milk</t>
  </si>
  <si>
    <t>Home&amp;Kitchen|Kitchen&amp;HomeAppliances|Coffee,Tea&amp;Espresso|CoffeeGrinders|ElectricGrinders</t>
  </si>
  <si>
    <t>₹244</t>
  </si>
  <si>
    <t>478</t>
  </si>
  <si>
    <t>Crompton Insta Comfort Heater 2000 Watts Heat Convector with Adjustable Thermostats, Hybrid Cyan, Standard (‎ACGRH- INSTACOMFORT)</t>
  </si>
  <si>
    <t>₹1,959</t>
  </si>
  <si>
    <t>237</t>
  </si>
  <si>
    <t>Lint Remover Woolen Clothes Lint Extractor Battery Lint Removing Machine Bhur Remover</t>
  </si>
  <si>
    <t>₹319</t>
  </si>
  <si>
    <t>124</t>
  </si>
  <si>
    <t>Pigeon Kessel Multipurpose Kettle (12173) 1.2 litres with Stainless Steel Body, used for boiling Water and milk, Tea, Coffee, Oats, Noodles, Soup etc. 600 Watt (Black &amp; Silver)</t>
  </si>
  <si>
    <t>₹1,775</t>
  </si>
  <si>
    <t>14,667</t>
  </si>
  <si>
    <t>C (DEVICE) Lint Remover for Woolen Clothes, Electric Lint Remover, Best Lint Shaver for Clothes Pack of 1</t>
  </si>
  <si>
    <t>6</t>
  </si>
  <si>
    <t>Pigeon by Stovekraft 2 Slice Auto Pop up Toaster. A Smart Bread Toaster for Your Home (750 Watt) (black)</t>
  </si>
  <si>
    <t>4,244</t>
  </si>
  <si>
    <t>Bajaj OFR Room Heater, 13 Fin 2900 Watts Oil Filled Room Heater with 400W PTC Ceramic Fan Heater, ISI Approved (Majesty 13F Plus Black)</t>
  </si>
  <si>
    <t>₹9,590</t>
  </si>
  <si>
    <t>Luminous Vento Deluxe 150 mm Exhaust Fan for Kitchen, Bathroom with Strong Air Suction, Rust Proof Body and Dust Protection Shutters (2-Year Warranty, White)</t>
  </si>
  <si>
    <t>Home&amp;Kitchen|Heating,Cooling&amp;AirQuality|Fans|ExhaustFans</t>
  </si>
  <si>
    <t>12,999</t>
  </si>
  <si>
    <t>Wipro Vesta 1.8 litre Cool touch electric Kettle with Auto cut off | Double Layer outer body | Triple Protection - Dry Boil, Steam &amp; Over Heat |Stainless Steel Inner Body | (Black, 1500 Watt)</t>
  </si>
  <si>
    <t>311</t>
  </si>
  <si>
    <t>Kitchen Mart Stainless Steel South Indian Filter Coffee Drip Maker, Madras Kappi, Drip Decotion Maker160ml (2 Cup)</t>
  </si>
  <si>
    <t>Home&amp;Kitchen|Kitchen&amp;HomeAppliances|Coffee,Tea&amp;Espresso|DripCoffeeMachines</t>
  </si>
  <si>
    <t>₹292</t>
  </si>
  <si>
    <t>4,238</t>
  </si>
  <si>
    <t>Ikea 903.391.72 Polypropylene Plastic Solid Bevara Sealing Clip (Multicolour) - 30 Pack, Adjustable</t>
  </si>
  <si>
    <t>2,781</t>
  </si>
  <si>
    <t>HUL Pureit Germkill kit for Classic 23 L water purifier - 1500 L Capacity</t>
  </si>
  <si>
    <t>Home&amp;Kitchen|Kitchen&amp;HomeAppliances|WaterPurifiers&amp;Accessories|WaterPurifierAccessories</t>
  </si>
  <si>
    <t>10,907</t>
  </si>
  <si>
    <t>HUL Pureit Germkill kit for Classic 23 L water purifier - 3000 L Capacity</t>
  </si>
  <si>
    <t>Home&amp;Kitchen|Kitchen&amp;HomeAppliances|WaterPurifiers&amp;Accessories|WaterCartridges</t>
  </si>
  <si>
    <t>₹1,130</t>
  </si>
  <si>
    <t>13,250</t>
  </si>
  <si>
    <t>Prestige Iris 750 Watt Mixer Grinder with 3 Stainless Steel Jar + 1 Juicer Jar (White and Blue)</t>
  </si>
  <si>
    <t>43,070</t>
  </si>
  <si>
    <t>Preethi Blue Leaf Diamond MG-214 mixer grinder 750 watt (Blue/White), 3 jars &amp; Flexi Lid, FBT motor with 2yr Guarantee &amp; Lifelong Free Service</t>
  </si>
  <si>
    <t>₹9,455</t>
  </si>
  <si>
    <t>11,828</t>
  </si>
  <si>
    <t>Themisto 350 Watts Egg Boiler-Blue</t>
  </si>
  <si>
    <t>1,240</t>
  </si>
  <si>
    <t>Butterfly Smart Mixer Grinder, 750W, 4 Jars (Grey)</t>
  </si>
  <si>
    <t>₹3,199</t>
  </si>
  <si>
    <t>20,869</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</si>
  <si>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</si>
  <si>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</si>
  <si>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441</t>
  </si>
  <si>
    <t>InstaCuppa Portable Blender for Smoothie, Milk Shakes, Crushing Ice and Juices, USB Rechargeable Personal Blender Machine for Kitchen with 2000 mAh Rechargeable Battery, 150 Watt Motor, 400 ML</t>
  </si>
  <si>
    <t>1,034</t>
  </si>
  <si>
    <t>USHA EI 1602 1000 W Lightweight Dry Iron with Non-Stick Soleplate (Multi-colour)</t>
  </si>
  <si>
    <t>₹616</t>
  </si>
  <si>
    <t>37,126</t>
  </si>
  <si>
    <t>KENT 16044 Hand Blender Stainless Steel 400 W | Variable Speed Control | Easy to Clean and Store | Low Noise Operation</t>
  </si>
  <si>
    <t>6,355</t>
  </si>
  <si>
    <t>White Feather Portable Heat Sealer Mini Sealing Machine for Food Storage Vacuum Bag, Chip, Plastic, Snack Bags, Package Home Closer Storage Tool (Multicolor) Random Colour</t>
  </si>
  <si>
    <t>Crompton IHL 152 1500-Watt Immersion Water Heater with Copper Heating Element (Black)</t>
  </si>
  <si>
    <t>₹610</t>
  </si>
  <si>
    <t>₹825</t>
  </si>
  <si>
    <t>13,165</t>
  </si>
  <si>
    <t>InstaCuppa Rechargeable Mini Electric Chopper - Stainless Steel Blades, One Touch Operation, for Mincing Garlic, Ginger, Onion, Vegetable, Meat, Nuts, (White, 250 ML, Pack of 1, 45 Watts)</t>
  </si>
  <si>
    <t>1,646</t>
  </si>
  <si>
    <t>Philips PowerPro FC9352/01 Compact Bagless Vacuum Cleaner (Blue)</t>
  </si>
  <si>
    <t>₹9,995</t>
  </si>
  <si>
    <t>17,994</t>
  </si>
  <si>
    <t>SAIELLIN Electric Lint Remover for Clothes Fabric Shaver Lint Shaver for Woolen Clothes Blanket Jackets Stainless Steel Blades, Clothes and Furniture Lint Roller for Fabrics Portable Lint Shavers (White Orange)</t>
  </si>
  <si>
    <t>₹453</t>
  </si>
  <si>
    <t>610</t>
  </si>
  <si>
    <t>Cookwell Bullet Mixer Grinder (5 Jars, 3 Blades, Silver)</t>
  </si>
  <si>
    <t>₹2,464</t>
  </si>
  <si>
    <t>₹6,000</t>
  </si>
  <si>
    <t>Prestige PRWO 1.8-2 700-Watts Delight Electric Rice Cooker with 2 Aluminium Cooking Pans - 1.8 Liters, White</t>
  </si>
  <si>
    <t>₹2,719</t>
  </si>
  <si>
    <t>13,406</t>
  </si>
  <si>
    <t>Swiffer Instant Electric Water Heater Faucet Tap Home-Kitchen Instantaneous Water Heater Tank less for Tap, LED Electric Head Water Heaters Tail Gallon Comfort(3000W) ((Pack of 1))</t>
  </si>
  <si>
    <t>4.8</t>
  </si>
  <si>
    <t>53,803</t>
  </si>
  <si>
    <t>InstaCuppa Portable Blender for Smoothie, Milk Shakes, Crushing Ice and Juices, USB Rechargeable Personal Blender Machine for Kitchen with 4000 mAh Rechargeable Battery, 230 Watt Motor, 500 ML</t>
  </si>
  <si>
    <t>546</t>
  </si>
  <si>
    <t>Lifelong LLWH106 Flash 3 Litres Instant Water Heater for Home Use, 8 Bar Pressure,Power On/Off Indicator and Advanced Safety, (3000W, ISI Certified, 2 Years Warranty)</t>
  </si>
  <si>
    <t>₹2,088</t>
  </si>
  <si>
    <t>₹5,550</t>
  </si>
  <si>
    <t>5,292</t>
  </si>
  <si>
    <t>Hindware Atlantic Compacto 3 Litre Instant water heater with Stainless Steel Tank, Robust Construction, Pressure Relief Valve And I-thermostat Feature (White And Grey)</t>
  </si>
  <si>
    <t>₹4,590</t>
  </si>
  <si>
    <t>444</t>
  </si>
  <si>
    <t>ATOM Selves-MH 200 GM Digital Pocket Scale</t>
  </si>
  <si>
    <t>₹308</t>
  </si>
  <si>
    <t>4,584</t>
  </si>
  <si>
    <t>Crompton InstaBliss 3-L Instant Water Heater (Geyser) with Advanced 4 Level Safety</t>
  </si>
  <si>
    <t>₹4,400</t>
  </si>
  <si>
    <t>14,947</t>
  </si>
  <si>
    <t>Croma 1100 W Dry Iron with Weilburger Dual Soleplate Coating (CRSHAH702SIR11, White)</t>
  </si>
  <si>
    <t>1,559</t>
  </si>
  <si>
    <t>Lint Roller with 40 Paper Sheets, 22 x 5 cm (Grey)</t>
  </si>
  <si>
    <t>₹245</t>
  </si>
  <si>
    <t>1,660</t>
  </si>
  <si>
    <t>Portable Lint Remover Pet Fur Remover Clothes Fuzz Remover Pet Hairball Quick Epilator Shaver Removing Dust Pet Hair from Clothing Furniture Perfect for Clothing,Furniture,Couch,Carpet (Standard)</t>
  </si>
  <si>
    <t>atomberg Renesa 1200mm BLDC Motor with Remote 3 Blade Energy Saving Ceiling Fan (Matt Black)</t>
  </si>
  <si>
    <t>₹3,569</t>
  </si>
  <si>
    <t>₹5,190</t>
  </si>
  <si>
    <t>28,629</t>
  </si>
  <si>
    <t>Pigeon by Stovekraft Amaze Plus Electric Kettle (14313) with Stainless Steel Body, 1.8 litre, used for boiling Water, making tea and coffee, instant noodles, soup etc. 1500 Watt (Silver)</t>
  </si>
  <si>
    <t>8,446</t>
  </si>
  <si>
    <t>Usha CookJoy (CJ1600WPC) 1600 Watt Induction cooktop (Black)</t>
  </si>
  <si>
    <t>₹2,089</t>
  </si>
  <si>
    <t>11,199</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</si>
  <si>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</si>
  <si>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</si>
  <si>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</si>
  <si>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1,118</t>
  </si>
  <si>
    <t>!!1000 Watt/2000-Watt Room Heater!! Fan Heater!!Pure White!!HN-2500!!Made in India!!</t>
  </si>
  <si>
    <t>₹784</t>
  </si>
  <si>
    <t>11</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</si>
  <si>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</si>
  <si>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</si>
  <si>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4,353</t>
  </si>
  <si>
    <t>Activa Heat-Max 2000 Watts Room Heater (White color ) with ABS body</t>
  </si>
  <si>
    <t>PHILIPS HL1655/00 Hand Blender, White Jar 250W</t>
  </si>
  <si>
    <t>14,290</t>
  </si>
  <si>
    <t>Bajaj DX-2 600W Dry Iron with Advance Soleplate and Anti-Bacterial German Coating Technology, Grey</t>
  </si>
  <si>
    <t>₹940</t>
  </si>
  <si>
    <t>3,036</t>
  </si>
  <si>
    <t>V-Guard Zio Instant Water Geyser | 3 Litre | 3000 W Heating | White-Blue | | 2 Year Warranty</t>
  </si>
  <si>
    <t>1,296</t>
  </si>
  <si>
    <t>Homeistic Applience™ Instant Electric Water Heater Faucet Tap For Kitchen And Bathroom Sink Digital Water Heating Tap with Shower Head ABS Body- Shock Proof (Pack Of 1. White)</t>
  </si>
  <si>
    <t>₹1,448</t>
  </si>
  <si>
    <t>19</t>
  </si>
  <si>
    <t>Kitchenwell 18Pc Plastic Food Snack Bag Pouch Clip Sealer for Keeping Food Fresh for Home, Kitchen, Camping Snack Seal Sealing Bag Clips (Multi-Color) | (Pack of 18)|</t>
  </si>
  <si>
    <t>97</t>
  </si>
  <si>
    <t>Havells Instanio 10 Litre Storage Water Heater with Flexi Pipe and Free installation (White Blue)</t>
  </si>
  <si>
    <t>₹14,290</t>
  </si>
  <si>
    <t>1,771</t>
  </si>
  <si>
    <t>Prestige PIC 16.0+ 1900W Induction Cooktop with Soft Touch Push Buttons (Black)</t>
  </si>
  <si>
    <t>₹2,698</t>
  </si>
  <si>
    <t>15,034</t>
  </si>
  <si>
    <t>AGARO 33398 Rapid 1000-Watt, 10-Litre Wet &amp; Dry Vacuum Cleaner, with Blower Function (Red &amp; Black)</t>
  </si>
  <si>
    <t>3,242</t>
  </si>
  <si>
    <t>KENT 16026 Electric Kettle Stainless Steel 1.8 L | 1500W | Superfast Boiling | Auto Shut-Off | Boil Dry Protection | 360° Rotating Base | Water Level Indicator</t>
  </si>
  <si>
    <t>₹1,950</t>
  </si>
  <si>
    <t>2,832</t>
  </si>
  <si>
    <t>SKYTONE Stainless Steel Electric Meat Grinders with Bowl 700W Heavy for Kitchen Food Chopper, Meat, Vegetables, Onion , Garlic Slicer Dicer, Fruit &amp; Nuts Blender (2L, 700 Watts)</t>
  </si>
  <si>
    <t>₹1,414</t>
  </si>
  <si>
    <t>1,498</t>
  </si>
  <si>
    <t>KENT 16088 Vogue Electric Kettle 1.8 Litre 1500 W | Stainless Steel body | Auto shut off over heating protection | 1 Year Warranty</t>
  </si>
  <si>
    <t>Eureka Forbes Supervac 1600 Watts Powerful Suction,bagless Vacuum Cleaner with cyclonic Technology,7 Accessories,1 Year Warranty,Compact,Lightweight &amp; Easy to use (Red)</t>
  </si>
  <si>
    <t>1,191</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</si>
  <si>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</si>
  <si>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</si>
  <si>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</si>
  <si>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4,049</t>
  </si>
  <si>
    <t>Tata Swach Bulb 6000-Litre Cartridge, 1 Piece, White, Hollow Fiber Membrane</t>
  </si>
  <si>
    <t>Home&amp;Kitchen|Kitchen&amp;HomeAppliances|WaterPurifiers&amp;Accessories|WaterFilters&amp;Purifiers</t>
  </si>
  <si>
    <t>₹698</t>
  </si>
  <si>
    <t>3,160</t>
  </si>
  <si>
    <t>Havells Ambrose 1200mm Ceiling Fan (Gold Mist Wood)</t>
  </si>
  <si>
    <t>9,650</t>
  </si>
  <si>
    <t>PrettyKrafts Laundry Bag / Basket for Dirty Clothes, Folding Round Laundry Bag,Set of 2, Black Wave</t>
  </si>
  <si>
    <t>Home&amp;Kitchen|HomeStorage&amp;Organization|LaundryOrganization|LaundryBags</t>
  </si>
  <si>
    <t>3,846</t>
  </si>
  <si>
    <t>FABWARE Lint Remover for Clothes - Sticky Lint Roller for Clothes, Furniture, Wool, Coat, Car Seats, Carpet, Fabric, Dust Cleaner, Pet Hair Remover with 1 Handle &amp; 1 Refill Total 60 Sheets &amp; 1 Cover</t>
  </si>
  <si>
    <t>290</t>
  </si>
  <si>
    <t>Brayden Fito Atom Rechargeable Smoothie Blender with 2000 mAh Battery and 3.7V Motor with 400ml Tritan Jar (Blue)</t>
  </si>
  <si>
    <t>2,206</t>
  </si>
  <si>
    <t>Bajaj Frore 1200 mm Ceiling Fan (Brown)</t>
  </si>
  <si>
    <t>₹2,660</t>
  </si>
  <si>
    <t>9,349</t>
  </si>
  <si>
    <t>Venus Digital Kitchen Weighing Scale &amp; Food Weight Machine for Health, Fitness, Home Baking &amp; Cooking Scale, 2 Year Warranty &amp; Battery Included (Weighing Scale Without Bowl) Capacity 10 Kg, 1 Gm</t>
  </si>
  <si>
    <t>578</t>
  </si>
  <si>
    <t>Bajaj ATX 4 750-Watt Pop-up Toaster (White)</t>
  </si>
  <si>
    <t>9,331</t>
  </si>
  <si>
    <t>Coway Professional Air Purifier for Home, Longest Filter Life 8500 Hrs, Green True HEPA Filter, Traps 99.99% Virus &amp; PM 0.1 Particles, Warranty 7 Years (AirMega 150 (AP-1019C))</t>
  </si>
  <si>
    <t>₹14,400</t>
  </si>
  <si>
    <t>₹59,900</t>
  </si>
  <si>
    <t>3,837</t>
  </si>
  <si>
    <t>KENT Gold Optima Gravity Water Purifier (11016) | UF Technology Based | Non-Electric &amp; Chemical Free | Counter Top | 10L Storage | White</t>
  </si>
  <si>
    <t>11,456</t>
  </si>
  <si>
    <t>HOMEPACK 750W Radiant Room Home Office Heaters For Winter</t>
  </si>
  <si>
    <t>49</t>
  </si>
  <si>
    <t>Bajaj Rex 750W Mixer Grinder with Nutri Pro Feature, 4 Jars, White</t>
  </si>
  <si>
    <t>₹6,375</t>
  </si>
  <si>
    <t>4,978</t>
  </si>
  <si>
    <t>Heart Home Waterproof Round Non Wovan Laundry Bag/Hamper|Metalic Printed With Handles|Foldable Bin &amp; 45 Liter Capicity|Size 37 x 37 x 49, Pack of 1 (Grey &amp; Black)-HEARTXY11447</t>
  </si>
  <si>
    <t>1,996</t>
  </si>
  <si>
    <t>MILTON Smart Egg Boiler 360-Watts (Transparent and Silver Grey), Boil Up to 7 Eggs</t>
  </si>
  <si>
    <t>1,811</t>
  </si>
  <si>
    <t>iBELL SEK15L Premium 1.5 Litre Stainless Steel Electric Kettle,1500W Auto Cut-Off Feature,Silver with Black</t>
  </si>
  <si>
    <t>₹664</t>
  </si>
  <si>
    <t>2,198</t>
  </si>
  <si>
    <t>Tosaa T2STSR Sandwich Gas Toaster Regular (Black)</t>
  </si>
  <si>
    <t>₹260</t>
  </si>
  <si>
    <t>13,127</t>
  </si>
  <si>
    <t>V-Guard Divino 5 Star Rated 15 Litre Storage Water Heater (Geyser) with Advanced Safety Features, White</t>
  </si>
  <si>
    <t>₹8,500</t>
  </si>
  <si>
    <t>5,865</t>
  </si>
  <si>
    <t>Akiara® - Makes life easy Mini Sewing Machine with Table Set | Tailoring Machine | Hand Sewing Machine with extension table, foot pedal, adapter</t>
  </si>
  <si>
    <t>Home&amp;Kitchen|Kitchen&amp;HomeAppliances|SewingMachines&amp;Accessories|Sewing&amp;EmbroideryMachines</t>
  </si>
  <si>
    <t>₹1,484</t>
  </si>
  <si>
    <t>1,067</t>
  </si>
  <si>
    <t>Usha Steam Pro SI 3713, 1300 W Steam Iron, Powerful steam Output up to 18 g/min, Non-Stick Soleplate (White &amp; Blue)</t>
  </si>
  <si>
    <t>₹1,560</t>
  </si>
  <si>
    <t>4,881</t>
  </si>
  <si>
    <t>Wonderchef Nutri-blend Complete Kitchen Machine | 22000 RPM Mixer Grinder, Blender, Chopper, Juicer | 400W Powerful motor | SS Blades | 4 Unbreakable Jars | 2 Years Warranty | Online Recipe Book By Chef Sanjeev Kapoor | Black</t>
  </si>
  <si>
    <t>₹6,500</t>
  </si>
  <si>
    <t>11,217</t>
  </si>
  <si>
    <t>WIDEWINGS Electric Handheld Milk Wand Mixer Frother for Latte Coffee Hot Milk, Milk Frother for Coffee, Egg Beater, Hand Blender, Coffee Beater with Stand</t>
  </si>
  <si>
    <t>43</t>
  </si>
  <si>
    <t>Morphy Richards Icon Superb 750W Mixer Grinder, 4 Jars, Silver and Black</t>
  </si>
  <si>
    <t>₹7,795</t>
  </si>
  <si>
    <t>4,664</t>
  </si>
  <si>
    <t>Philips Handheld Garment Steamer GC360/30 - Vertical &amp; Horizontal Steaming, 1200 Watt, up to 22g/min</t>
  </si>
  <si>
    <t>₹4,280</t>
  </si>
  <si>
    <t>₹5,995</t>
  </si>
  <si>
    <t>2,112</t>
  </si>
  <si>
    <t>Vedini Transparent Empty Refillable Reusable Fine Mist Spray Bottle for Perfume, Travel with DIY Sticker Set ( 100ml, Pack of 4)</t>
  </si>
  <si>
    <t>Home&amp;Kitchen|HomeStorage&amp;Organization|LaundryOrganization|IroningAccessories|SprayBottles</t>
  </si>
  <si>
    <t>₹189</t>
  </si>
  <si>
    <t>2,737</t>
  </si>
  <si>
    <t>Crompton Sea Sapphira 1200 mm Ultra High Speed 3 Blade Ceiling Fan (Lustre Brown, Pack of 1)</t>
  </si>
  <si>
    <t>₹1,449</t>
  </si>
  <si>
    <t>₹2,349</t>
  </si>
  <si>
    <t>9,019</t>
  </si>
  <si>
    <t>Kuber Industries Waterproof Canvas Laundry Bag/Hamper|Metalic Printed With Handles|Foldable Bin &amp; 45 Liter Capicity|Size 37 x 37 x 46, Pack of 1 (Brown)</t>
  </si>
  <si>
    <t>10,234</t>
  </si>
  <si>
    <t>JM SELLER 180 W 2021 Edition Electric Beater High Speed Hand Mixer Egg Beater for Cake Making and Whipping Cream with 7 Speed Control (White) with Free Spatula and Oil Brush</t>
  </si>
  <si>
    <t>Home&amp;Kitchen|Kitchen&amp;HomeAppliances|SmallKitchenAppliances|HandMixers</t>
  </si>
  <si>
    <t>550</t>
  </si>
  <si>
    <t>Oratech Coffee Frother electric, milk frother electric, coffee beater, cappuccino maker, Coffee Foamer, Mocktail Mixer, Coffee Foam Maker, coffee whisker electric, Froth Maker, coffee stirrers electric, coffee frothers, Coffee Blender, (6 Month Warranty) (Multicolour)</t>
  </si>
  <si>
    <t>28</t>
  </si>
  <si>
    <t>Havells Glaze 74W Pearl Ivory Gold Ceiling Fan, Sweep: 1200 Mm</t>
  </si>
  <si>
    <t>₹4,775</t>
  </si>
  <si>
    <t>1,353</t>
  </si>
  <si>
    <t>Pick Ur Needs® Lint Remover for Clothes High Range Rechargeable Lint Shaver for All Types of Clothes, Fabrics, Blanket with 1 Extra Blade Multicolor (Rechargeable)</t>
  </si>
  <si>
    <t>₹1,230</t>
  </si>
  <si>
    <t>2,138</t>
  </si>
  <si>
    <t>Rico Japanese Technology Rechargeable Wireless Electric Chopper with Replacement Warranty - Stainless Steel Blades, One Touch Operation, 10 Seconds Chopping, Mincing Vegetable, Meat - 250 ML, 30 Watts</t>
  </si>
  <si>
    <t>1,679</t>
  </si>
  <si>
    <t>Butterfly Smart Wet Grinder, 2L (White) with Coconut Scrapper Attachment, Output - 150 W, Input 260 W</t>
  </si>
  <si>
    <t>Home&amp;Kitchen|Kitchen&amp;HomeAppliances|SmallKitchenAppliances|Mills&amp;Grinders|WetGrinders</t>
  </si>
  <si>
    <t>₹3,657.66</t>
  </si>
  <si>
    <t>₹5,156</t>
  </si>
  <si>
    <t>12,837</t>
  </si>
  <si>
    <t>AGARO Marvel 9 Liters Oven Toaster Griller, Cake Baking OTG (Black)</t>
  </si>
  <si>
    <t>Home&amp;Kitchen|Kitchen&amp;HomeAppliances|SmallKitchenAppliances|OvenToasterGrills</t>
  </si>
  <si>
    <t>8,873</t>
  </si>
  <si>
    <t>Philips GC1920/28 1440-Watt Non-Stick Soleplate Steam Iron</t>
  </si>
  <si>
    <t>₹1,849</t>
  </si>
  <si>
    <t>7,681</t>
  </si>
  <si>
    <t>Havells OFR 13 Wave Fin with PTC Fan Heater 2900 Watts (Black)</t>
  </si>
  <si>
    <t>₹19,825</t>
  </si>
  <si>
    <t>322</t>
  </si>
  <si>
    <t>Bajaj DHX-9 1000W Heavy Weight Dry Iron with Advance Soleplate and Anti-Bacterial German Coating Technology, Ivory</t>
  </si>
  <si>
    <t>₹1,920</t>
  </si>
  <si>
    <t>9,772</t>
  </si>
  <si>
    <t>Aquasure From Aquaguard Amaze RO+UV+MTDS,7L storage water purifier,suitable for borewell,tanker,municipal water (Grey) from Eureka Forbes</t>
  </si>
  <si>
    <t>₹8,199</t>
  </si>
  <si>
    <t>₹16,000</t>
  </si>
  <si>
    <t>18,497</t>
  </si>
  <si>
    <t>ROYAL STEP Portable Electric USB Juice Maker Juicer Bottle Blender Grinder Mixer,6 Blades Rechargeable Bottle with (MULTII) (MULTI COLOUR 6 BLED JUICER MIXER)</t>
  </si>
  <si>
    <t>53</t>
  </si>
  <si>
    <t>KENT 16068 Zoom Vacuum Cleaner for Home and Car 130 W | Cordless, Hoseless, Rechargeable HEPA Filters Vacuum Cleaner with Cyclonic Technology | Bagless Design and Multi Nozzle Operation | Blue</t>
  </si>
  <si>
    <t>1,728</t>
  </si>
  <si>
    <t>ENEM Sealing Machine | 12 Inch (300 mm) | 1 Year Warranty | Full Customer Support | Beep Sound Function | Plastic Packing Machine | Plastic Bag Sealing Machine | Heat Sealer Machine | Plastic Sealing Machine | Blue | Made in India</t>
  </si>
  <si>
    <t>2,877</t>
  </si>
  <si>
    <t>Wipro Vesta 1200 Watt GD203 Heavyweight Automatic Dry Iron| Quick Heat Up| Anti bacterial German Weilburger Double Coated Black Soleplate |2 Years Warranty</t>
  </si>
  <si>
    <t>250</t>
  </si>
  <si>
    <t>Inalsa Electric Kettle Prism Inox - 1350 W with LED Illumination &amp; Boro-Silicate Body, 1.8 L Capacity along with Cordless Base, 2 Year Warranty (Black)</t>
  </si>
  <si>
    <t>₹1,182</t>
  </si>
  <si>
    <t>5,178</t>
  </si>
  <si>
    <t>VRPRIME Lint Roller Lint Remover for Clothes, Pet | 360 Sheets Reusable Sticky Easy-Tear Sheet Brush for Clothes, Furniture, Carpet, Dog Fur, Sweater, Dust &amp; Dirt (4 Rolls - 90 Sheet Each Roll)</t>
  </si>
  <si>
    <t>79</t>
  </si>
  <si>
    <t>Philips AC1215/20 Air purifier, removes 99.97% airborne pollutants, 4-stage filtration with True HEPA filter (white)</t>
  </si>
  <si>
    <t>₹11,995</t>
  </si>
  <si>
    <t>4,157</t>
  </si>
  <si>
    <t>Eopora PTC Ceramic Fast Heating Room Heater for Bedroom, 1500/1000 Watts Room Heater for Home, Electric Heater, Electric Fan Heater for Home Office Bedroom (White)</t>
  </si>
  <si>
    <t>29</t>
  </si>
  <si>
    <t>Usha Goliath GO1200WG Heavy Weight 1200-Watt Dry Iron, 1.8 Kg(Red)</t>
  </si>
  <si>
    <t>₹1,690</t>
  </si>
  <si>
    <t>4,580</t>
  </si>
  <si>
    <t>Wipro Vesta Electric Egg Boiler, 360 Watts, 3 Boiling Modes, Stainless Steel Body and Heating Plate, Boils up to 7 Eggs at a time, Automatic Shut Down, White, Standard (VB021070)</t>
  </si>
  <si>
    <t>₹1,790</t>
  </si>
  <si>
    <t>1,404</t>
  </si>
  <si>
    <t>Philips Viva Collection HR1832/00 1.5-Litre400-Watt Juicer (Ink Black)</t>
  </si>
  <si>
    <t>Home&amp;Kitchen|Kitchen&amp;HomeAppliances|SmallKitchenAppliances|Juicers</t>
  </si>
  <si>
    <t>₹8,995</t>
  </si>
  <si>
    <t>2,810</t>
  </si>
  <si>
    <t>Kitchenwell Multipurpose Portable Electronic Digital Weighing Scale Weight Machine | Weight Machine | 10 Kg</t>
  </si>
  <si>
    <t>FIGMENT Handheld Milk Frother Rechargeable, 3-Speed Electric Frother for Coffee with 2 Whisks and Coffee Decoration Tool, Coffee Frother Mixer, CRESCENT ENTERPRISES VRW0.50BK (A1)</t>
  </si>
  <si>
    <t>1,729</t>
  </si>
  <si>
    <t>Balzano High Speed Nutri Blender/Mixer/Smoothie Maker - 500 Watt - Silver, 2 Jar</t>
  </si>
  <si>
    <t>Home&amp;Kitchen|Kitchen&amp;HomeAppliances|SmallKitchenAppliances</t>
  </si>
  <si>
    <t>₹4,290</t>
  </si>
  <si>
    <t>2,116</t>
  </si>
  <si>
    <t>Swiss Military VC03 Wireless Car Vacuum Cleaner | Wireless Vacuum Cleaner for Home, Car, Living Room | Wireless Vacuum Cleaner Dust Collection/Lighting Car Pet Hair Vacuum with Powerful Motor</t>
  </si>
  <si>
    <t>463</t>
  </si>
  <si>
    <t>Zuvexa USB Rechargeable Electric Foam Maker - Handheld Milk Wand Mixer Frother for Hot Milk, Hand Blender Coffee, Egg Beater (Black)</t>
  </si>
  <si>
    <t>54</t>
  </si>
  <si>
    <t>Usha IH2415 1500-Watt Immersion Heater (Silver)</t>
  </si>
  <si>
    <t>₹510</t>
  </si>
  <si>
    <t>₹640</t>
  </si>
  <si>
    <t>7,229</t>
  </si>
  <si>
    <t>ACTIVA Instant 3 LTR 3 KVA SPECIAL Anti Rust Coated Tank Geyser with Full ABS Body with 5 Year Warranty Premium (White)</t>
  </si>
  <si>
    <t>₹3,790</t>
  </si>
  <si>
    <t>3,842</t>
  </si>
  <si>
    <t>Havells Instanio 1-Litre 3KW Instant Water Heater (Geyser), White Blue</t>
  </si>
  <si>
    <t>₹4,560</t>
  </si>
  <si>
    <t>646</t>
  </si>
  <si>
    <t>Lifelong 2-in1 Egg Boiler and Poacher 500-Watt (Transparent and Silver Grey), Boil 8 eggs, Poach 4 eggs, Easy to clean| 3 Boiling Modes, Stainless Steel Body and Heating Plate, Automatic Turn-Off</t>
  </si>
  <si>
    <t>1,802</t>
  </si>
  <si>
    <t>INDIAS®™ Electro-Instant Water Geyser A.B.S. Body Shock Proof Can be Used in Bathroom, Kitchen, wash Area, Hotels, Hospital etc.</t>
  </si>
  <si>
    <t>₹2,600</t>
  </si>
  <si>
    <t>252</t>
  </si>
  <si>
    <t>AmazonBasics Induction Cooktop 1600 Watt (Black)</t>
  </si>
  <si>
    <t>₹3,300</t>
  </si>
  <si>
    <t>780</t>
  </si>
  <si>
    <t>Sui Generis Electric Handheld Milk Wand Mixer Frother for Latte Coffee Hot Milk, Milk Frother, Electric Coffee Beater, Egg Beater, Latte Maker, Mini Hand Blender Cappuccino Maker (Multicolor)</t>
  </si>
  <si>
    <t>Philips Air Purifier Ac2887/20,Vitashield Intelligent Purification,Long Hepa Filter Life Upto 17000 Hours,Removes 99.9% Airborne Viruses &amp; Bacteria,99.97% Airborne Pollutants,Ideal For Master Bedroom</t>
  </si>
  <si>
    <t>₹14,499</t>
  </si>
  <si>
    <t>₹23,559</t>
  </si>
  <si>
    <t>2,026</t>
  </si>
  <si>
    <t>Esquire Laundry Basket Brown, 50 Ltr Capacity(Plastic)</t>
  </si>
  <si>
    <t>₹950</t>
  </si>
  <si>
    <t>5,911</t>
  </si>
  <si>
    <t>PHILIPS Air Fryer HD9200/90, uses up to 90% less fat, 1400W, 4.1 Liter, with Rapid Air Technology (Black), Large</t>
  </si>
  <si>
    <t>₹7,199</t>
  </si>
  <si>
    <t>1,964</t>
  </si>
  <si>
    <t>Havells Bero Quartz Heater Black 800w 2 Heat Settings 2 Year Product Warranty</t>
  </si>
  <si>
    <t>₹2,439</t>
  </si>
  <si>
    <t>₹2,545</t>
  </si>
  <si>
    <t>Philips EasyTouch Plus Standing Garment Steamer GC523/60 - 1600 Watt, 5 Steam Settings, Up to 32 g/min steam, with Double Pole</t>
  </si>
  <si>
    <t>₹7,799</t>
  </si>
  <si>
    <t>Brayden Chopro, Electric Vegetable Chopper for Kitchen with 500 ML Capacity, 400 Watts Copper Motor and 4 Bi-Level SS Blades (Black)</t>
  </si>
  <si>
    <t>Wonderchef Nutri-blend Mixer, Grinder &amp; Blender | Powerful 400W 22000 RPM motor | Stainless steel Blades | 3 unbreakable jars | 2 Years warranty | Online recipe book by Chef Sanjeev Kapoor | Black</t>
  </si>
  <si>
    <t>₹5,500</t>
  </si>
  <si>
    <t>8,958</t>
  </si>
  <si>
    <t>Usha Janome Dream Stitch Automatic Zig-Zag Electric Sewing Machine with 14 Stitch Function (White and Blue) with Free Sewing KIT Worth RS 500</t>
  </si>
  <si>
    <t>₹9,799</t>
  </si>
  <si>
    <t>₹12,150</t>
  </si>
  <si>
    <t>13,251</t>
  </si>
  <si>
    <t>Black+Decker Handheld Portable Garment Steamer 1500 Watts with Anti Calc (Violet)</t>
  </si>
  <si>
    <t>₹4,995</t>
  </si>
  <si>
    <t>1,393</t>
  </si>
  <si>
    <t>Personal Size Blender, Portable Blender, Battery Powered USB Blender, with Four Blades, Mini Blender Travel Bottle for Juice, Shakes, and Smoothies (Pink)</t>
  </si>
  <si>
    <t>₹669</t>
  </si>
  <si>
    <t>2.3</t>
  </si>
  <si>
    <t>13</t>
  </si>
  <si>
    <t>Sujata Powermatic Plus 900 Watts Juicer Mixer Grinder</t>
  </si>
  <si>
    <t>₹7,506</t>
  </si>
  <si>
    <t>Sure From Aquaguard Delight NXT RO+UV+UF+Taste Adjuster(MTDS),6L water purifier,8 stages purification,Suitable for borewell,tanker,municipal water(Black) from Eureka Forbes</t>
  </si>
  <si>
    <t>₹9,199</t>
  </si>
  <si>
    <t>₹18,000</t>
  </si>
  <si>
    <t>16,020</t>
  </si>
  <si>
    <t>PrettyKrafts Laundry Basket for clothes with Lid &amp; Handles, Toys Organiser, 75 Ltr Grey</t>
  </si>
  <si>
    <t>1,470</t>
  </si>
  <si>
    <t>Dr Trust Electronic Kitchen Digital Scale Weighing Machine (Blue)</t>
  </si>
  <si>
    <t>Health&amp;PersonalCare|HomeMedicalSupplies&amp;Equipment|HealthMonitors|WeighingScales|DigitalBathroomScales</t>
  </si>
  <si>
    <t>3,663</t>
  </si>
  <si>
    <t>Tesora - Inspired by you Large Premium Electric Kettle 1.8L, Stainless Steel Inner Body - Auto Power Cut, Boil Dry Protection &amp; Cool Touch Double Wall, Portable | 1500 Watts |1 Year Warranty | (White)</t>
  </si>
  <si>
    <t>638</t>
  </si>
  <si>
    <t>AGARO Ace 1600 Watts, 21.5 kPa Suction Power, 21 litres Wet &amp; Dry Stainless Steel Vacuum Cleaner with Blower Function and Washable Dust Bag</t>
  </si>
  <si>
    <t>₹6,236</t>
  </si>
  <si>
    <t>3,552</t>
  </si>
  <si>
    <t>INALSA Hand Blender 1000 Watt with Chopper, Whisker, 600 ml Multipurpose Jar|Variable Speed And Turbo Speed Function |100% Copper Motor |Low Noise |ANTI-SPLASH TECHNOLOGY|2 Year Warranty</t>
  </si>
  <si>
    <t>₹2,742</t>
  </si>
  <si>
    <t>₹3,995</t>
  </si>
  <si>
    <t>11,148</t>
  </si>
  <si>
    <t>akiara - Makes life easy Electric Handy Sewing/Stitch Handheld Cordless Portable White Sewing Machine for Home Tailoring, Hand Machine | Mini Silai | White Hand Machine with Adapter</t>
  </si>
  <si>
    <t>₹721</t>
  </si>
  <si>
    <t>2,449</t>
  </si>
  <si>
    <t>Philips EasySpeed Plus Steam Iron GC2145/20-2200W, Quick Heat Up with up to 30 g/min steam, 110 g steam Boost, Scratch Resistant Ceramic Soleplate, Vertical steam &amp; Drip-Stop</t>
  </si>
  <si>
    <t>₹2,903</t>
  </si>
  <si>
    <t>2,299</t>
  </si>
  <si>
    <t>INALSA Electric Chopper Bullet- 400 Watts with 100% Pure Copper Motor| Chop, Mince, Puree, Dice | Twin Blade Technology| 900 ml Capacity| One Touch Operation, 1.30mtr Long Power Cord (Black/Silver)</t>
  </si>
  <si>
    <t>₹1,656</t>
  </si>
  <si>
    <t>₹2,695</t>
  </si>
  <si>
    <t>6,027</t>
  </si>
  <si>
    <t>Borosil Electric Egg Boiler, 8 Egg Capacity, For Hard, Soft, Medium Boiled Eggs, Steamed Vegetables, Transparent Lid, Stainless Steel Exterior (500 Watts)</t>
  </si>
  <si>
    <t>₹2,290</t>
  </si>
  <si>
    <t>461</t>
  </si>
  <si>
    <t>Wipro Vesta Grill 1000 Watt Sandwich Maker |Dual function-SW Maker&amp;Griller|Non stick Coat -BPA&amp;PTFE Free |Auto Temp Cut-off| Height Control -180ᶿ&amp;105ᶿ |2 year warranty|SS Finish|Standard size</t>
  </si>
  <si>
    <t>₹2,079</t>
  </si>
  <si>
    <t>₹3,099</t>
  </si>
  <si>
    <t>Rico IRPRO 1500 Watt Japanese Technology Electric Water Heater Immersion Rod Shockproof Protection &amp; Stainless Steel Heating Element for Instant Heating| ISI Certified 1 Year Replacement Warranty</t>
  </si>
  <si>
    <t>Eureka Forbes Active Clean 700 Watts Powerful Suction &amp; Blower Vacuum Cleaner with Washable HEPA Filter &amp; 6 Accessories,1 Year Warranty,Compact,Light Weight &amp; Easy to use (Red &amp; Black)</t>
  </si>
  <si>
    <t>₹3,179</t>
  </si>
  <si>
    <t>743</t>
  </si>
  <si>
    <t>CSI INTERNATIONAL® Instant Water Geyser, Water Heater, Portable Water Heater, Geyser Made of First Class ABS Plastic 3KW (White)</t>
  </si>
  <si>
    <t>328</t>
  </si>
  <si>
    <t>Hindware Atlantic Xceed 5L 3kW Instant Water Heater with Copper Heating Element and High Grade Stainless Steel Tank</t>
  </si>
  <si>
    <t>₹7,290</t>
  </si>
  <si>
    <t>942</t>
  </si>
  <si>
    <t>Morphy Richards New Europa 800-Watt Espresso and Cappuccino 4-Cup Coffee Maker (Black)</t>
  </si>
  <si>
    <t>Home&amp;Kitchen|Kitchen&amp;HomeAppliances|Coffee,Tea&amp;Espresso|EspressoMachines</t>
  </si>
  <si>
    <t>₹4,799</t>
  </si>
  <si>
    <t>3,815</t>
  </si>
  <si>
    <t>Lifelong Power - Pro 500 Watt 3 Jar Mixer Grinder with 3 Speed Control and 1100 Watt Dry Non-Stick soleplate Iron Super Combo (White and Grey, 1 Year Warranty)</t>
  </si>
  <si>
    <t>₹3,398</t>
  </si>
  <si>
    <t>7,988</t>
  </si>
  <si>
    <t>iBELL Castor CTEK15L Premium 1.5 Litre Stainless Steel Electric Kettle,1500W Auto Cut-Off Feature,Silver</t>
  </si>
  <si>
    <t>925</t>
  </si>
  <si>
    <t>BAJAJ PYGMY MINI 110 MM 10 W HIGH SPEED OPERATION, USB CHARGING, MULTI-CLIP FUNCTION PERSONAL FAN</t>
  </si>
  <si>
    <t>Home&amp;Kitchen|Heating,Cooling&amp;AirQuality|Fans|TableFans</t>
  </si>
  <si>
    <t>₹948</t>
  </si>
  <si>
    <t>₹1,620</t>
  </si>
  <si>
    <t>4,370</t>
  </si>
  <si>
    <t>Crompton InstaGlide 1000-Watts Dry Iron with American Heritage Coating, Pack of 1 Iron</t>
  </si>
  <si>
    <t>₹850</t>
  </si>
  <si>
    <t>7,619</t>
  </si>
  <si>
    <t>Prestige Clean Home Water Purifier Cartridge</t>
  </si>
  <si>
    <t>2,593</t>
  </si>
  <si>
    <t>Morphy Richards Aristo 2000 Watts PTC Room Heater (White)</t>
  </si>
  <si>
    <t>₹3,711</t>
  </si>
  <si>
    <t>₹4,495</t>
  </si>
  <si>
    <t>Gadgetronics Digital Kitchen Weighing Scale &amp; Food Weight Machine for Health, Fitness, Home Baking &amp; Cooking (10 KGs,1 Year Warranty &amp; Batteries Included)</t>
  </si>
  <si>
    <t>63</t>
  </si>
  <si>
    <t>HUL Pureit Germkill kit for Advanced 23 L water purifier - 3000 L Capacity, Sand, Multicolour</t>
  </si>
  <si>
    <t>₹980</t>
  </si>
  <si>
    <t>Tom &amp; Jerry Folding Laundry Basket for Clothes with Lid &amp; Handle, Toys Organiser, 75 Litre, Green</t>
  </si>
  <si>
    <t>296</t>
  </si>
  <si>
    <t>Ikea Little Loved Corner PRODUKT Milk-frother, Coffee/Tea Frother, Handheld Milk Wand Mixer Frother, Black</t>
  </si>
  <si>
    <t>Home&amp;Kitchen|Kitchen&amp;HomeAppliances|Coffee,Tea&amp;Espresso|MilkFrothers</t>
  </si>
  <si>
    <t>Philips EasySpeed Plus Steam Iron GC2147/30-2400W, Quick Heat up with up to 30 g/min steam, 150g steam Boost, Scratch Resistant Ceramic Soleplate, Vertical steam, Drip-Stop</t>
  </si>
  <si>
    <t>₹3,349</t>
  </si>
  <si>
    <t>1,954</t>
  </si>
  <si>
    <t>Bajaj New Shakti Neo Plus 15 Litre 4 Star Rated Storage Water Heater (Geyser) with Multiple Safety System, White</t>
  </si>
  <si>
    <t>₹11,500</t>
  </si>
  <si>
    <t>959</t>
  </si>
  <si>
    <t>House of Quirk Reusable Sticky Picker Cleaner Easy-Tear Sheets Travel Pet Hair Lint Rollers Brush (10cm Sheet, Set of 3 Rolls, 180 Sheets, 60 Sheets Each roll Lint Roller Remover, Multicolour)</t>
  </si>
  <si>
    <t>1,015</t>
  </si>
  <si>
    <t>Allin Exporters J66 Ultrasonic Humidifier Cool Mist Air Purifier for Dryness, Cold &amp; Cough Large Capacity for Room, Baby, Plants, Bedroom (2.4 L) (1 Year Warranty)</t>
  </si>
  <si>
    <t>Home&amp;Kitchen|Heating,Cooling&amp;AirQuality|Humidifiers</t>
  </si>
  <si>
    <t>₹2,249</t>
  </si>
  <si>
    <t>₹3,550</t>
  </si>
  <si>
    <t>3,973</t>
  </si>
  <si>
    <t>Multifunctional 2 in 1 Electric Egg Boiling Steamer Egg Frying Pan Egg Boiler Electric Automatic Off with Egg Boiler Machine Non-Stick Electric Egg Frying Pan-Tiger Woods (Multy)</t>
  </si>
  <si>
    <t>2,300</t>
  </si>
  <si>
    <t>Maharaja Whiteline Nano Carbon Neo, 500 Watts Room Heater (Black, White), Standard (5200100986)</t>
  </si>
  <si>
    <t>₹1,235</t>
  </si>
  <si>
    <t>203</t>
  </si>
  <si>
    <t>KENT Electric Chopper-B for Kitchen 250 Watt | Chop, Mince, Puree, Whisk, 400 ml Capacity | Stainless Steel Double Chopping Blades | Transparent Chopping Bowl | Anti-Skid | One Touch Operation | Black</t>
  </si>
  <si>
    <t>Crompton Amica 15-L 5 Star Rated Storage Water Heater (Geyser) with Free Installation (White)</t>
  </si>
  <si>
    <t>₹6,800</t>
  </si>
  <si>
    <t>10,308</t>
  </si>
  <si>
    <t>Eureka Forbes car Vac 100 Watts Powerful Suction Vacuum Cleaner with Washable HEPA Filter, 3 Accessories,Compact,Light Weight &amp; Easy to use (Black and Red)</t>
  </si>
  <si>
    <t>|</t>
  </si>
  <si>
    <t>992</t>
  </si>
  <si>
    <t>KENT 16025 Sandwich Grill 700W | Non-Toxic Ceramic Coating | Automatic Temperature Cut-off with LED Indicator | Adjustable Height Control, Metallic Silver, Standard</t>
  </si>
  <si>
    <t>₹1,975</t>
  </si>
  <si>
    <t>4,716</t>
  </si>
  <si>
    <t>Candes Gloster All in One Silent Blower Fan Room Heater Ideal for Small and Medium Area, 2000 Watts (White)</t>
  </si>
  <si>
    <t>₹1,069</t>
  </si>
  <si>
    <t>Inalsa Electric Fan Heater Hotty - 2000 Watts Variable Temperature Control Cool/Warm/Hot Air Selector | Over Heat Protection | ISI Certification, White</t>
  </si>
  <si>
    <t>166</t>
  </si>
  <si>
    <t>Havells Zella Flap Auto Immersion Rod 1500 Watts</t>
  </si>
  <si>
    <t>303</t>
  </si>
  <si>
    <t>iBELL SM1301 3-in-1 Sandwich Maker with Detachable Plates for Toast / Waffle / Grill , 750 Watt (Black)</t>
  </si>
  <si>
    <t>₹2,092</t>
  </si>
  <si>
    <t>₹4,600</t>
  </si>
  <si>
    <t>562</t>
  </si>
  <si>
    <t>Inalsa Vacuum Cleaner Wet and Dry Micro WD10 with 3in1 Multifunction Wet/Dry/Blowing| 14KPA Suction and Impact Resistant Polymer Tank,(Yellow/Black)</t>
  </si>
  <si>
    <t>₹3,859</t>
  </si>
  <si>
    <t>₹10,295</t>
  </si>
  <si>
    <t>8,095</t>
  </si>
  <si>
    <t>MR. BRAND Portable USB Juicer Electric USB Juice Maker Mixer Bottle Blender Grinder Mixer,6 Blades Rechargeable Bottle with (Multi color) (MULTI MIXER 6 BLED)</t>
  </si>
  <si>
    <t>109</t>
  </si>
  <si>
    <t>Crompton Hill Briz Deco 1200mm (48 inch) High Speed Designer Ceiling Fan (Smoked Brown)</t>
  </si>
  <si>
    <t>₹1,804</t>
  </si>
  <si>
    <t>₹2,380</t>
  </si>
  <si>
    <t>15,382</t>
  </si>
  <si>
    <t>Sujata Powermatic Plus, Juicer Mixer Grinder with Chutney Jar, 900 Watts, 3 Jars (White)</t>
  </si>
  <si>
    <t>₹6,525</t>
  </si>
  <si>
    <t>₹8,820</t>
  </si>
  <si>
    <t>5,137</t>
  </si>
  <si>
    <t>Aquadpure Copper + Mineral RO+UV+UF 10 to 12 Liter RO + UV + TDS ADJUSTER Water Purifier with Copper Charge Technology black &amp; copper Best For Home and Office (Made In India)</t>
  </si>
  <si>
    <t>Amazon Basics 650 Watt Drip Coffee Maker with Borosilicate Carafe</t>
  </si>
  <si>
    <t>₹1,189</t>
  </si>
  <si>
    <t>618</t>
  </si>
  <si>
    <t>Crompton Insta Delight Fan Circulator Room Heater with 3 Heat Settings (Slate Grey &amp; Black, 2000 Watt)</t>
  </si>
  <si>
    <t>₹2,590</t>
  </si>
  <si>
    <t>₹4,200</t>
  </si>
  <si>
    <t>!!HANEUL!!1000 Watt/2000-Watt Room Heater!! Fan Heater!!Pure White!!HN-2500!!Made in India!!Thermoset!!</t>
  </si>
  <si>
    <t>15</t>
  </si>
  <si>
    <t>Melbon VM-905 2000-Watt Room Heater (ISI Certified, White Color) Ideal Electric Fan Heater for Small to Medium Room/Area (Plastic Body)</t>
  </si>
  <si>
    <t>₹998</t>
  </si>
  <si>
    <t>9</t>
  </si>
  <si>
    <t>Cello Eliza Plastic Laundry Bag/Basket, 50 litres, Light Grey</t>
  </si>
  <si>
    <t>₹998.06</t>
  </si>
  <si>
    <t>₹1,282</t>
  </si>
  <si>
    <t>7,274</t>
  </si>
  <si>
    <t>ACTIVA 1200 MM HIGH SPEED 390 RPM BEE APPROVED 5 STAR RATED APSRA CEILING FAN BROWN 2 Years Warranty</t>
  </si>
  <si>
    <t>Shakti Technology S5 High Pressure Car Washer Machine 1900 Watts and Pressure 125 Bar with 10 Meter Hose Pipe</t>
  </si>
  <si>
    <t>170</t>
  </si>
  <si>
    <t>AMERICAN MICRONIC- Imported Wet &amp; Dry Vacuum Cleaner, 21 Litre Stainless Steel with Blower &amp; HEPA filter, 1600 Watts 100% Copper Motor 28 KPa suction with washable reusable dust bag (Red/Black/Steel)-AMI-VCD21-1600WDx</t>
  </si>
  <si>
    <t>₹8,886</t>
  </si>
  <si>
    <t>₹11,850</t>
  </si>
  <si>
    <t>3,065</t>
  </si>
  <si>
    <t>Demokrazy New Nova Lint Cum Fuzz Remover for All Woolens Sweaters, Blankets, Jackets Remover Pill Remover from Carpets, Curtains (Pack of 1)</t>
  </si>
  <si>
    <t>1,021</t>
  </si>
  <si>
    <t>Instant Pot Air Fryer, Vortex 2QT, Touch Control Panel, 360° EvenCrisp™ Technology, Uses 95 % less Oil, 4-in-1 Appliance: Air Fry, Roast, Bake, Reheat (Vortex 1.97Litre, Black)</t>
  </si>
  <si>
    <t>₹20,049</t>
  </si>
  <si>
    <t>3,964</t>
  </si>
  <si>
    <t>HUL Pureit Eco Water Saver Mineral RO+UV+MF AS wall mounted/Counter top Black 10L Water Purifier</t>
  </si>
  <si>
    <t>₹24,850</t>
  </si>
  <si>
    <t>8,948</t>
  </si>
  <si>
    <t>Livpure Glo Star RO+UV+UF+Mineraliser - 7 L Storage Tank, 15 LPH Water Purifier for Home, Black</t>
  </si>
  <si>
    <t>₹16,490</t>
  </si>
  <si>
    <t>Philips Hi113 1000-Watt Plastic Body Ptfe Coating Dry Iron, Pack of 1</t>
  </si>
  <si>
    <t>₹975</t>
  </si>
  <si>
    <t>3%</t>
  </si>
  <si>
    <t>7,223</t>
  </si>
  <si>
    <t>Kuber Industries Round Non Woven Fabric Foldable Laundry Basket|Toy Storage Basket|Cloth Storage Basket With Handles| Capicity 45 Ltr (Grey &amp; Black)-KUBMART11446</t>
  </si>
  <si>
    <t>330</t>
  </si>
  <si>
    <t>Preethi MGA-502 0.4-Litre Grind and Store Jar (White), stainless steel, Set of 1</t>
  </si>
  <si>
    <t>Home&amp;Kitchen|Kitchen&amp;HomeAppliances|SmallKitchenAppliances|SmallApplianceParts&amp;Accessories|StandMixerAccessories</t>
  </si>
  <si>
    <t>₹635</t>
  </si>
  <si>
    <t>4,570</t>
  </si>
  <si>
    <t>Usha Aurora 1000 W Dry Iron with Innovative Tail Light Indicator, Weilburger Soleplate (White &amp; Grey)</t>
  </si>
  <si>
    <t>4,867</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</si>
  <si>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</si>
  <si>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</si>
  <si>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</si>
  <si>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5,298</t>
  </si>
  <si>
    <t>Kent Gold, Optima, Gold+ Spare Kit</t>
  </si>
  <si>
    <t>7,786</t>
  </si>
  <si>
    <t>AVNISH Tap Water Purifier Filter Faucet 6 Layer Carbon Activated Dust Chlorine Remover Water Softener for Drinking Cartridge Alkaline Taps for Kitchen Sink Bathroom Wash Basin (6-Layer Filtration)</t>
  </si>
  <si>
    <t>₹193</t>
  </si>
  <si>
    <t>Khaitan ORFin Fan heater for Home and kitchen-K0 2215</t>
  </si>
  <si>
    <t>2</t>
  </si>
  <si>
    <t>USHA RapidMix 500-Watt Copper Motor Mixer Grinder with 3 Jars and 5 Years Warranty(Sea Green/White)</t>
  </si>
  <si>
    <t>₹2,449</t>
  </si>
  <si>
    <t>₹3,390</t>
  </si>
  <si>
    <t>5,206</t>
  </si>
  <si>
    <t>CSI INTERNATIONAL® Instant Water Geyser, Water Heater, Portable Water Heater, Geyser Made of First Class ABS Plastic 3KW (Red)</t>
  </si>
  <si>
    <t>Havells Gatik Neo 400mm Pedestal Fan (Aqua Blue)</t>
  </si>
  <si>
    <t>397</t>
  </si>
  <si>
    <t>INALSA Upright Vacuum Cleaner, 2-in-1,Handheld &amp; Stick for Home &amp; Office Use,800W- with 16KPA Strong Suction &amp; HEPA Filtration|0.8L Dust Tank|Includes Multiple Accessories,(Grey/Black)</t>
  </si>
  <si>
    <t>₹2,286</t>
  </si>
  <si>
    <t>326</t>
  </si>
  <si>
    <t>ROYAL STEP - AMAZON'S BRAND - Portable Electric USB Juice Maker Juicer Bottle Blender Grinder Mixer,4 Blades Rechargeable Bottle with (Multi color) (MULTI)</t>
  </si>
  <si>
    <t>3,527</t>
  </si>
  <si>
    <t>Nirdambhay Mini Bag Sealer, 2 in 1 Heat Sealer and Cutter Handheld Sealing Machine Portable Bag Resealer Sealer for Plastic Bags Food Storage Snack Fresh Bag Sealer (Including 2 AA Battery)</t>
  </si>
  <si>
    <t>3</t>
  </si>
  <si>
    <t>617</t>
  </si>
  <si>
    <t>Cello Non-Stick Aluminium Sandwich Gas Toaster(Black)</t>
  </si>
  <si>
    <t>Proven® Copper + Mineral RO+UV+UF 10 to 12 Liter RO + UV + TDS ADJUSTER Water Purifier with Copper Charge Technology black &amp; copper Best For Home and Office (Made In India)</t>
  </si>
  <si>
    <t>₹5,395</t>
  </si>
  <si>
    <t>535</t>
  </si>
  <si>
    <t>Morphy Richards Daisy 1000W Dry Iron with American Heritage Non-Stick Coated Soleplate, White</t>
  </si>
  <si>
    <t>₹559</t>
  </si>
  <si>
    <t>₹1,010</t>
  </si>
  <si>
    <t>17,325</t>
  </si>
  <si>
    <t>Wipro Vesta 1200 Watt GD201 Lightweight Automatic Dry Iron| Quick Heat Up| Stylish &amp; Sleek |Anti bacterial German Weilburger Double Coated Soleplate |2 Years Warranty</t>
  </si>
  <si>
    <t>₹660</t>
  </si>
  <si>
    <t>91</t>
  </si>
  <si>
    <t>Zuvexa Egg Boiler Poacher Automatic Off Steaming, Cooking, Boiling Double Layer 14 Egg Boiler (Multicolor)…</t>
  </si>
  <si>
    <t>₹419</t>
  </si>
  <si>
    <t>AO Smith HSE-VAS-X-015 Storage 15 Litre Vertical Water Heater (Geyser) White 4 Star</t>
  </si>
  <si>
    <t>₹7,349</t>
  </si>
  <si>
    <t>₹10,900</t>
  </si>
  <si>
    <t>11,957</t>
  </si>
  <si>
    <t>Havells Festiva 1200mm Dust Resistant Ceiling Fan (Gold Mist)</t>
  </si>
  <si>
    <t>₹4,005</t>
  </si>
  <si>
    <t>7,140</t>
  </si>
  <si>
    <t>INALSA Vaccum Cleaner Handheld 800W High Powerful Motor- Dura Clean with HEPA Filtration &amp; Strong Powerful 16KPA Suction| Lightweight, Compact &amp; Durable Body|Includes Multiple Accessories,(Grey/Black)</t>
  </si>
  <si>
    <t>687</t>
  </si>
  <si>
    <t>iBELL SM1515NEW Sandwich Maker with Floating Hinges, 1000Watt, Panini / Grill / Toast (Black)</t>
  </si>
  <si>
    <t>₹1,474</t>
  </si>
  <si>
    <t>₹4,650</t>
  </si>
  <si>
    <t>Aquaguard Aura RO+UV+UF+Taste Adjuster(MTDS) with Active Copper &amp; Zinc 7L water purifier,8 stages of purification,suitable for borewell,tanker,municipal water(Black) from Eureka Forbes</t>
  </si>
  <si>
    <t>₹24,500</t>
  </si>
  <si>
    <t>11,206</t>
  </si>
  <si>
    <t>Havells Instanio 3-Litre 4.5KW Instant Water Heater (Geyser), White Blue</t>
  </si>
  <si>
    <t>₹6,070</t>
  </si>
  <si>
    <t>561</t>
  </si>
  <si>
    <t>Milk Frother, Immersion Blender Cordlesss Foam Maker USB Rechargeable Small Mixer Handheld with 2 Stainless Whisks，Wisker for Stirring 3-Speed Adjustable Mini Frother for Cappuccino Latte Coffee Egg</t>
  </si>
  <si>
    <t>1,988</t>
  </si>
  <si>
    <t>Panasonic SR-WA22H (E) Automatic Rice Cooker, Apple Green, 2.2 Liters</t>
  </si>
  <si>
    <t>₹2,976</t>
  </si>
  <si>
    <t>3,740</t>
  </si>
  <si>
    <t>InstaCuppa Milk Frother for Coffee - Handheld Battery-Operated Electric Milk and Coffee Frother, Stainless Steel Whisk and Stand, Portable Foam Maker for Coffee, Cappuccino, Lattes, and Egg Beaters</t>
  </si>
  <si>
    <t>4,401</t>
  </si>
  <si>
    <t>Goodscity Garment Steamer for Clothes, Steam Iron Press - Vertical &amp; Horizontal Steaming up to 22g/min, 1200 Watt, 230 ml Water tank &amp; 30 sec Fast Heating (GC 111)</t>
  </si>
  <si>
    <t>₹2,575</t>
  </si>
  <si>
    <t>₹6,700</t>
  </si>
  <si>
    <t>611</t>
  </si>
  <si>
    <t>Solidaire 550-Watt Mixer Grinder with 3 Jars (Black) (SLD-550-B)</t>
  </si>
  <si>
    <t>₹1,649</t>
  </si>
  <si>
    <t>Amazon Basics 300 W Hand Blender with Stainless Steel Stem for Hot/Cold Blending and In-Built Cord Hook, ISI-Marked, Black</t>
  </si>
  <si>
    <t>Orpat HHB-100E 250-Watt Hand Blender (White)</t>
  </si>
  <si>
    <t>₹765</t>
  </si>
  <si>
    <t>6,055</t>
  </si>
  <si>
    <t>HealthSense Rechargeable Lint Remover for Clothes | Fuzz and Fur Remover | Electric Fabric Shaver, Trimmer for Clothes, Carpet, Sofa, Sweaters, Curtains | One-Year Warranty Included - New-Feel LR350</t>
  </si>
  <si>
    <t>386</t>
  </si>
  <si>
    <t>AGARO Classic Portable Yogurt Maker, 1.2L Capacity, Electric, Automatic, Grey and White, Medium (33603)</t>
  </si>
  <si>
    <t>Home&amp;Kitchen|Kitchen&amp;HomeAppliances|SmallKitchenAppliances|YogurtMakers</t>
  </si>
  <si>
    <t>₹587</t>
  </si>
  <si>
    <t>557</t>
  </si>
  <si>
    <t>AGARO Imperial 240-Watt Slow Juicer with Cold Press Technology</t>
  </si>
  <si>
    <t>Home&amp;Kitchen|Kitchen&amp;HomeAppliances|SmallKitchenAppliances|Juicers|ColdPressJuicers</t>
  </si>
  <si>
    <t>₹12,609</t>
  </si>
  <si>
    <t>2,288</t>
  </si>
  <si>
    <t>Wipro Smartlife Super Deluxe Dry Iron- 1000W</t>
  </si>
  <si>
    <t>1,106</t>
  </si>
  <si>
    <t>AmazonBasics Cylinder Bagless Vacuum Cleaner with Power Suction, Low Sound, High Energy Efficiency and 2 Years Warranty (1.5L, Black)</t>
  </si>
  <si>
    <t>11,935</t>
  </si>
  <si>
    <t>Crompton IHL 251 1500-Watt Immersion Water Heater with Copper Heating Element and IP 68 Protection</t>
  </si>
  <si>
    <t>5,059</t>
  </si>
  <si>
    <t>SaiEllin Room Heater For Home 2000 Watts Room Heater For Bedroom | ISI Approved With 1 Year Warranty | For 250 Sq. Feet Blower Heater &amp; Room Heaters Home For Winters</t>
  </si>
  <si>
    <t>₹979</t>
  </si>
  <si>
    <t>157</t>
  </si>
  <si>
    <t>Bajaj Majesty Duetto Gas 6 Ltr Vertical Water Heater ( LPG), White</t>
  </si>
  <si>
    <t>₹5,365</t>
  </si>
  <si>
    <t>₹7,445</t>
  </si>
  <si>
    <t>3,584</t>
  </si>
  <si>
    <t>Black + Decker BD BXIR2201IN 2200-Watt Cord &amp; Cordless Steam Iron (Green)</t>
  </si>
  <si>
    <t>9%</t>
  </si>
  <si>
    <t>1,899</t>
  </si>
  <si>
    <t>Inalsa Hand Blender| Hand Mixer|Beater - Easy Mix, Powerful 250 Watt Motor | Variable 7 Speed Control | 1 Year Warranty | (White/Red)</t>
  </si>
  <si>
    <t>₹1,395</t>
  </si>
  <si>
    <t>15,252</t>
  </si>
  <si>
    <t>Longway Blaze 2 Rod Quartz Room Heater (White, Gray, 800 watts)</t>
  </si>
  <si>
    <t>₹929</t>
  </si>
  <si>
    <t>Prestige PWG 07 Wet Grinder, 2L (Multicolor) with Coconut Scraper and Atta Kneader Attachments, 200 Watt</t>
  </si>
  <si>
    <t>₹3,710</t>
  </si>
  <si>
    <t>₹4,330</t>
  </si>
  <si>
    <t>Pigeon Zest Mixer Grinder 3 Speed Control 750 Watt Powerful Copper Motor with 3 Stainless Steel Jars for Dry Grinding, Wet Grinding and Making Chutney and 3 Polycarbonate lids - Blue</t>
  </si>
  <si>
    <t>₹2,033</t>
  </si>
  <si>
    <t>422</t>
  </si>
  <si>
    <t>Borosil Volcano 13 Fin Oil Filled Radiator Room Heater, 2900 W, Black</t>
  </si>
  <si>
    <t>₹9,495</t>
  </si>
  <si>
    <t>Crompton Solarium Qube 15-L 5 Star Rated Storage Water Heater (Geyser) with Free Installation and Connection Pipes (White and Black)</t>
  </si>
  <si>
    <t>₹12,500</t>
  </si>
  <si>
    <t>5,160</t>
  </si>
  <si>
    <t>Singer Aroma 1.8 Liter Electric Kettle High Grade Stainless Steel with Cool and Touch Body and Cordless Base, 1500 watts, Auto Shut Off with Dry Boiling (Silver/Black)</t>
  </si>
  <si>
    <t>₹2,385</t>
  </si>
  <si>
    <t>2,311</t>
  </si>
  <si>
    <t>Orient Electric Aura Neo Instant 3L Water Heater (Geyser), 5-level Safety Shield, Stainless Steel Tank (White &amp; Turquoise)</t>
  </si>
  <si>
    <t>₹4,890</t>
  </si>
  <si>
    <t>588</t>
  </si>
  <si>
    <t>Crompton Brio 1000-Watts Dry Iron with Weilburger Coating (Sky Blue and White)</t>
  </si>
  <si>
    <t>₹645</t>
  </si>
  <si>
    <t>3,271</t>
  </si>
  <si>
    <t>Butterfly Hero Mixer Grinder, 500W, 3 Jars (Grey)</t>
  </si>
  <si>
    <t>₹2,237.81</t>
  </si>
  <si>
    <t>₹3,899</t>
  </si>
  <si>
    <t>11,004</t>
  </si>
  <si>
    <t>Racold Eterno Pro 25L Vertical 5 Star Storage Water Heater (Geyser) with free Standard Installation and free Installation Pipes</t>
  </si>
  <si>
    <t>₹8,699</t>
  </si>
  <si>
    <t>₹16,899</t>
  </si>
  <si>
    <t>3,195</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</si>
  <si>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</si>
  <si>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</si>
  <si>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</si>
  <si>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</si>
  <si>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Eureka Forbes Aquasure Amrit Twin Cartridge (Pack of 2), White</t>
  </si>
  <si>
    <t>3,246</t>
  </si>
  <si>
    <t>Green Tales Heat Seal Mini Food Sealer-Impulse Machine for Sealing Plastic Bags Packaging</t>
  </si>
  <si>
    <t>₹161</t>
  </si>
  <si>
    <t>2.6</t>
  </si>
  <si>
    <t>SaleOn Instant Coal Heater 500W Charcoal Burner Electric Stove Hot Plate - Mix Colors - Pack of 1 - Only Charcoal Heater</t>
  </si>
  <si>
    <t>₹697</t>
  </si>
  <si>
    <t>144</t>
  </si>
  <si>
    <t>Sujata Chutney Steel Jar, 400 ml, (White), Stainless Steel</t>
  </si>
  <si>
    <t>Home&amp;Kitchen|Kitchen&amp;HomeAppliances|SmallKitchenAppliances|SmallApplianceParts&amp;Accessories</t>
  </si>
  <si>
    <t>₹688</t>
  </si>
  <si>
    <t>₹747</t>
  </si>
  <si>
    <t>2,280</t>
  </si>
  <si>
    <t>KHAITAN AVAANTE KA-2013 1200 Watt 3-Rod Halogen Heater (1200 Watts, Grey)</t>
  </si>
  <si>
    <t>340</t>
  </si>
  <si>
    <t>Kenstar 2400 Watts 9 Fins Oil Filled Radiator with PTC Fan Heater (BLACK GOLD)</t>
  </si>
  <si>
    <t>₹6,850</t>
  </si>
  <si>
    <t>NEXOMS Instant Heating Water Tap Wall Mounted with 3 Pin Indian Plug (16Amp)</t>
  </si>
  <si>
    <t>727</t>
  </si>
  <si>
    <t>JIALTO Mini Waffle Maker 4 Inch- 350 Watts: Stainless Steel Non-Stick Electric Iron Machine for Individual Belgian Waffles, Pan Cakes, Paninis or Other Snacks - Aqua blue</t>
  </si>
  <si>
    <t>Home&amp;Kitchen|Kitchen&amp;HomeAppliances|SmallKitchenAppliances|WaffleMakers&amp;Irons</t>
  </si>
  <si>
    <t>832</t>
  </si>
  <si>
    <t>Candes BlowHot All in One Silent Blower Fan Room Heater (ABS Body, White, Brown) 2000 Watts</t>
  </si>
  <si>
    <t>Ionix Jewellery Scale | Weight Scale | Digital Weight Machine | weight machine for gold | Electronic weighing machines for Jewellery 0.01G to 200G Small Weight Machine for Shop - Silver</t>
  </si>
  <si>
    <t>₹295</t>
  </si>
  <si>
    <t>1,644</t>
  </si>
  <si>
    <t>Kitchen Kit Electric Kettle, 1.8L Stainless Steel Tea Kettle, Fast Boil Water Warmer with Auto Shut Off and Boil Dry Protection Tech</t>
  </si>
  <si>
    <t>1,066</t>
  </si>
  <si>
    <t>Racold Pronto Pro 3Litres 3KW Vertical Instant Water Heater (Geyser)</t>
  </si>
  <si>
    <t>₹2,949</t>
  </si>
  <si>
    <t>₹4,849</t>
  </si>
  <si>
    <t>7,968</t>
  </si>
  <si>
    <t>ESN 999 Supreme Quality 1500W Immersion Water Heater Rod (Black)</t>
  </si>
  <si>
    <t>₹335</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</si>
  <si>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</si>
  <si>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1,456</t>
  </si>
  <si>
    <t>Saiyam Stainless Steel Espresso Maker Stovetop Coffee Percolator Italian Coffee Maker Moka Pot (4 Cup - 200 ml, Silver)</t>
  </si>
  <si>
    <t>Home&amp;Kitchen|Kitchen&amp;HomeAppliances|Coffee,Tea&amp;Espresso|StovetopEspressoPots</t>
  </si>
  <si>
    <t>KONVIO NEER 10 Inch Spun Filter (PP SPUN) Cartridge Compatible for 10 Inch Pre-Filter Housing of Water Purifier | Pack of 4 Spun</t>
  </si>
  <si>
    <t>1,436</t>
  </si>
  <si>
    <t>Havells Glydo 1000 watt Dry Iron With American Heritage Non Stick Sole Plate, Aerodynamic Design, Easy Grip Temperature Knob &amp; 2 years Warranty. (Charcoal Blue)</t>
  </si>
  <si>
    <t>4,184</t>
  </si>
  <si>
    <t>Raffles Premium Stainless Steel South Indian Coffee Filter/Drip Coffee Maker, 2-3 Cups, 150 ml</t>
  </si>
  <si>
    <t>693</t>
  </si>
  <si>
    <t>IONIX Activated Carbon Faucet Water Filters Universal Interface Home Kitchen Faucet Tap Water | Tap filter Multilayer | Clean Purifier Filter Cartridge Five Layer Water Filter-Pack of 1</t>
  </si>
  <si>
    <t>1,306</t>
  </si>
  <si>
    <t>KNYUC MART Mini Electric Handy Room Heater Compact Plug-in, The Wall Outlet 400 Watts, Handy Air Warmer Blower Adjustable Timer Digital Display</t>
  </si>
  <si>
    <t>₹778</t>
  </si>
  <si>
    <t>8</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</si>
  <si>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</si>
  <si>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</si>
  <si>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2,326</t>
  </si>
  <si>
    <t>Macmillan Aquafresh 5 Micron PS-05 10" in PP Spun Filter Candle Set for All Type RO Water Purifier 10 inch (4)</t>
  </si>
  <si>
    <t>1,004</t>
  </si>
  <si>
    <t>Havells D'zire 1000 watt Dry Iron With American Heritage Sole Plate, Aerodynamic Design, Easy Grip Temperature Knob &amp; 2 years Warranty. (Mint)</t>
  </si>
  <si>
    <t>6,400</t>
  </si>
  <si>
    <t>TE™ Instant Electric Heating Hot and Cold Water Geyser Tap Water with Digital Display (White)</t>
  </si>
  <si>
    <t>ZIGMA WinoteK WinoteK Sun Instant Water Geyser, Water Heater, Portable Water Heater, Geysers Made of First Class ABS Plastic, automatic Reset Model, AE10-3 W (Yellow)</t>
  </si>
  <si>
    <t>₹2,550</t>
  </si>
  <si>
    <t>1,181</t>
  </si>
  <si>
    <t>KENT 11054 Alkaline Water Filter Pitcher 3.5 L | Chemical-Free Water with Balanced pH Levels 8.0 to 9.5 | Solves Acidity Issue | Equipped with Carbon and Sediment Filter - Grey</t>
  </si>
  <si>
    <t>1,888</t>
  </si>
  <si>
    <t>Sujata Dynamix DX Mixer Grinder, 900W, 3 Jars (White)</t>
  </si>
  <si>
    <t>₹6,120</t>
  </si>
  <si>
    <t>₹8,478</t>
  </si>
  <si>
    <t>6,550</t>
  </si>
  <si>
    <t>Lifelong LLMG74 750 Watt Mixer Grinder with 3 Jars (White and Grey)</t>
  </si>
  <si>
    <t>1,846</t>
  </si>
  <si>
    <t>TTK Prestige Limited Orion Mixer Grinder 500 Watts, 3 Jars (1200ml, 1000ml, 500ml) (Red)</t>
  </si>
  <si>
    <t>₹3,895</t>
  </si>
  <si>
    <t>1,085</t>
  </si>
  <si>
    <t>AGARO Regal Electric Rice Cooker, 3L Ceramic Inner Bowl, Cooks Up to 600 Gms Raw Rice, SS Steamer, Preset Cooking Functions, Preset Timer, Keep Warm Function, LED Display, Black</t>
  </si>
  <si>
    <t>₹3,685</t>
  </si>
  <si>
    <t>₹5,495</t>
  </si>
  <si>
    <t>VAPJA® Portable Mini Juicer Cup Blender USB Rechargeable with 4 Blades for Shakes and Smoothies Fruits Vegetables Juice Maker Grinder Mixer Strong Cutting Bottle Sports Travel Outdoors Gym (BOTTLE)</t>
  </si>
  <si>
    <t>Philips HD6975/00 25 Litre Digital Oven Toaster Grill, Grey, 25 liter</t>
  </si>
  <si>
    <t>₹8,599</t>
  </si>
  <si>
    <t>9,734</t>
  </si>
  <si>
    <t>Usha EI 3710 Heavy Weight 1000-Watt Dry Iron with Golden American Heritage Soleplate, 1.75 Kg(White)</t>
  </si>
  <si>
    <t>₹1,110</t>
  </si>
  <si>
    <t>4,022</t>
  </si>
  <si>
    <t>Campfire Spring Chef Prolix Instant Portable Water Heater Geyser 1Ltr. for Use Home Stainless Steel Baking Rack | Restaurant | Office | Labs | Clinics | Saloon | with Installation Kit (With MCB)</t>
  </si>
  <si>
    <t>2,591</t>
  </si>
  <si>
    <t>Themisto TH-WS20 Digital Kitchen Weighing Scale Stainless Steel (5Kg)</t>
  </si>
  <si>
    <t>₹759</t>
  </si>
  <si>
    <t>532</t>
  </si>
  <si>
    <t>FYA Handheld Vacuum Cleaner Cordless, Wireless Hand Vacuum&amp;Air Blower 2-in-1, Mini Portable Car Vacuum Cleaner with Powerful Suction, USB Rechargeable Vacuum for Pet Hair, Home and Car</t>
  </si>
  <si>
    <t>₹2,669</t>
  </si>
  <si>
    <t>260</t>
  </si>
  <si>
    <t>Lifelong LLSM120G Sandwich Griller , Classic Pro 750 W Sandwich Maker with 4 Slice Non-Stick Fixed Plates for Sandwiches at Home with 1 Year Warranty (Black)</t>
  </si>
  <si>
    <t>1,672</t>
  </si>
  <si>
    <t>Kuber Industries Nylon Mesh Laundry Basket|Sturdy Material &amp; Durable Handles|Netted Lightweight Laundry Bag, Size 36 x 36 x 58, Capicity 30 Ltr (Pink)</t>
  </si>
  <si>
    <t>7,945</t>
  </si>
  <si>
    <t>Bulfyss Plastic Sticky Lint Roller Hair Remover Cleaner Set of 5 Rolls 150 Sheets, 30 Sheets Each roll Lint Roller Remover for Clothes, Furniture, Carpet, Dog Fur, Sweater, Dust &amp; Dirt</t>
  </si>
  <si>
    <t>T TOPLINE 180 W Electric Hand Mixer,Hand Blender , Egg Beater, Cake maker , Beater Cream Mix, Food Blender, Beater for Whipping Cream Beater for Cake With 7 -Speed with spatula and oil brush</t>
  </si>
  <si>
    <t>Empty Mist Trigger Plastic Spray Bottle for Multi use 200ml Pack of 2</t>
  </si>
  <si>
    <t>₹85</t>
  </si>
  <si>
    <t>212</t>
  </si>
  <si>
    <t>LONAXA Mini Travel Rechargeable Fruit Juicer - USB Electric Fruit &amp; Vegetable Juice Blender/Grinder for Home and Office Use (Multicolor)…</t>
  </si>
  <si>
    <t>65</t>
  </si>
  <si>
    <t>SUJATA Powermatic Plus, Juicer Mixer Grinder, 900 Watts, 2 Jars (White)</t>
  </si>
  <si>
    <t>₹5,865</t>
  </si>
  <si>
    <t>₹7,776</t>
  </si>
  <si>
    <t>AGARO Royal Double Layered Kettle, 1.5 Litres, Double Layered Cool Touch , Dry Boiling Protection, Black</t>
  </si>
  <si>
    <t>55</t>
  </si>
  <si>
    <t>Cafe JEI French Press Coffee and Tea Maker 600ml with 4 Level Filtration System, Heat Resistant Borosilicate Glass (Black, 600ml)</t>
  </si>
  <si>
    <t>Home&amp;Kitchen|Kitchen&amp;HomeAppliances|Coffee,Tea&amp;Espresso|CoffeePresses</t>
  </si>
  <si>
    <t>1,065</t>
  </si>
  <si>
    <t>Borosil Prime Grill Sandwich Maker (Grey)</t>
  </si>
  <si>
    <t>₹1,928</t>
  </si>
  <si>
    <t>2,377</t>
  </si>
  <si>
    <t>Candes 10 Litre Perfecto 5 Star Rated Automatic Instant Storage Electric Water Heater with Special Metal Body Anti Rust Coating With Installation Kit, 2KW Geyser (Ivory)</t>
  </si>
  <si>
    <t>2,569</t>
  </si>
  <si>
    <t>Prestige PSMFB 800 Watt Sandwich Toaster with Fixed Plates, Black</t>
  </si>
  <si>
    <t>5,967</t>
  </si>
  <si>
    <t>iBELL MPK120L Premium Stainless Steel Multi Purpose Kettle/Cooker with Inner Pot 1.2 Litre (Silver)</t>
  </si>
  <si>
    <t>₹1,456</t>
  </si>
  <si>
    <t>1,776</t>
  </si>
  <si>
    <t>Maharaja Whiteline Odacio Plus 550-Watt Juicer Mixer Grinder with 3 Jars (Black/Silver)</t>
  </si>
  <si>
    <t>4,200</t>
  </si>
  <si>
    <t>Shakti Technology S3 High Pressure Car Washer Machine 1800 Watts and Pressure 120 Bar for Cleaning Car, Bike &amp; Home</t>
  </si>
  <si>
    <t>₹4,899</t>
  </si>
  <si>
    <t>297</t>
  </si>
  <si>
    <t>Cello Quick Boil Popular Electric Kettle 1 Litre 1200 Watts | Stainless Steel body | Boiler for Water, Silver</t>
  </si>
  <si>
    <t>3,858</t>
  </si>
  <si>
    <t>AGARO Glory Cool Mist Ultrasonic Humidifier, 4.5Litres, For Large Area, Room, Home, Office, Adjustable Mist Output, Ceramic Ball Filter, Ultra Quiet, 360° Rotatable Nozzle, Auto Shut Off, Grey</t>
  </si>
  <si>
    <t>₹3,290</t>
  </si>
  <si>
    <t>168</t>
  </si>
  <si>
    <t>Wolpin 1 Lint Roller with 60 Sheets Remove Clothes Lint Dog Hair Dust (19 x 13 cm) Orange</t>
  </si>
  <si>
    <t>101</t>
  </si>
  <si>
    <t>Abode Kitchen Essential Measuring Cup &amp; Spoon for Spices | for Cooking and Baking Cake | Multipurpose Tablespoon Cups with Ring Holder | (Black)</t>
  </si>
  <si>
    <t>4,074</t>
  </si>
  <si>
    <t>Sujata Supermix, Mixer Grinder, 900 Watts, 3 Jars (White)</t>
  </si>
  <si>
    <t>₹7,200</t>
  </si>
  <si>
    <t>1,408</t>
  </si>
  <si>
    <t>CARDEX Digital Kitchen Weighing Machine Multipurpose Electronic Weight Scale With Back Lite LCD Display for Measuring Food, Cake, Vegetable, Fruit (KITCHEN SCALE)</t>
  </si>
  <si>
    <t>3,739</t>
  </si>
  <si>
    <t>V-Guard Zenora RO+UF+MB Water Purifier | Suitable for water with TDS up to 2000 ppm | 8 Stage Purification with World-class RO Membrane and Advanced UF Membrane | Free PAN India Installation &amp; 1-Year Comprehensive Warranty | 7 Litre, Black</t>
  </si>
  <si>
    <t>₹13,049</t>
  </si>
  <si>
    <t>5,891</t>
  </si>
  <si>
    <t>Bajaj Rex DLX 750 W 4 Jars Mixer Grinder, White and Blue</t>
  </si>
  <si>
    <t>₹3,041.67</t>
  </si>
  <si>
    <t>777</t>
  </si>
  <si>
    <t>KENT 16051 Hand Blender 300 W | 5 Variable Speed Control | Multiple Beaters &amp; Dough Hooks | Turbo Function</t>
  </si>
  <si>
    <t>14,160</t>
  </si>
  <si>
    <t>Prestige PIC 15.0+ 1900-Watt Induction Cooktop (Black)</t>
  </si>
  <si>
    <t>₹3,180</t>
  </si>
  <si>
    <t>6,919</t>
  </si>
  <si>
    <t>Aqua d pure Active Copper 12-L RO+UV Water Filter Purifier for Home, Kitchen Fully Automatic UF+TDS Controller</t>
  </si>
  <si>
    <t>287</t>
  </si>
  <si>
    <t>PrettyKrafts Laundry Square Shape Basket Bag/Foldable/Multipurpose/Carry Handles/Slanting Lid for Home, Cloth Storage,(Single) Jute Grey</t>
  </si>
  <si>
    <t>₹390</t>
  </si>
  <si>
    <t>Libra Roti Maker Electric Automatic | chapati Maker Electric Automatic | roti Maker Machine with 900 Watts for Making Roti/Chapati/Parathas - Stainless Steel</t>
  </si>
  <si>
    <t>Home&amp;Kitchen|Kitchen&amp;HomeAppliances|SmallKitchenAppliances|RotiMakers</t>
  </si>
  <si>
    <t>Glen 3 in 1 Electric Multi Cooker - Steam, Cook &amp; Egg Boiler with 350 W (SA 3035MC) - 350 Watts</t>
  </si>
  <si>
    <t>₹1,624</t>
  </si>
  <si>
    <t>827</t>
  </si>
  <si>
    <t>Dynore Stainless Steel Set of 4 Measuring Cup and 4 Measuring Spoon</t>
  </si>
  <si>
    <t>₹184</t>
  </si>
  <si>
    <t>Lint Remover For Clothes With 1 Year Warranty Fabric Shaver Lint Shaver for Woolen Clothes Blanket Jackets Stainless Steel Blades,Bedding, Clothes and Furniture Best Remover for Fabrics Portable Lint Shavers (White Orange)</t>
  </si>
  <si>
    <t>₹445</t>
  </si>
  <si>
    <t>229</t>
  </si>
  <si>
    <t>Monitor AC Stand/Heavy Duty Air Conditioner Outdoor Unit Mounting Bracket</t>
  </si>
  <si>
    <t>Home&amp;Kitchen|Heating,Cooling&amp;AirQuality|Parts&amp;Accessories|FanParts&amp;Accessories</t>
  </si>
  <si>
    <t>3,524</t>
  </si>
  <si>
    <t>iBELL Induction Cooktop, 2000W with Auto Shut Off and Overheat Protection, BIS Certified, Black</t>
  </si>
  <si>
    <t>₹1,601</t>
  </si>
  <si>
    <t>₹3,890</t>
  </si>
  <si>
    <t>156</t>
  </si>
  <si>
    <t>KENT POWP-Sediment Filter 10'' Thread WCAP</t>
  </si>
  <si>
    <t>₹231</t>
  </si>
  <si>
    <t>LACOPINE Mini Pocket Size Lint Roller (White)</t>
  </si>
  <si>
    <t>82</t>
  </si>
  <si>
    <t>iBELL SEK170BM Premium Electric Kettle, 1.7 Litre, Stainless Steel with Coating,1500W Auto Cut-Off, Silver with Black</t>
  </si>
  <si>
    <t>710</t>
  </si>
  <si>
    <t>Activa Easy Mix Nutri Mixer Grinder 500 Watt | Long Lasting Shock Proof ABS Body | Heavy Duty Motor With Nano - Grinding Technology</t>
  </si>
  <si>
    <t>133</t>
  </si>
  <si>
    <t>Sujata Dynamix, Mixer Grinder, 900 Watts, 3 Jars (White)</t>
  </si>
  <si>
    <t>₹8,073</t>
  </si>
  <si>
    <t>2,751</t>
  </si>
  <si>
    <t>Wipro Vesta 1380W Cordless Steam Iron Quick heat up with 20gm/ min Steam Burst, Scratch resistant Ceramic soleplate ,Vertical and Horizontal Ironing, Steam burst of upto .8g/ shot</t>
  </si>
  <si>
    <t>771</t>
  </si>
  <si>
    <t>Mi Robot Vacuum-Mop P, Best-in-class Laser Navigation in 10-20K INR price band, Intelligent mapping, Robotic Floor Cleaner with 2 in 1 Mopping and Vacuum, App Control (WiFi, Alexa,GA), Strong suction</t>
  </si>
  <si>
    <t>2,536</t>
  </si>
  <si>
    <t>Havells Ventil Air DX 200mm Exhaust Fan (White)</t>
  </si>
  <si>
    <t>₹2,360</t>
  </si>
  <si>
    <t>7,801</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</si>
  <si>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</si>
  <si>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</si>
  <si>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</si>
  <si>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534</t>
  </si>
  <si>
    <t>Crompton Highspeed Markle Prime 1200 mm (48 inch) Anti-Dust Ceiling Fan with Energy Efficient 55W Motor (Burgundy)</t>
  </si>
  <si>
    <t>₹4,780</t>
  </si>
  <si>
    <t>898</t>
  </si>
  <si>
    <t>Lifelong LLWM105 750-Watt Belgian Waffle Maker for Home| Makes 2 Square Shape Waffles| Non-stick Plates| Easy to Use with Indicator Lights (1 Year Warranty, Black)</t>
  </si>
  <si>
    <t>1,202</t>
  </si>
  <si>
    <t>Kuber Industries Waterproof Round Laundry Bag/Hamper|Polka Dots Print Print with Handles|Foldable Bin &amp; 45 Liter Capicity|Size 37 x 37 x 49, Pack of 1(Black &amp; White)- CTKTC044992</t>
  </si>
  <si>
    <t>1,108</t>
  </si>
  <si>
    <t>Portable, Handy Compact Plug-in Portable Digital Electric Heater Fan Wall-Outlet Handy Air Warmer Blower Adjustable Timer Digital Display Heater for Home/Office/Camper (Black, 400 Watts)</t>
  </si>
  <si>
    <t>17</t>
  </si>
  <si>
    <t>Karcher WD3 EU Wet and Dry Vacuum Cleaner, 1000 Watts Powerful Suction, 17 L Capacity, Blower Function, Easy Filter Removal for Home and Garden Cleaning  (Yellow/Black)</t>
  </si>
  <si>
    <t>10,429</t>
  </si>
  <si>
    <t>INALSA Air Fryer Digital 4L Nutri Fry - 1400W with Smart AirCrisp Technology| 8-Preset Menu, Touch Control &amp; Digital Display|Variable Temperature &amp; Timer Control|Free Recipe book|2 Yr Warranty (Black)</t>
  </si>
  <si>
    <t>₹6,790</t>
  </si>
  <si>
    <t>₹10,995</t>
  </si>
  <si>
    <t>3,192</t>
  </si>
  <si>
    <t>AmazonBasics High Speed 55 Watt Oscillating Pedestal Fan, 400mm Sweep Length, White (Without Remote)</t>
  </si>
  <si>
    <t>Home&amp;Kitchen|Heating,Cooling&amp;AirQuality|Fans|PedestalFans</t>
  </si>
  <si>
    <t>₹1,982.84</t>
  </si>
  <si>
    <t>5,873</t>
  </si>
  <si>
    <t>Eco Crystal J 5 inch Cartridge (Pack of 2)</t>
  </si>
  <si>
    <t>1,379</t>
  </si>
  <si>
    <t>Borosil Rio 1.5 L Electric Kettle, Stainless Steel Inner Body, Boil Water For Tea, Coffee, Soup, Silver</t>
  </si>
  <si>
    <t>₹1,180</t>
  </si>
  <si>
    <t>₹1,440</t>
  </si>
  <si>
    <t>1,527</t>
  </si>
  <si>
    <t>Havells Ambrose 1200mm Ceiling Fan (Pearl White Wood)</t>
  </si>
  <si>
    <t>₹3,045</t>
  </si>
  <si>
    <t>2,686</t>
  </si>
  <si>
    <t>PHILIPS Drip Coffee Maker HD7432/20, 0.6 L, Ideal for 2-7 cups, Black, Medium</t>
  </si>
  <si>
    <t>178</t>
  </si>
  <si>
    <t>Eureka Forbes Euroclean Paper Vacuum Cleaner Dust Bags for Excel, Ace, 300, Jet Models - Set of 10</t>
  </si>
  <si>
    <t>Home&amp;Kitchen|Kitchen&amp;HomeAppliances|Vacuum,Cleaning&amp;Ironing|Vacuums&amp;FloorCare|VacuumAccessories|VacuumBags|HandheldBags</t>
  </si>
  <si>
    <t>₹253</t>
  </si>
  <si>
    <t>2,664</t>
  </si>
  <si>
    <t>Larrito wooden Cool Mist Humidifiers Essential Oil Diffuser Aroma Air Humidifier with Colorful Change for Car, Office, Babies, humidifiers for home, air humidifier for room (WOODEN HUMIDIFIRE-A)</t>
  </si>
  <si>
    <t>Hilton Quartz Heater 400/800-Watt ISI 2 Rods Multi Mode Heater Long Lasting Quick Heating Extremely Warm (Grey)</t>
  </si>
  <si>
    <t>Syska SDI-07 1000 W Stellar with Golden American Heritage Soleplate Dry Iron (Blue)</t>
  </si>
  <si>
    <t>₹457</t>
  </si>
  <si>
    <t>1,868</t>
  </si>
  <si>
    <t>IKEA Milk Frother for Your Milk, Coffee,(Cold and hot Drinks), Black</t>
  </si>
  <si>
    <t>451</t>
  </si>
  <si>
    <t>IONIX Tap filter Multilayer | Activated Carbon Faucet Water Filters Universal Interface Home Kitchen Faucet Tap Water Clean Purifier Filter Cartridge Five Layer Water Filter-Pack of 1</t>
  </si>
  <si>
    <t>2.9</t>
  </si>
  <si>
    <t>159</t>
  </si>
  <si>
    <t>Kitchengenix's Mini Waffle Maker 4 Inch- 350 Watts: Stainless Steel Non-Stick Electric Iron Machine for Individual Belgian Waffles, Pan Cakes, Paninis or Other Snacks (Red)</t>
  </si>
  <si>
    <t>39</t>
  </si>
  <si>
    <t>Bajaj HM-01 Powerful 250W Hand Mixer, Black</t>
  </si>
  <si>
    <t>6,531</t>
  </si>
  <si>
    <t>KNOWZA Electric Handheld Milk Wand Mixer Frother for Latte Coffee Hot Milk, Milk Frother for Coffee, Egg Beater, Hand Blender, Coffee Beater (BLACK COFFEE BEATER)</t>
  </si>
  <si>
    <t>₹426</t>
  </si>
  <si>
    <t>222</t>
  </si>
  <si>
    <t>Usha Hc 812 T Thermo Fan Room Heater</t>
  </si>
  <si>
    <t>₹2,320</t>
  </si>
  <si>
    <t>195</t>
  </si>
  <si>
    <t>akiara - Makes life easy Mini Sewing Machine for Home Tailoring use | Mini Silai Machine with Sewing Kit Set Sewing Box with Thread Scissors, Needle All in One Sewing Accessories (White &amp; Purple)</t>
  </si>
  <si>
    <t>₹1,563</t>
  </si>
  <si>
    <t>₹3,098</t>
  </si>
  <si>
    <t>2,283</t>
  </si>
  <si>
    <t>USHA 1212 PTC with Adjustable Thermostat Fan Heater (Black/Brown, 1500-Watts).</t>
  </si>
  <si>
    <t>₹3,487.77</t>
  </si>
  <si>
    <t>1,127</t>
  </si>
  <si>
    <t>4 in 1 Handheld Electric Vegetable Cutter Set,Wireless Food Processor Electric Food Chopper for Garlic Chili Pepper Onion Ginger Celery Meat with Brush</t>
  </si>
  <si>
    <t>₹498</t>
  </si>
  <si>
    <t>113</t>
  </si>
  <si>
    <t>Philips HD9306/06 1.5-Litre Electric Kettle (Multicolor)</t>
  </si>
  <si>
    <t>2,518</t>
  </si>
  <si>
    <t>Libra Room Heater for Home, Room Heaters Home for Winter, Electric Heater with 2000 Watts Power as per IS Specification for Small to Medium Rooms - FH12 (Grey)</t>
  </si>
  <si>
    <t>NGI Store 2 Pieces Pet Hair Removers for Your Laundry Catcher Lint Remover for Washing Machine Lint Remover Reusable Portable Silica Gel Clothes Washer Dryer Floating Ball</t>
  </si>
  <si>
    <t>Noir Aqua - 5pcs PP Spun Filter + 1 Spanner | for All Types of RO Water purifiers (5 Piece, White, 10 Inch, 5 Micron) - RO Spun Filter Cartridge Sponge Replacement Water Filter Candle</t>
  </si>
  <si>
    <t>₹919</t>
  </si>
  <si>
    <t>1,090</t>
  </si>
  <si>
    <t>Prestige Delight PRWO Electric Rice Cooker (1 L, White)</t>
  </si>
  <si>
    <t>₹2,280</t>
  </si>
  <si>
    <t>4,118</t>
  </si>
  <si>
    <t>Bajaj Majesty RX10 2000 Watts Heat Convector Room Heater (White, ISI Approved)</t>
  </si>
  <si>
    <t>₹2,219</t>
  </si>
  <si>
    <t>₹3,080</t>
  </si>
  <si>
    <t>468</t>
  </si>
  <si>
    <t>Havells Ventil Air DSP 230mm Exhaust Fan (Pista Green)</t>
  </si>
  <si>
    <t>8,031</t>
  </si>
  <si>
    <t>Borosil Jumbo 1000-Watt Grill Sandwich Maker (Black)</t>
  </si>
  <si>
    <t>₹2,863</t>
  </si>
  <si>
    <t>₹3,690</t>
  </si>
  <si>
    <t>6,987</t>
  </si>
  <si>
    <t>Brand</t>
  </si>
  <si>
    <t>Category</t>
  </si>
  <si>
    <t>Discounted Price</t>
  </si>
  <si>
    <t>Actual Price</t>
  </si>
  <si>
    <t>Discount %</t>
  </si>
  <si>
    <t>Rating</t>
  </si>
  <si>
    <t>Rating Count</t>
  </si>
  <si>
    <t>Savings (₹)</t>
  </si>
  <si>
    <t>Revenue Proxy (₹)</t>
  </si>
  <si>
    <t>RatingCount Rank Key</t>
  </si>
  <si>
    <t>Discount% Rank Key</t>
  </si>
  <si>
    <t>Product Count</t>
  </si>
  <si>
    <t>Avg Discounted Price</t>
  </si>
  <si>
    <t>Avg Actual Price</t>
  </si>
  <si>
    <t>Avg Discount %</t>
  </si>
  <si>
    <t>Avg Rating</t>
  </si>
  <si>
    <t>Total Reviews</t>
  </si>
  <si>
    <t>boAt</t>
  </si>
  <si>
    <t>Redmi</t>
  </si>
  <si>
    <t>AmazonBasics</t>
  </si>
  <si>
    <t>SanDisk</t>
  </si>
  <si>
    <t>Amazon</t>
  </si>
  <si>
    <t>TP-Link</t>
  </si>
  <si>
    <t>Samsung</t>
  </si>
  <si>
    <t>JBL</t>
  </si>
  <si>
    <t>MI</t>
  </si>
  <si>
    <t>Noise</t>
  </si>
  <si>
    <t>Total / Overall</t>
  </si>
  <si>
    <t>Electronics</t>
  </si>
  <si>
    <t>Computers&amp;Accessories</t>
  </si>
  <si>
    <t>Home&amp;Kitchen</t>
  </si>
  <si>
    <t>OfficeProducts</t>
  </si>
  <si>
    <t>MusicalInstruments</t>
  </si>
  <si>
    <t>HomeImprovement</t>
  </si>
  <si>
    <t>Toys&amp;Games</t>
  </si>
  <si>
    <t>Car&amp;Motorbike</t>
  </si>
  <si>
    <t>Health&amp;PersonalCare</t>
  </si>
  <si>
    <t>Top 15 Products by Review Volume</t>
  </si>
  <si>
    <t>Rank</t>
  </si>
  <si>
    <t>Chart Label</t>
  </si>
  <si>
    <t>Top 15 Products by Discount %</t>
  </si>
  <si>
    <t>Amazon Sales Dashboard</t>
  </si>
  <si>
    <t>1,465 products  |  290 tracked listings across top 10 brands  |  9 categories</t>
  </si>
  <si>
    <t>Total Products</t>
  </si>
  <si>
    <t>Avg Savings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</si>
</sst>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
    <numFmt numFmtId="165" formatCode="0.0%"/>
    <numFmt numFmtId="166" formatCode="0.0"/>
    <numFmt numFmtId="167" formatCode="#,##0,,\M"/>
  </numFmts>
  <fonts count="13" x14ac:knownFonts="1">
    <font>
      <sz val="11"/>
      <color theme="1"/>
      <name val="Calibri"/>
      <family val="2"/>
      <charset val="1"/>
    </font>
    <font>
      <b/>
      <sz val="20"/>
      <color rgb="FF1F2A44"/>
      <name val="Arial"/>
      <charset val="1"/>
    </font>
    <font>
      <sz val="11"/>
      <color rgb="FF6B7280"/>
      <name val="Arial"/>
      <charset val="1"/>
    </font>
    <font>
      <b/>
      <sz val="11"/>
      <color rgb="FF1F2A44"/>
      <name val="Arial"/>
      <charset val="1"/>
    </font>
    <font>
      <sz val="10"/>
      <name val="Arial"/>
      <charset val="1"/>
    </font>
    <font>
      <b/>
      <sz val="10"/>
      <color rgb="FFFFFFFF"/>
      <name val="Arial"/>
      <charset val="1"/>
    </font>
    <font>
      <sz val="10"/>
      <color rgb="FF0000FF"/>
      <name val="Arial"/>
      <charset val="1"/>
    </font>
    <font>
      <sz val="10"/>
      <color rgb="FF000000"/>
      <name val="Arial"/>
      <charset val="1"/>
    </font>
    <font>
      <b/>
      <sz val="10"/>
      <name val="Arial"/>
      <charset val="1"/>
    </font>
    <font>
      <b/>
      <sz val="13"/>
      <color rgb="FF1F2A44"/>
      <name val="Arial"/>
      <charset val="1"/>
    </font>
    <font>
      <b/>
      <sz val="22"/>
      <color rgb="FF1F2A44"/>
      <name val="Arial"/>
      <charset val="1"/>
    </font>
    <font>
      <b/>
      <sz val="10"/>
      <color rgb="FF6B7280"/>
      <name val="Arial"/>
      <charset val="1"/>
    </font>
    <font>
      <b/>
      <sz val="20"/>
      <color rgb="FFFF6B35"/>
      <name val="Arial"/>
      <charset val="1"/>
    </font>
  </fonts>
  <fills count="4">
    <fill>
      <patternFill patternType="none"/>
    </fill>
    <fill>
      <patternFill patternType="gray125"/>
    </fill>
    <fill>
      <patternFill patternType="solid">
        <fgColor rgb="FF1F2A44"/>
        <bgColor rgb="FF003366"/>
      </patternFill>
    </fill>
    <fill>
      <patternFill patternType="solid">
        <fgColor rgb="FFF4F6F9"/>
        <bgColor rgb="FFFFFFFF"/>
      </patternFill>
    </fill>
  </fills>
  <borders count="3">
    <border>
      <left/>
      <right/>
      <top/>
      <bottom/>
      <diagonal/>
    </border>
    <border>
      <left style="thin">
        <color rgb="FFD1D5DB"/>
      </left>
      <right style="thin">
        <color rgb="FFD1D5DB"/>
      </right>
      <top style="thin">
        <color rgb="FFD1D5DB"/>
      </top>
      <bottom style="thin">
        <color rgb="FFD1D5DB"/>
      </bottom>
      <diagonal/>
    </border>
    <border>
      <left/>
      <right/>
      <top style="thin">
        <color rgb="FF1F2A44"/>
      </top>
      <bottom/>
      <diagonal/>
    </border>
  </borders>
  <cellStyleXfs count="1">
    <xf numFmtId="0" fontId="0" fillId="0" borderId="0"/>
  </cellStyleXfs>
  <cellXfs count="33">
    <xf numFmtId="0" fontId="0" fillId="0" borderId="0" xfId="0" applyAlignment="1"/>
    <xf numFmtId="0" fontId="0" fillId="0" borderId="0" xfId="0"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alignment vertical="top" wrapText="1"/>
    </xf>
    <xf numFmtId="0" fontId="5" fillId="2" borderId="0" xfId="0" applyFont="1" applyFill="1" applyAlignment="1">
      <alignment horizontal="center" vertical="center"/>
    </xf>
    <xf numFmtId="0" fontId="6" fillId="0" borderId="1" xfId="0" applyFont="1" applyBorder="1" applyAlignment="1"/>
    <xf numFmtId="0" fontId="6" fillId="0" borderId="1" xfId="0" applyFont="1" applyBorder="1" applyAlignment="1">
      <alignment horizontal="right"/>
    </xf>
    <xf numFmtId="0" fontId="5" fillId="2" borderId="0" xfId="0" applyFont="1" applyFill="1" applyAlignment="1"/>
    <xf numFmtId="0" fontId="7" fillId="0" borderId="1" xfId="0" applyFont="1" applyBorder="1" applyAlignment="1"/>
    <xf numFmtId="164" fontId="7" fillId="0" borderId="1" xfId="0" applyNumberFormat="1" applyFont="1" applyBorder="1" applyAlignment="1">
      <alignment horizontal="right"/>
    </xf>
    <xf numFmtId="165" fontId="7" fillId="0" borderId="1" xfId="0" applyNumberFormat="1" applyFont="1" applyBorder="1" applyAlignment="1">
      <alignment horizontal="right"/>
    </xf>
    <xf numFmtId="166" fontId="7" fillId="0" borderId="1" xfId="0" applyNumberFormat="1" applyFont="1" applyBorder="1" applyAlignment="1">
      <alignment horizontal="right"/>
    </xf>
    <xf numFmtId="3" fontId="7" fillId="0" borderId="1" xfId="0" applyNumberFormat="1" applyFont="1" applyBorder="1" applyAlignment="1">
      <alignment horizontal="right"/>
    </xf>
    <xf numFmtId="10" fontId="0" fillId="0" borderId="0" xfId="0" applyNumberFormat="1" applyAlignment="1"/>
    <xf numFmtId="0" fontId="5" fillId="2" borderId="0" xfId="0" applyFont="1" applyFill="1" applyAlignment="1">
      <alignment horizontal="center" vertical="center" wrapText="1"/>
    </xf>
    <xf numFmtId="164" fontId="7" fillId="0" borderId="1" xfId="0" applyNumberFormat="1" applyFont="1" applyBorder="1" applyAlignment="1"/>
    <xf numFmtId="165" fontId="7" fillId="0" borderId="1" xfId="0" applyNumberFormat="1" applyFont="1" applyBorder="1" applyAlignment="1"/>
    <xf numFmtId="166" fontId="7" fillId="0" borderId="1" xfId="0" applyNumberFormat="1" applyFont="1" applyBorder="1" applyAlignment="1"/>
    <xf numFmtId="3" fontId="7" fillId="0" borderId="1" xfId="0" applyNumberFormat="1" applyFont="1" applyBorder="1" applyAlignment="1"/>
    <xf numFmtId="0" fontId="8" fillId="0" borderId="2" xfId="0" applyFont="1" applyBorder="1" applyAlignment="1"/>
    <xf numFmtId="3" fontId="8" fillId="0" borderId="2" xfId="0" applyNumberFormat="1" applyFont="1" applyBorder="1" applyAlignment="1"/>
    <xf numFmtId="0" fontId="9" fillId="0" borderId="0" xfId="0" applyFont="1" applyAlignment="1"/>
    <xf numFmtId="0" fontId="5" fillId="2" borderId="0" xfId="0" applyFont="1" applyFill="1" applyAlignment="1">
      <alignment horizontal="center"/>
    </xf>
    <xf numFmtId="0" fontId="10" fillId="0" borderId="0" xfId="0" applyFont="1" applyAlignment="1"/>
    <xf numFmtId="0" fontId="11" fillId="3" borderId="0" xfId="0" applyFont="1" applyFill="1" applyAlignment="1">
      <alignment horizontal="left" vertical="center"/>
    </xf>
    <xf numFmtId="0" fontId="0" fillId="0" borderId="0" xfId="0" applyAlignment="1"/>
    <xf numFmtId="165" fontId="12" fillId="3" borderId="0" xfId="0" applyNumberFormat="1" applyFont="1" applyFill="1" applyAlignment="1">
      <alignment horizontal="left" vertical="center"/>
    </xf>
    <xf numFmtId="2" fontId="12" fillId="3" borderId="0" xfId="0" applyNumberFormat="1" applyFont="1" applyFill="1" applyAlignment="1">
      <alignment horizontal="left" vertical="center"/>
    </xf>
    <xf numFmtId="3" fontId="12" fillId="3" borderId="0" xfId="0" applyNumberFormat="1" applyFont="1" applyFill="1" applyAlignment="1">
      <alignment horizontal="left" vertical="center"/>
    </xf>
    <xf numFmtId="167" fontId="12" fillId="3" borderId="0" xfId="0" applyNumberFormat="1" applyFont="1" applyFill="1" applyAlignment="1">
      <alignment horizontal="left" vertical="center"/>
    </xf>
    <xf numFmtId="164" fontId="12" fillId="3"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2E86AB"/>
      <rgbColor rgb="FFB3B3B3"/>
      <rgbColor rgb="FF6B7280"/>
      <rgbColor rgb="FF93A9CE"/>
      <rgbColor rgb="FFAB4744"/>
      <rgbColor rgb="FFF4F6F9"/>
      <rgbColor rgb="FFCCFFFF"/>
      <rgbColor rgb="FF660066"/>
      <rgbColor rgb="FFDC853E"/>
      <rgbColor rgb="FF0066CC"/>
      <rgbColor rgb="FFD1D5DB"/>
      <rgbColor rgb="FF000080"/>
      <rgbColor rgb="FFFF00FF"/>
      <rgbColor rgb="FFFFFF00"/>
      <rgbColor rgb="FF00FFFF"/>
      <rgbColor rgb="FF800080"/>
      <rgbColor rgb="FF800000"/>
      <rgbColor rgb="FF4F81BD"/>
      <rgbColor rgb="FF0000FF"/>
      <rgbColor rgb="FF00CCFF"/>
      <rgbColor rgb="FFCCFFFF"/>
      <rgbColor rgb="FFD9D9D9"/>
      <rgbColor rgb="FFFFFF99"/>
      <rgbColor rgb="FFB8CD97"/>
      <rgbColor rgb="FFD09493"/>
      <rgbColor rgb="FFCC99FF"/>
      <rgbColor rgb="FFFFCC99"/>
      <rgbColor rgb="FF4672A8"/>
      <rgbColor rgb="FF33CCCC"/>
      <rgbColor rgb="FF8AB17D"/>
      <rgbColor rgb="FFFFCC00"/>
      <rgbColor rgb="FFFF9900"/>
      <rgbColor rgb="FFFF6B35"/>
      <rgbColor rgb="FF725990"/>
      <rgbColor rgb="FFA99BBD"/>
      <rgbColor rgb="FF003366"/>
      <rgbColor rgb="FF4299B0"/>
      <rgbColor rgb="FF003300"/>
      <rgbColor rgb="FF333300"/>
      <rgbColor rgb="FF993300"/>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Discounted vs Actual Price by Brand</a:t>
            </a:r>
          </a:p>
        </c:rich>
      </c:tx>
      <c:layout/>
      <c:overlay val="0"/>
      <c:spPr>
        <a:noFill/>
        <a:ln w="0">
          <a:noFill/>
          <a:prstDash val="solid"/>
        </a:ln>
      </c:spPr>
    </c:title>
    <c:autoTitleDeleted val="0"/>
    <c:plotArea>
      <c:layout/>
      <c:barChart>
        <c:barDir val="col"/>
        <c:grouping val="clustered"/>
        <c:varyColors val="0"/>
        <c:ser>
          <c:idx val="0"/>
          <c:order val="0"/>
          <c:tx>
            <c:strRef>
              <c:f>Brand_Summary!$C$1</c:f>
              <c:strCache>
                <c:ptCount val="1"/>
                <c:pt idx="0">
                  <c:v>Avg Discounted Price</c:v>
                </c:pt>
              </c:strCache>
            </c:strRef>
          </c:tx>
          <c:spPr>
            <a:solidFill>
              <a:srgbClr val="2E86AB"/>
            </a:solidFill>
            <a:ln w="0">
              <a:noFill/>
              <a:prstDash val="solid"/>
            </a:ln>
          </c:spPr>
          <c:invertIfNegative val="0"/>
          <c:dLbls>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Brand_Summary!$C$2:$C$11</c:f>
              <c:numCache>
                <c:formatCode>\₹#,##0</c:formatCode>
                <c:ptCount val="10"/>
                <c:pt idx="0">
                  <c:v>1044.455588235294</c:v>
                </c:pt>
                <c:pt idx="1">
                  <c:v>13787.461538461539</c:v>
                </c:pt>
                <c:pt idx="2">
                  <c:v>1317.7852631578946</c:v>
                </c:pt>
                <c:pt idx="3">
                  <c:v>1389.5882352941176</c:v>
                </c:pt>
                <c:pt idx="4">
                  <c:v>514.6</c:v>
                </c:pt>
                <c:pt idx="5">
                  <c:v>1371</c:v>
                </c:pt>
                <c:pt idx="6">
                  <c:v>13779.138888888889</c:v>
                </c:pt>
                <c:pt idx="7">
                  <c:v>942.75</c:v>
                </c:pt>
                <c:pt idx="8">
                  <c:v>9492.1071428571431</c:v>
                </c:pt>
                <c:pt idx="9">
                  <c:v>2248.875</c:v>
                </c:pt>
              </c:numCache>
            </c:numRef>
          </c:val>
        </c:ser>
        <c:dLbls>
          <c:showLegendKey val="0"/>
          <c:showVal val="0"/>
          <c:showCatName val="0"/>
          <c:showSerName val="0"/>
          <c:showPercent val="0"/>
          <c:showBubbleSize val="0"/>
        </c:dLbls>
        <c:gapWidth val="150"/>
        <c:axId val="175955328"/>
        <c:axId val="177282048"/>
      </c:barChart>
      <c:lineChart>
        <c:grouping val="standard"/>
        <c:varyColors val="0"/>
        <c:ser>
          <c:idx val="1"/>
          <c:order val="1"/>
          <c:tx>
            <c:strRef>
              <c:f>Brand_Summary!$D$1</c:f>
              <c:strCache>
                <c:ptCount val="1"/>
                <c:pt idx="0">
                  <c:v>Avg Actual Price</c:v>
                </c:pt>
              </c:strCache>
            </c:strRef>
          </c:tx>
          <c:spPr>
            <a:ln w="24840">
              <a:solidFill>
                <a:srgbClr val="FF6B35"/>
              </a:solidFill>
              <a:prstDash val="solid"/>
              <a:round/>
            </a:ln>
          </c:spPr>
          <c:marker>
            <c:symbol val="circle"/>
            <c:size val="6"/>
            <c:spPr>
              <a:solidFill>
                <a:srgbClr val="FF6B35"/>
              </a:solidFill>
              <a:ln>
                <a:prstDash val="solid"/>
              </a:ln>
            </c:spPr>
          </c:marker>
          <c:dLbls>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Brand_Summary!$D$2:$D$11</c:f>
              <c:numCache>
                <c:formatCode>\₹#,##0</c:formatCode>
                <c:ptCount val="10"/>
                <c:pt idx="0">
                  <c:v>3268.4852941176468</c:v>
                </c:pt>
                <c:pt idx="1">
                  <c:v>18806.692307692309</c:v>
                </c:pt>
                <c:pt idx="2">
                  <c:v>2737.0263157894738</c:v>
                </c:pt>
                <c:pt idx="3">
                  <c:v>3602.9411764705883</c:v>
                </c:pt>
                <c:pt idx="4">
                  <c:v>1282.08</c:v>
                </c:pt>
                <c:pt idx="5">
                  <c:v>2481</c:v>
                </c:pt>
                <c:pt idx="6">
                  <c:v>21343.694444444445</c:v>
                </c:pt>
                <c:pt idx="7">
                  <c:v>1724.125</c:v>
                </c:pt>
                <c:pt idx="8">
                  <c:v>14013.285714285714</c:v>
                </c:pt>
                <c:pt idx="9">
                  <c:v>5165.291666666667</c:v>
                </c:pt>
              </c:numCache>
            </c:numRef>
          </c:val>
          <c:smooth val="1"/>
        </c:ser>
        <c:dLbls>
          <c:showLegendKey val="0"/>
          <c:showVal val="0"/>
          <c:showCatName val="0"/>
          <c:showSerName val="0"/>
          <c:showPercent val="0"/>
          <c:showBubbleSize val="0"/>
        </c:dLbls>
        <c:hiLowLines>
          <c:spPr>
            <a:ln w="0">
              <a:noFill/>
              <a:prstDash val="solid"/>
            </a:ln>
          </c:spPr>
        </c:hiLowLines>
        <c:marker val="1"/>
        <c:smooth val="0"/>
        <c:axId val="247112832"/>
        <c:axId val="247114752"/>
      </c:lineChart>
      <c:catAx>
        <c:axId val="17595532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Brand</a:t>
                </a:r>
              </a:p>
            </c:rich>
          </c:tx>
          <c:layout/>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77282048"/>
        <c:crosses val="autoZero"/>
        <c:auto val="1"/>
        <c:lblAlgn val="ctr"/>
        <c:lblOffset val="100"/>
        <c:noMultiLvlLbl val="0"/>
      </c:catAx>
      <c:valAx>
        <c:axId val="177282048"/>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Discounted Price (₹)</a:t>
                </a:r>
              </a:p>
            </c:rich>
          </c:tx>
          <c:layout/>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75955328"/>
        <c:crosses val="autoZero"/>
        <c:crossBetween val="between"/>
      </c:valAx>
      <c:catAx>
        <c:axId val="24711283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Brand</a:t>
                </a:r>
              </a:p>
            </c:rich>
          </c:tx>
          <c:layout/>
          <c:overlay val="0"/>
          <c:spPr>
            <a:noFill/>
            <a:ln w="0">
              <a:noFill/>
              <a:prstDash val="solid"/>
            </a:ln>
          </c:spPr>
        </c:title>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47114752"/>
        <c:crosses val="autoZero"/>
        <c:auto val="1"/>
        <c:lblAlgn val="ctr"/>
        <c:lblOffset val="100"/>
        <c:noMultiLvlLbl val="0"/>
      </c:catAx>
      <c:valAx>
        <c:axId val="247114752"/>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Actual Price (₹)</a:t>
                </a:r>
              </a:p>
            </c:rich>
          </c:tx>
          <c:layout/>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47112832"/>
        <c:crosses val="max"/>
        <c:crossBetween val="between"/>
      </c:valAx>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Actual vs Discounted Price by Brand</a:t>
            </a:r>
          </a:p>
        </c:rich>
      </c:tx>
      <c:layout/>
      <c:overlay val="0"/>
      <c:spPr>
        <a:noFill/>
        <a:ln w="0">
          <a:noFill/>
          <a:prstDash val="solid"/>
        </a:ln>
      </c:spPr>
    </c:title>
    <c:autoTitleDeleted val="0"/>
    <c:plotArea>
      <c:layout/>
      <c:barChart>
        <c:barDir val="bar"/>
        <c:grouping val="clustered"/>
        <c:varyColors val="0"/>
        <c:ser>
          <c:idx val="0"/>
          <c:order val="0"/>
          <c:tx>
            <c:strRef>
              <c:f>Brand_Summary!$C$1</c:f>
              <c:strCache>
                <c:ptCount val="1"/>
                <c:pt idx="0">
                  <c:v>Avg Discounted Price</c:v>
                </c:pt>
              </c:strCache>
            </c:strRef>
          </c:tx>
          <c:spPr>
            <a:solidFill>
              <a:srgbClr val="2E86AB"/>
            </a:solidFill>
            <a:ln w="0">
              <a:noFill/>
              <a:prstDash val="solid"/>
            </a:ln>
          </c:spPr>
          <c:invertIfNegative val="0"/>
          <c:dLbls>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Brand_Summary!$C$2:$C$11</c:f>
              <c:numCache>
                <c:formatCode>\₹#,##0</c:formatCode>
                <c:ptCount val="10"/>
                <c:pt idx="0">
                  <c:v>1044.455588235294</c:v>
                </c:pt>
                <c:pt idx="1">
                  <c:v>13787.461538461539</c:v>
                </c:pt>
                <c:pt idx="2">
                  <c:v>1317.7852631578946</c:v>
                </c:pt>
                <c:pt idx="3">
                  <c:v>1389.5882352941176</c:v>
                </c:pt>
                <c:pt idx="4">
                  <c:v>514.6</c:v>
                </c:pt>
                <c:pt idx="5">
                  <c:v>1371</c:v>
                </c:pt>
                <c:pt idx="6">
                  <c:v>13779.138888888889</c:v>
                </c:pt>
                <c:pt idx="7">
                  <c:v>942.75</c:v>
                </c:pt>
                <c:pt idx="8">
                  <c:v>9492.1071428571431</c:v>
                </c:pt>
                <c:pt idx="9">
                  <c:v>2248.875</c:v>
                </c:pt>
              </c:numCache>
            </c:numRef>
          </c:val>
        </c:ser>
        <c:ser>
          <c:idx val="1"/>
          <c:order val="1"/>
          <c:tx>
            <c:strRef>
              <c:f>Brand_Summary!$D$1</c:f>
              <c:strCache>
                <c:ptCount val="1"/>
                <c:pt idx="0">
                  <c:v>Avg Actual Price</c:v>
                </c:pt>
              </c:strCache>
            </c:strRef>
          </c:tx>
          <c:spPr>
            <a:solidFill>
              <a:srgbClr val="FF6B35"/>
            </a:solidFill>
            <a:ln w="0">
              <a:noFill/>
              <a:prstDash val="solid"/>
            </a:ln>
          </c:spPr>
          <c:invertIfNegative val="0"/>
          <c:dLbls>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Brand_Summary!$D$2:$D$11</c:f>
              <c:numCache>
                <c:formatCode>\₹#,##0</c:formatCode>
                <c:ptCount val="10"/>
                <c:pt idx="0">
                  <c:v>3268.4852941176468</c:v>
                </c:pt>
                <c:pt idx="1">
                  <c:v>18806.692307692309</c:v>
                </c:pt>
                <c:pt idx="2">
                  <c:v>2737.0263157894738</c:v>
                </c:pt>
                <c:pt idx="3">
                  <c:v>3602.9411764705883</c:v>
                </c:pt>
                <c:pt idx="4">
                  <c:v>1282.08</c:v>
                </c:pt>
                <c:pt idx="5">
                  <c:v>2481</c:v>
                </c:pt>
                <c:pt idx="6">
                  <c:v>21343.694444444445</c:v>
                </c:pt>
                <c:pt idx="7">
                  <c:v>1724.125</c:v>
                </c:pt>
                <c:pt idx="8">
                  <c:v>14013.285714285714</c:v>
                </c:pt>
                <c:pt idx="9">
                  <c:v>5165.291666666667</c:v>
                </c:pt>
              </c:numCache>
            </c:numRef>
          </c:val>
        </c:ser>
        <c:dLbls>
          <c:showLegendKey val="0"/>
          <c:showVal val="0"/>
          <c:showCatName val="0"/>
          <c:showSerName val="0"/>
          <c:showPercent val="0"/>
          <c:showBubbleSize val="0"/>
        </c:dLbls>
        <c:gapWidth val="150"/>
        <c:axId val="261563904"/>
        <c:axId val="261565824"/>
      </c:barChart>
      <c:catAx>
        <c:axId val="261563904"/>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Price (₹)</a:t>
                </a:r>
              </a:p>
            </c:rich>
          </c:tx>
          <c:layout/>
          <c:overlay val="0"/>
          <c:spPr>
            <a:noFill/>
            <a:ln w="0">
              <a:noFill/>
              <a:prstDash val="solid"/>
            </a:ln>
          </c:spPr>
        </c:title>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61565824"/>
        <c:crosses val="autoZero"/>
        <c:auto val="1"/>
        <c:lblAlgn val="ctr"/>
        <c:lblOffset val="100"/>
        <c:noMultiLvlLbl val="0"/>
      </c:catAx>
      <c:valAx>
        <c:axId val="261565824"/>
        <c:scaling>
          <c:orientation val="minMax"/>
        </c:scaling>
        <c:delete val="0"/>
        <c:axPos val="b"/>
        <c:majorGridlines>
          <c:spPr>
            <a:ln w="0">
              <a:solidFill>
                <a:srgbClr val="B3B3B3"/>
              </a:solidFill>
              <a:prstDash val="soli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Brand</a:t>
                </a:r>
              </a:p>
            </c:rich>
          </c:tx>
          <c:layout/>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61563904"/>
        <c:crosses val="autoZero"/>
        <c:crossBetween val="between"/>
      </c:valAx>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Price Profile by Brand (Radar)</a:t>
            </a:r>
          </a:p>
        </c:rich>
      </c:tx>
      <c:layout/>
      <c:overlay val="0"/>
      <c:spPr>
        <a:noFill/>
        <a:ln w="0">
          <a:noFill/>
          <a:prstDash val="solid"/>
        </a:ln>
      </c:spPr>
    </c:title>
    <c:autoTitleDeleted val="0"/>
    <c:plotArea>
      <c:layout/>
      <c:pieChart>
        <c:varyColors val="1"/>
        <c:ser>
          <c:idx val="0"/>
          <c:order val="0"/>
          <c:tx>
            <c:strRef>
              <c:f>Brand_Summary!$C$1</c:f>
              <c:strCache>
                <c:ptCount val="1"/>
                <c:pt idx="0">
                  <c:v>Avg Discounted Price</c:v>
                </c:pt>
              </c:strCache>
            </c:strRef>
          </c:tx>
          <c:spPr>
            <a:ln w="28440">
              <a:solidFill>
                <a:srgbClr val="2E86AB"/>
              </a:solidFill>
              <a:prstDash val="solid"/>
              <a:round/>
            </a:ln>
          </c:spPr>
          <c:explosion val="25"/>
          <c:dLbls>
            <c:txPr>
              <a:bodyPr wrap="square"/>
              <a:lstStyle/>
              <a:p>
                <a:pPr>
                  <a:defRPr sz="1000" b="0" strike="noStrike" spc="-1">
                    <a:solidFill>
                      <a:srgbClr val="000000"/>
                    </a:solidFill>
                    <a:latin typeface="Arial"/>
                  </a:defRPr>
                </a:pPr>
                <a:endParaRPr lang="en-US"/>
              </a:p>
            </c:txPr>
            <c:showLegendKey val="0"/>
            <c:showVal val="1"/>
            <c:showCatName val="0"/>
            <c:showSerName val="0"/>
            <c:showPercent val="0"/>
            <c:showBubbleSize val="0"/>
            <c:showLeaderLines val="1"/>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Brand_Summary!$C$2:$C$11</c:f>
              <c:numCache>
                <c:formatCode>\₹#,##0</c:formatCode>
                <c:ptCount val="10"/>
                <c:pt idx="0">
                  <c:v>1044.455588235294</c:v>
                </c:pt>
                <c:pt idx="1">
                  <c:v>13787.461538461539</c:v>
                </c:pt>
                <c:pt idx="2">
                  <c:v>1317.7852631578946</c:v>
                </c:pt>
                <c:pt idx="3">
                  <c:v>1389.5882352941176</c:v>
                </c:pt>
                <c:pt idx="4">
                  <c:v>514.6</c:v>
                </c:pt>
                <c:pt idx="5">
                  <c:v>1371</c:v>
                </c:pt>
                <c:pt idx="6">
                  <c:v>13779.138888888889</c:v>
                </c:pt>
                <c:pt idx="7">
                  <c:v>942.75</c:v>
                </c:pt>
                <c:pt idx="8">
                  <c:v>9492.1071428571431</c:v>
                </c:pt>
                <c:pt idx="9">
                  <c:v>2248.875</c:v>
                </c:pt>
              </c:numCache>
            </c:numRef>
          </c:val>
        </c:ser>
        <c:ser>
          <c:idx val="1"/>
          <c:order val="1"/>
          <c:tx>
            <c:strRef>
              <c:f>Brand_Summary!$D$1</c:f>
              <c:strCache>
                <c:ptCount val="1"/>
                <c:pt idx="0">
                  <c:v>Avg Actual Price</c:v>
                </c:pt>
              </c:strCache>
            </c:strRef>
          </c:tx>
          <c:spPr>
            <a:ln w="28440">
              <a:solidFill>
                <a:srgbClr val="FF6B35"/>
              </a:solidFill>
              <a:prstDash val="solid"/>
              <a:round/>
            </a:ln>
          </c:spPr>
          <c:explosion val="25"/>
          <c:dLbls>
            <c:txPr>
              <a:bodyPr wrap="square"/>
              <a:lstStyle/>
              <a:p>
                <a:pPr>
                  <a:defRPr sz="1000" b="0" strike="noStrike" spc="-1">
                    <a:solidFill>
                      <a:srgbClr val="000000"/>
                    </a:solidFill>
                    <a:latin typeface="Arial"/>
                  </a:defRPr>
                </a:pPr>
                <a:endParaRPr lang="en-US"/>
              </a:p>
            </c:txPr>
            <c:showLegendKey val="0"/>
            <c:showVal val="1"/>
            <c:showCatName val="0"/>
            <c:showSerName val="0"/>
            <c:showPercent val="0"/>
            <c:showBubbleSize val="0"/>
            <c:showLeaderLines val="1"/>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Brand_Summary!$D$2:$D$11</c:f>
              <c:numCache>
                <c:formatCode>\₹#,##0</c:formatCode>
                <c:ptCount val="10"/>
                <c:pt idx="0">
                  <c:v>3268.4852941176468</c:v>
                </c:pt>
                <c:pt idx="1">
                  <c:v>18806.692307692309</c:v>
                </c:pt>
                <c:pt idx="2">
                  <c:v>2737.0263157894738</c:v>
                </c:pt>
                <c:pt idx="3">
                  <c:v>3602.9411764705883</c:v>
                </c:pt>
                <c:pt idx="4">
                  <c:v>1282.08</c:v>
                </c:pt>
                <c:pt idx="5">
                  <c:v>2481</c:v>
                </c:pt>
                <c:pt idx="6">
                  <c:v>21343.694444444445</c:v>
                </c:pt>
                <c:pt idx="7">
                  <c:v>1724.125</c:v>
                </c:pt>
                <c:pt idx="8">
                  <c:v>14013.285714285714</c:v>
                </c:pt>
                <c:pt idx="9">
                  <c:v>5165.291666666667</c:v>
                </c:pt>
              </c:numCache>
            </c:numRef>
          </c:val>
        </c:ser>
        <c:dLbls>
          <c:showLegendKey val="0"/>
          <c:showVal val="0"/>
          <c:showCatName val="0"/>
          <c:showSerName val="0"/>
          <c:showPercent val="0"/>
          <c:showBubbleSize val="0"/>
          <c:showLeaderLines val="1"/>
        </c:dLbls>
        <c:firstSliceAng val="0"/>
      </c:pieChart>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Rating vs Discount % (All Products)</a:t>
            </a:r>
          </a:p>
        </c:rich>
      </c:tx>
      <c:layout/>
      <c:overlay val="0"/>
      <c:spPr>
        <a:noFill/>
        <a:ln w="0">
          <a:noFill/>
          <a:prstDash val="solid"/>
        </a:ln>
      </c:spPr>
    </c:title>
    <c:autoTitleDeleted val="0"/>
    <c:plotArea>
      <c:layout/>
      <c:scatterChart>
        <c:scatterStyle val="lineMarker"/>
        <c:varyColors val="0"/>
        <c:ser>
          <c:idx val="0"/>
          <c:order val="0"/>
          <c:tx>
            <c:v>Products</c:v>
          </c:tx>
          <c:spPr>
            <a:ln w="28440">
              <a:noFill/>
              <a:prstDash val="solid"/>
            </a:ln>
          </c:spPr>
          <c:marker>
            <c:symbol val="circle"/>
            <c:size val="4"/>
            <c:spPr>
              <a:solidFill>
                <a:srgbClr val="8AB17D"/>
              </a:solidFill>
              <a:ln>
                <a:prstDash val="solid"/>
              </a:ln>
            </c:spPr>
          </c:marker>
          <c:dLbls>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dLbls>
          <c:xVal>
            <c:numRef>
              <c:f>Clean_Data!$F$2:$F$1466</c:f>
              <c:numCache>
                <c:formatCode>0.0%</c:formatCode>
                <c:ptCount val="1465"/>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pt idx="49">
                  <c:v>0.5</c:v>
                </c:pt>
                <c:pt idx="50">
                  <c:v>0.45</c:v>
                </c:pt>
                <c:pt idx="51">
                  <c:v>0.64</c:v>
                </c:pt>
                <c:pt idx="52">
                  <c:v>0.62</c:v>
                </c:pt>
                <c:pt idx="53">
                  <c:v>0.46</c:v>
                </c:pt>
                <c:pt idx="54">
                  <c:v>0.43</c:v>
                </c:pt>
                <c:pt idx="55">
                  <c:v>0.54</c:v>
                </c:pt>
                <c:pt idx="56">
                  <c:v>0.54</c:v>
                </c:pt>
                <c:pt idx="57">
                  <c:v>0.27</c:v>
                </c:pt>
                <c:pt idx="58">
                  <c:v>0.77</c:v>
                </c:pt>
                <c:pt idx="59">
                  <c:v>0.56000000000000005</c:v>
                </c:pt>
                <c:pt idx="60">
                  <c:v>0.78</c:v>
                </c:pt>
                <c:pt idx="61">
                  <c:v>0.31</c:v>
                </c:pt>
                <c:pt idx="62">
                  <c:v>0.86</c:v>
                </c:pt>
                <c:pt idx="63">
                  <c:v>0.61</c:v>
                </c:pt>
                <c:pt idx="64">
                  <c:v>0.44</c:v>
                </c:pt>
                <c:pt idx="65">
                  <c:v>0.78</c:v>
                </c:pt>
                <c:pt idx="66">
                  <c:v>0.62</c:v>
                </c:pt>
                <c:pt idx="67">
                  <c:v>0.47</c:v>
                </c:pt>
                <c:pt idx="68">
                  <c:v>0.47</c:v>
                </c:pt>
                <c:pt idx="69">
                  <c:v>0.69</c:v>
                </c:pt>
                <c:pt idx="70">
                  <c:v>0.61</c:v>
                </c:pt>
                <c:pt idx="71">
                  <c:v>0.42</c:v>
                </c:pt>
                <c:pt idx="72">
                  <c:v>0.37</c:v>
                </c:pt>
                <c:pt idx="73">
                  <c:v>0.77</c:v>
                </c:pt>
                <c:pt idx="74">
                  <c:v>0.6</c:v>
                </c:pt>
                <c:pt idx="75">
                  <c:v>0.6</c:v>
                </c:pt>
                <c:pt idx="76">
                  <c:v>0.55000000000000004</c:v>
                </c:pt>
                <c:pt idx="77">
                  <c:v>0.65</c:v>
                </c:pt>
                <c:pt idx="78">
                  <c:v>0.57999999999999996</c:v>
                </c:pt>
                <c:pt idx="79">
                  <c:v>0.64</c:v>
                </c:pt>
                <c:pt idx="80">
                  <c:v>0.64</c:v>
                </c:pt>
                <c:pt idx="81">
                  <c:v>0.44</c:v>
                </c:pt>
                <c:pt idx="82">
                  <c:v>0.62</c:v>
                </c:pt>
                <c:pt idx="83">
                  <c:v>0.63</c:v>
                </c:pt>
                <c:pt idx="84">
                  <c:v>0.75</c:v>
                </c:pt>
                <c:pt idx="85">
                  <c:v>0.25</c:v>
                </c:pt>
                <c:pt idx="86">
                  <c:v>0.32</c:v>
                </c:pt>
                <c:pt idx="87">
                  <c:v>0.41</c:v>
                </c:pt>
                <c:pt idx="88">
                  <c:v>0.8</c:v>
                </c:pt>
                <c:pt idx="89">
                  <c:v>0.68</c:v>
                </c:pt>
                <c:pt idx="90">
                  <c:v>0.66</c:v>
                </c:pt>
                <c:pt idx="91">
                  <c:v>0.22</c:v>
                </c:pt>
                <c:pt idx="92">
                  <c:v>0.56999999999999995</c:v>
                </c:pt>
                <c:pt idx="93">
                  <c:v>0.8</c:v>
                </c:pt>
                <c:pt idx="94">
                  <c:v>0.54</c:v>
                </c:pt>
                <c:pt idx="95">
                  <c:v>0.17</c:v>
                </c:pt>
                <c:pt idx="96">
                  <c:v>0.69</c:v>
                </c:pt>
                <c:pt idx="97">
                  <c:v>0.65</c:v>
                </c:pt>
                <c:pt idx="98">
                  <c:v>0.42</c:v>
                </c:pt>
                <c:pt idx="99">
                  <c:v>0.52</c:v>
                </c:pt>
                <c:pt idx="100">
                  <c:v>0.77</c:v>
                </c:pt>
                <c:pt idx="101">
                  <c:v>0.53</c:v>
                </c:pt>
                <c:pt idx="102">
                  <c:v>0.67</c:v>
                </c:pt>
                <c:pt idx="103">
                  <c:v>0.27</c:v>
                </c:pt>
                <c:pt idx="104">
                  <c:v>0.65</c:v>
                </c:pt>
                <c:pt idx="105">
                  <c:v>0.6</c:v>
                </c:pt>
                <c:pt idx="106">
                  <c:v>0.65</c:v>
                </c:pt>
                <c:pt idx="107">
                  <c:v>0.7</c:v>
                </c:pt>
                <c:pt idx="108">
                  <c:v>0.42</c:v>
                </c:pt>
                <c:pt idx="109">
                  <c:v>0.88</c:v>
                </c:pt>
                <c:pt idx="110">
                  <c:v>0.63</c:v>
                </c:pt>
                <c:pt idx="111">
                  <c:v>0.73</c:v>
                </c:pt>
                <c:pt idx="112">
                  <c:v>0.33</c:v>
                </c:pt>
                <c:pt idx="113">
                  <c:v>0.6</c:v>
                </c:pt>
                <c:pt idx="114">
                  <c:v>0.8</c:v>
                </c:pt>
                <c:pt idx="115">
                  <c:v>0.47</c:v>
                </c:pt>
                <c:pt idx="116">
                  <c:v>0.35</c:v>
                </c:pt>
                <c:pt idx="117">
                  <c:v>0.65</c:v>
                </c:pt>
                <c:pt idx="118">
                  <c:v>0.85</c:v>
                </c:pt>
                <c:pt idx="119">
                  <c:v>0.75</c:v>
                </c:pt>
                <c:pt idx="120">
                  <c:v>0.2</c:v>
                </c:pt>
                <c:pt idx="121">
                  <c:v>0.63</c:v>
                </c:pt>
                <c:pt idx="122">
                  <c:v>0.47</c:v>
                </c:pt>
                <c:pt idx="123">
                  <c:v>0.53</c:v>
                </c:pt>
                <c:pt idx="124">
                  <c:v>0.27</c:v>
                </c:pt>
                <c:pt idx="125">
                  <c:v>0.53</c:v>
                </c:pt>
                <c:pt idx="126">
                  <c:v>0.62</c:v>
                </c:pt>
                <c:pt idx="127">
                  <c:v>0.64</c:v>
                </c:pt>
                <c:pt idx="128">
                  <c:v>0.42</c:v>
                </c:pt>
                <c:pt idx="129">
                  <c:v>0.59</c:v>
                </c:pt>
                <c:pt idx="130">
                  <c:v>0.31</c:v>
                </c:pt>
                <c:pt idx="131">
                  <c:v>0.6</c:v>
                </c:pt>
                <c:pt idx="132">
                  <c:v>0.73</c:v>
                </c:pt>
                <c:pt idx="133">
                  <c:v>0.4</c:v>
                </c:pt>
                <c:pt idx="134">
                  <c:v>0.54</c:v>
                </c:pt>
                <c:pt idx="135">
                  <c:v>0.38</c:v>
                </c:pt>
                <c:pt idx="136">
                  <c:v>0.73</c:v>
                </c:pt>
                <c:pt idx="137">
                  <c:v>0.57999999999999996</c:v>
                </c:pt>
                <c:pt idx="138">
                  <c:v>0</c:v>
                </c:pt>
                <c:pt idx="139">
                  <c:v>0.5</c:v>
                </c:pt>
                <c:pt idx="140">
                  <c:v>0.64</c:v>
                </c:pt>
                <c:pt idx="141">
                  <c:v>0.43</c:v>
                </c:pt>
                <c:pt idx="142">
                  <c:v>0.4</c:v>
                </c:pt>
                <c:pt idx="143">
                  <c:v>0.44</c:v>
                </c:pt>
                <c:pt idx="144">
                  <c:v>0.23</c:v>
                </c:pt>
                <c:pt idx="145">
                  <c:v>0.61</c:v>
                </c:pt>
                <c:pt idx="146">
                  <c:v>0.52</c:v>
                </c:pt>
                <c:pt idx="147">
                  <c:v>0.44</c:v>
                </c:pt>
                <c:pt idx="148">
                  <c:v>0.31</c:v>
                </c:pt>
                <c:pt idx="149">
                  <c:v>0.47</c:v>
                </c:pt>
                <c:pt idx="150">
                  <c:v>0.54</c:v>
                </c:pt>
                <c:pt idx="151">
                  <c:v>0.69</c:v>
                </c:pt>
                <c:pt idx="152">
                  <c:v>0.26</c:v>
                </c:pt>
                <c:pt idx="153">
                  <c:v>0.62</c:v>
                </c:pt>
                <c:pt idx="154">
                  <c:v>0.38</c:v>
                </c:pt>
                <c:pt idx="155">
                  <c:v>0.5</c:v>
                </c:pt>
                <c:pt idx="156">
                  <c:v>0.25</c:v>
                </c:pt>
                <c:pt idx="157">
                  <c:v>0.41</c:v>
                </c:pt>
                <c:pt idx="158">
                  <c:v>0.57999999999999996</c:v>
                </c:pt>
                <c:pt idx="159">
                  <c:v>0.56000000000000005</c:v>
                </c:pt>
                <c:pt idx="160">
                  <c:v>0.32</c:v>
                </c:pt>
                <c:pt idx="161">
                  <c:v>0.66</c:v>
                </c:pt>
                <c:pt idx="162">
                  <c:v>0.7</c:v>
                </c:pt>
                <c:pt idx="163">
                  <c:v>0.63</c:v>
                </c:pt>
                <c:pt idx="164">
                  <c:v>0.28999999999999998</c:v>
                </c:pt>
                <c:pt idx="165">
                  <c:v>0.75</c:v>
                </c:pt>
                <c:pt idx="166">
                  <c:v>0.69</c:v>
                </c:pt>
                <c:pt idx="167">
                  <c:v>0.83</c:v>
                </c:pt>
                <c:pt idx="168">
                  <c:v>0.46</c:v>
                </c:pt>
                <c:pt idx="169">
                  <c:v>0.38</c:v>
                </c:pt>
                <c:pt idx="170">
                  <c:v>0.44</c:v>
                </c:pt>
                <c:pt idx="171">
                  <c:v>0.31</c:v>
                </c:pt>
                <c:pt idx="172">
                  <c:v>0.63</c:v>
                </c:pt>
                <c:pt idx="173">
                  <c:v>0.67</c:v>
                </c:pt>
                <c:pt idx="174">
                  <c:v>0.8</c:v>
                </c:pt>
                <c:pt idx="175">
                  <c:v>0.6</c:v>
                </c:pt>
                <c:pt idx="176">
                  <c:v>0.71</c:v>
                </c:pt>
                <c:pt idx="177">
                  <c:v>0.64</c:v>
                </c:pt>
                <c:pt idx="178">
                  <c:v>0.71</c:v>
                </c:pt>
                <c:pt idx="179">
                  <c:v>0.6</c:v>
                </c:pt>
                <c:pt idx="180">
                  <c:v>0.59</c:v>
                </c:pt>
                <c:pt idx="181">
                  <c:v>0.56999999999999995</c:v>
                </c:pt>
                <c:pt idx="182">
                  <c:v>0.15</c:v>
                </c:pt>
                <c:pt idx="183">
                  <c:v>0.53</c:v>
                </c:pt>
                <c:pt idx="184">
                  <c:v>0.57999999999999996</c:v>
                </c:pt>
                <c:pt idx="185">
                  <c:v>0.38</c:v>
                </c:pt>
                <c:pt idx="186">
                  <c:v>0.53</c:v>
                </c:pt>
                <c:pt idx="187">
                  <c:v>0.66</c:v>
                </c:pt>
                <c:pt idx="188">
                  <c:v>0.53</c:v>
                </c:pt>
                <c:pt idx="189">
                  <c:v>0.76</c:v>
                </c:pt>
                <c:pt idx="190">
                  <c:v>0.48</c:v>
                </c:pt>
                <c:pt idx="191">
                  <c:v>0.65</c:v>
                </c:pt>
                <c:pt idx="192">
                  <c:v>0.32</c:v>
                </c:pt>
                <c:pt idx="193">
                  <c:v>0.75</c:v>
                </c:pt>
                <c:pt idx="194">
                  <c:v>0.47</c:v>
                </c:pt>
                <c:pt idx="195">
                  <c:v>0.75</c:v>
                </c:pt>
                <c:pt idx="196">
                  <c:v>0.48</c:v>
                </c:pt>
                <c:pt idx="197">
                  <c:v>0.31</c:v>
                </c:pt>
                <c:pt idx="198">
                  <c:v>0.41</c:v>
                </c:pt>
                <c:pt idx="199">
                  <c:v>0.55000000000000004</c:v>
                </c:pt>
                <c:pt idx="200">
                  <c:v>0.82</c:v>
                </c:pt>
                <c:pt idx="201">
                  <c:v>0.63</c:v>
                </c:pt>
                <c:pt idx="202">
                  <c:v>0.66</c:v>
                </c:pt>
                <c:pt idx="203">
                  <c:v>0.65</c:v>
                </c:pt>
                <c:pt idx="204">
                  <c:v>0.22</c:v>
                </c:pt>
                <c:pt idx="205">
                  <c:v>0.25</c:v>
                </c:pt>
                <c:pt idx="206">
                  <c:v>0.63</c:v>
                </c:pt>
                <c:pt idx="207">
                  <c:v>0.42</c:v>
                </c:pt>
                <c:pt idx="208">
                  <c:v>0.75</c:v>
                </c:pt>
                <c:pt idx="209">
                  <c:v>0.66</c:v>
                </c:pt>
                <c:pt idx="210">
                  <c:v>0.35</c:v>
                </c:pt>
                <c:pt idx="211">
                  <c:v>0.61</c:v>
                </c:pt>
                <c:pt idx="212">
                  <c:v>0.63</c:v>
                </c:pt>
                <c:pt idx="213">
                  <c:v>0.6</c:v>
                </c:pt>
                <c:pt idx="214">
                  <c:v>0.7</c:v>
                </c:pt>
                <c:pt idx="215">
                  <c:v>0.59</c:v>
                </c:pt>
                <c:pt idx="216">
                  <c:v>0.28000000000000003</c:v>
                </c:pt>
                <c:pt idx="217">
                  <c:v>0.83</c:v>
                </c:pt>
                <c:pt idx="218">
                  <c:v>0.65</c:v>
                </c:pt>
                <c:pt idx="219">
                  <c:v>0.43</c:v>
                </c:pt>
                <c:pt idx="220">
                  <c:v>0.68</c:v>
                </c:pt>
                <c:pt idx="221">
                  <c:v>0.67</c:v>
                </c:pt>
                <c:pt idx="222">
                  <c:v>0.5</c:v>
                </c:pt>
                <c:pt idx="223">
                  <c:v>0.5</c:v>
                </c:pt>
                <c:pt idx="224">
                  <c:v>0.46</c:v>
                </c:pt>
                <c:pt idx="225">
                  <c:v>0.56999999999999995</c:v>
                </c:pt>
                <c:pt idx="226">
                  <c:v>0.57999999999999996</c:v>
                </c:pt>
                <c:pt idx="227">
                  <c:v>0.88</c:v>
                </c:pt>
                <c:pt idx="228">
                  <c:v>0.54</c:v>
                </c:pt>
                <c:pt idx="229">
                  <c:v>0.73</c:v>
                </c:pt>
                <c:pt idx="230">
                  <c:v>0.55000000000000004</c:v>
                </c:pt>
                <c:pt idx="231">
                  <c:v>0.36</c:v>
                </c:pt>
                <c:pt idx="232">
                  <c:v>0.42</c:v>
                </c:pt>
                <c:pt idx="233">
                  <c:v>0.75</c:v>
                </c:pt>
                <c:pt idx="234">
                  <c:v>0.77</c:v>
                </c:pt>
                <c:pt idx="235">
                  <c:v>0.28999999999999998</c:v>
                </c:pt>
                <c:pt idx="236">
                  <c:v>0.56000000000000005</c:v>
                </c:pt>
                <c:pt idx="237">
                  <c:v>0.59</c:v>
                </c:pt>
                <c:pt idx="238">
                  <c:v>0.68</c:v>
                </c:pt>
                <c:pt idx="239">
                  <c:v>0.5</c:v>
                </c:pt>
                <c:pt idx="240">
                  <c:v>0.55000000000000004</c:v>
                </c:pt>
                <c:pt idx="241">
                  <c:v>0.66</c:v>
                </c:pt>
                <c:pt idx="242">
                  <c:v>0.6</c:v>
                </c:pt>
                <c:pt idx="243">
                  <c:v>0.5</c:v>
                </c:pt>
                <c:pt idx="244">
                  <c:v>0.83</c:v>
                </c:pt>
                <c:pt idx="245">
                  <c:v>0.63</c:v>
                </c:pt>
                <c:pt idx="246">
                  <c:v>0.89</c:v>
                </c:pt>
                <c:pt idx="247">
                  <c:v>0.45</c:v>
                </c:pt>
                <c:pt idx="248">
                  <c:v>0.87</c:v>
                </c:pt>
                <c:pt idx="249">
                  <c:v>0.44</c:v>
                </c:pt>
                <c:pt idx="250">
                  <c:v>0.56000000000000005</c:v>
                </c:pt>
                <c:pt idx="251">
                  <c:v>0.44</c:v>
                </c:pt>
                <c:pt idx="252">
                  <c:v>0.63</c:v>
                </c:pt>
                <c:pt idx="253">
                  <c:v>0.7</c:v>
                </c:pt>
                <c:pt idx="254">
                  <c:v>0.76</c:v>
                </c:pt>
                <c:pt idx="255">
                  <c:v>0.35</c:v>
                </c:pt>
                <c:pt idx="256">
                  <c:v>0.42</c:v>
                </c:pt>
                <c:pt idx="257">
                  <c:v>0.7</c:v>
                </c:pt>
                <c:pt idx="258">
                  <c:v>0.63</c:v>
                </c:pt>
                <c:pt idx="259">
                  <c:v>0.61</c:v>
                </c:pt>
                <c:pt idx="260">
                  <c:v>0.56999999999999995</c:v>
                </c:pt>
                <c:pt idx="261">
                  <c:v>0.7</c:v>
                </c:pt>
                <c:pt idx="262">
                  <c:v>0.35</c:v>
                </c:pt>
                <c:pt idx="263">
                  <c:v>0.6</c:v>
                </c:pt>
                <c:pt idx="264">
                  <c:v>0</c:v>
                </c:pt>
                <c:pt idx="265">
                  <c:v>0.24</c:v>
                </c:pt>
                <c:pt idx="266">
                  <c:v>0.8</c:v>
                </c:pt>
                <c:pt idx="267">
                  <c:v>0.59</c:v>
                </c:pt>
                <c:pt idx="268">
                  <c:v>0.36</c:v>
                </c:pt>
                <c:pt idx="269">
                  <c:v>0.43</c:v>
                </c:pt>
                <c:pt idx="270">
                  <c:v>0.28000000000000003</c:v>
                </c:pt>
                <c:pt idx="271">
                  <c:v>0.65</c:v>
                </c:pt>
                <c:pt idx="272">
                  <c:v>0.52</c:v>
                </c:pt>
                <c:pt idx="273">
                  <c:v>0.53</c:v>
                </c:pt>
                <c:pt idx="274">
                  <c:v>0.6</c:v>
                </c:pt>
                <c:pt idx="275">
                  <c:v>0.6</c:v>
                </c:pt>
                <c:pt idx="276">
                  <c:v>0.34</c:v>
                </c:pt>
                <c:pt idx="277">
                  <c:v>0.6</c:v>
                </c:pt>
                <c:pt idx="278">
                  <c:v>0.27</c:v>
                </c:pt>
                <c:pt idx="279">
                  <c:v>0.5</c:v>
                </c:pt>
                <c:pt idx="280">
                  <c:v>0.37</c:v>
                </c:pt>
                <c:pt idx="281">
                  <c:v>0.38</c:v>
                </c:pt>
                <c:pt idx="282">
                  <c:v>0.8</c:v>
                </c:pt>
                <c:pt idx="283">
                  <c:v>0.4</c:v>
                </c:pt>
                <c:pt idx="284">
                  <c:v>0.56999999999999995</c:v>
                </c:pt>
                <c:pt idx="285">
                  <c:v>0.88</c:v>
                </c:pt>
                <c:pt idx="286">
                  <c:v>0.46</c:v>
                </c:pt>
                <c:pt idx="287">
                  <c:v>0.75</c:v>
                </c:pt>
                <c:pt idx="288">
                  <c:v>0.5</c:v>
                </c:pt>
                <c:pt idx="289">
                  <c:v>0.59</c:v>
                </c:pt>
                <c:pt idx="290">
                  <c:v>0.48</c:v>
                </c:pt>
                <c:pt idx="291">
                  <c:v>0.59</c:v>
                </c:pt>
                <c:pt idx="292">
                  <c:v>0.4</c:v>
                </c:pt>
                <c:pt idx="293">
                  <c:v>0.7</c:v>
                </c:pt>
                <c:pt idx="294">
                  <c:v>0.61</c:v>
                </c:pt>
                <c:pt idx="295">
                  <c:v>0.41</c:v>
                </c:pt>
                <c:pt idx="296">
                  <c:v>0.5</c:v>
                </c:pt>
                <c:pt idx="297">
                  <c:v>0.5</c:v>
                </c:pt>
                <c:pt idx="298">
                  <c:v>0.59</c:v>
                </c:pt>
                <c:pt idx="299">
                  <c:v>0.52</c:v>
                </c:pt>
                <c:pt idx="300">
                  <c:v>0.71</c:v>
                </c:pt>
                <c:pt idx="301">
                  <c:v>0.62</c:v>
                </c:pt>
                <c:pt idx="302">
                  <c:v>0.63</c:v>
                </c:pt>
                <c:pt idx="303">
                  <c:v>0.78</c:v>
                </c:pt>
                <c:pt idx="304">
                  <c:v>0.8</c:v>
                </c:pt>
                <c:pt idx="305">
                  <c:v>0.45</c:v>
                </c:pt>
                <c:pt idx="306">
                  <c:v>0.37</c:v>
                </c:pt>
                <c:pt idx="307">
                  <c:v>0.15</c:v>
                </c:pt>
                <c:pt idx="308">
                  <c:v>0.45</c:v>
                </c:pt>
                <c:pt idx="309">
                  <c:v>0.66</c:v>
                </c:pt>
                <c:pt idx="310">
                  <c:v>0.35</c:v>
                </c:pt>
                <c:pt idx="311">
                  <c:v>0.63</c:v>
                </c:pt>
                <c:pt idx="312">
                  <c:v>0.23</c:v>
                </c:pt>
                <c:pt idx="313">
                  <c:v>0.78</c:v>
                </c:pt>
                <c:pt idx="314">
                  <c:v>0.61</c:v>
                </c:pt>
                <c:pt idx="315">
                  <c:v>0.59</c:v>
                </c:pt>
                <c:pt idx="316">
                  <c:v>0.63</c:v>
                </c:pt>
                <c:pt idx="317">
                  <c:v>0.38</c:v>
                </c:pt>
                <c:pt idx="318">
                  <c:v>0.54</c:v>
                </c:pt>
                <c:pt idx="319">
                  <c:v>0.6</c:v>
                </c:pt>
                <c:pt idx="320">
                  <c:v>0.5</c:v>
                </c:pt>
                <c:pt idx="321">
                  <c:v>0</c:v>
                </c:pt>
                <c:pt idx="322">
                  <c:v>0.56999999999999995</c:v>
                </c:pt>
                <c:pt idx="323">
                  <c:v>0.52</c:v>
                </c:pt>
                <c:pt idx="324">
                  <c:v>0.75</c:v>
                </c:pt>
                <c:pt idx="325">
                  <c:v>0.11</c:v>
                </c:pt>
                <c:pt idx="326">
                  <c:v>0.51</c:v>
                </c:pt>
                <c:pt idx="327">
                  <c:v>0.46</c:v>
                </c:pt>
                <c:pt idx="328">
                  <c:v>0.65</c:v>
                </c:pt>
                <c:pt idx="329">
                  <c:v>0.61</c:v>
                </c:pt>
                <c:pt idx="330">
                  <c:v>0.48</c:v>
                </c:pt>
                <c:pt idx="331">
                  <c:v>0.2</c:v>
                </c:pt>
                <c:pt idx="332">
                  <c:v>0.33</c:v>
                </c:pt>
                <c:pt idx="333">
                  <c:v>0.63</c:v>
                </c:pt>
                <c:pt idx="334">
                  <c:v>0.91</c:v>
                </c:pt>
                <c:pt idx="335">
                  <c:v>0.8</c:v>
                </c:pt>
                <c:pt idx="336">
                  <c:v>0.75</c:v>
                </c:pt>
                <c:pt idx="337">
                  <c:v>7.0000000000000007E-2</c:v>
                </c:pt>
                <c:pt idx="338">
                  <c:v>0.28000000000000003</c:v>
                </c:pt>
                <c:pt idx="339">
                  <c:v>0</c:v>
                </c:pt>
                <c:pt idx="340">
                  <c:v>0</c:v>
                </c:pt>
                <c:pt idx="341">
                  <c:v>0.28000000000000003</c:v>
                </c:pt>
                <c:pt idx="342">
                  <c:v>0.28000000000000003</c:v>
                </c:pt>
                <c:pt idx="343">
                  <c:v>0.43</c:v>
                </c:pt>
                <c:pt idx="344">
                  <c:v>0.62</c:v>
                </c:pt>
                <c:pt idx="345">
                  <c:v>0.19</c:v>
                </c:pt>
                <c:pt idx="346">
                  <c:v>0.79</c:v>
                </c:pt>
                <c:pt idx="347">
                  <c:v>0.4</c:v>
                </c:pt>
                <c:pt idx="348">
                  <c:v>0.21</c:v>
                </c:pt>
                <c:pt idx="349">
                  <c:v>0.76</c:v>
                </c:pt>
                <c:pt idx="350">
                  <c:v>0.25</c:v>
                </c:pt>
                <c:pt idx="351">
                  <c:v>0.73</c:v>
                </c:pt>
                <c:pt idx="352">
                  <c:v>0.65</c:v>
                </c:pt>
                <c:pt idx="353">
                  <c:v>0.47</c:v>
                </c:pt>
                <c:pt idx="354">
                  <c:v>0.21</c:v>
                </c:pt>
                <c:pt idx="355">
                  <c:v>0.4</c:v>
                </c:pt>
                <c:pt idx="356">
                  <c:v>0.48</c:v>
                </c:pt>
                <c:pt idx="357">
                  <c:v>0.65</c:v>
                </c:pt>
                <c:pt idx="358">
                  <c:v>0.28000000000000003</c:v>
                </c:pt>
                <c:pt idx="359">
                  <c:v>0.6</c:v>
                </c:pt>
                <c:pt idx="360">
                  <c:v>0.81</c:v>
                </c:pt>
                <c:pt idx="361">
                  <c:v>0.28999999999999998</c:v>
                </c:pt>
                <c:pt idx="362">
                  <c:v>0.47</c:v>
                </c:pt>
                <c:pt idx="363">
                  <c:v>0.28000000000000003</c:v>
                </c:pt>
                <c:pt idx="364">
                  <c:v>0.91</c:v>
                </c:pt>
                <c:pt idx="365">
                  <c:v>0.78</c:v>
                </c:pt>
                <c:pt idx="366">
                  <c:v>0.32</c:v>
                </c:pt>
                <c:pt idx="367">
                  <c:v>0.21</c:v>
                </c:pt>
                <c:pt idx="368">
                  <c:v>0.91</c:v>
                </c:pt>
                <c:pt idx="369">
                  <c:v>0.64</c:v>
                </c:pt>
                <c:pt idx="370">
                  <c:v>0.23</c:v>
                </c:pt>
                <c:pt idx="371">
                  <c:v>0.24</c:v>
                </c:pt>
                <c:pt idx="372">
                  <c:v>0.91</c:v>
                </c:pt>
                <c:pt idx="373">
                  <c:v>0.25</c:v>
                </c:pt>
                <c:pt idx="374">
                  <c:v>0.72</c:v>
                </c:pt>
                <c:pt idx="375">
                  <c:v>0.76</c:v>
                </c:pt>
                <c:pt idx="376">
                  <c:v>0.5</c:v>
                </c:pt>
                <c:pt idx="377">
                  <c:v>0.43</c:v>
                </c:pt>
                <c:pt idx="378">
                  <c:v>0.18</c:v>
                </c:pt>
                <c:pt idx="379">
                  <c:v>0.8</c:v>
                </c:pt>
                <c:pt idx="380">
                  <c:v>0.91</c:v>
                </c:pt>
                <c:pt idx="381">
                  <c:v>0.25</c:v>
                </c:pt>
                <c:pt idx="382">
                  <c:v>0.49</c:v>
                </c:pt>
                <c:pt idx="383">
                  <c:v>0.19</c:v>
                </c:pt>
                <c:pt idx="384">
                  <c:v>0.66</c:v>
                </c:pt>
                <c:pt idx="385">
                  <c:v>0.8</c:v>
                </c:pt>
                <c:pt idx="386">
                  <c:v>0.26</c:v>
                </c:pt>
                <c:pt idx="387">
                  <c:v>0.2</c:v>
                </c:pt>
                <c:pt idx="388">
                  <c:v>0.37</c:v>
                </c:pt>
                <c:pt idx="389">
                  <c:v>0.43</c:v>
                </c:pt>
                <c:pt idx="390">
                  <c:v>0.5</c:v>
                </c:pt>
                <c:pt idx="391">
                  <c:v>0.75</c:v>
                </c:pt>
                <c:pt idx="392">
                  <c:v>0.53</c:v>
                </c:pt>
                <c:pt idx="393">
                  <c:v>0.61</c:v>
                </c:pt>
                <c:pt idx="394">
                  <c:v>0.17</c:v>
                </c:pt>
                <c:pt idx="395">
                  <c:v>0.71</c:v>
                </c:pt>
                <c:pt idx="396">
                  <c:v>0.8</c:v>
                </c:pt>
                <c:pt idx="397">
                  <c:v>0.71</c:v>
                </c:pt>
                <c:pt idx="398">
                  <c:v>0.65</c:v>
                </c:pt>
                <c:pt idx="399">
                  <c:v>0.28000000000000003</c:v>
                </c:pt>
                <c:pt idx="400">
                  <c:v>0.62</c:v>
                </c:pt>
                <c:pt idx="401">
                  <c:v>0.3</c:v>
                </c:pt>
                <c:pt idx="402">
                  <c:v>0.6</c:v>
                </c:pt>
                <c:pt idx="403">
                  <c:v>0.85</c:v>
                </c:pt>
                <c:pt idx="404">
                  <c:v>0.8</c:v>
                </c:pt>
                <c:pt idx="405">
                  <c:v>0.7</c:v>
                </c:pt>
                <c:pt idx="406">
                  <c:v>0</c:v>
                </c:pt>
                <c:pt idx="407">
                  <c:v>0.9</c:v>
                </c:pt>
                <c:pt idx="408">
                  <c:v>0.84</c:v>
                </c:pt>
                <c:pt idx="409">
                  <c:v>0.27</c:v>
                </c:pt>
                <c:pt idx="410">
                  <c:v>0.1</c:v>
                </c:pt>
                <c:pt idx="411">
                  <c:v>0.32</c:v>
                </c:pt>
                <c:pt idx="412">
                  <c:v>0.6</c:v>
                </c:pt>
                <c:pt idx="413">
                  <c:v>0.38</c:v>
                </c:pt>
                <c:pt idx="414">
                  <c:v>0.19</c:v>
                </c:pt>
                <c:pt idx="415">
                  <c:v>0.67</c:v>
                </c:pt>
                <c:pt idx="416">
                  <c:v>0.68</c:v>
                </c:pt>
                <c:pt idx="417">
                  <c:v>0.28000000000000003</c:v>
                </c:pt>
                <c:pt idx="418">
                  <c:v>0.65</c:v>
                </c:pt>
                <c:pt idx="419">
                  <c:v>0.27</c:v>
                </c:pt>
                <c:pt idx="420">
                  <c:v>0.62</c:v>
                </c:pt>
                <c:pt idx="421">
                  <c:v>0.75</c:v>
                </c:pt>
                <c:pt idx="422">
                  <c:v>0.23</c:v>
                </c:pt>
                <c:pt idx="423">
                  <c:v>0.33</c:v>
                </c:pt>
                <c:pt idx="424">
                  <c:v>0.35</c:v>
                </c:pt>
                <c:pt idx="425">
                  <c:v>0.28000000000000003</c:v>
                </c:pt>
                <c:pt idx="426">
                  <c:v>0.6</c:v>
                </c:pt>
                <c:pt idx="427">
                  <c:v>0.28000000000000003</c:v>
                </c:pt>
                <c:pt idx="428">
                  <c:v>0.55000000000000004</c:v>
                </c:pt>
                <c:pt idx="429">
                  <c:v>0.22</c:v>
                </c:pt>
                <c:pt idx="430">
                  <c:v>0.62</c:v>
                </c:pt>
                <c:pt idx="431">
                  <c:v>0.42</c:v>
                </c:pt>
                <c:pt idx="432">
                  <c:v>0.76</c:v>
                </c:pt>
                <c:pt idx="433">
                  <c:v>0.77</c:v>
                </c:pt>
                <c:pt idx="434">
                  <c:v>0.26</c:v>
                </c:pt>
                <c:pt idx="435">
                  <c:v>0.18</c:v>
                </c:pt>
                <c:pt idx="436">
                  <c:v>0.21</c:v>
                </c:pt>
                <c:pt idx="437">
                  <c:v>0.6</c:v>
                </c:pt>
                <c:pt idx="438">
                  <c:v>0.81</c:v>
                </c:pt>
                <c:pt idx="439">
                  <c:v>0.06</c:v>
                </c:pt>
                <c:pt idx="440">
                  <c:v>0.48</c:v>
                </c:pt>
                <c:pt idx="441">
                  <c:v>0.22</c:v>
                </c:pt>
                <c:pt idx="442">
                  <c:v>0.3</c:v>
                </c:pt>
                <c:pt idx="443">
                  <c:v>0.63</c:v>
                </c:pt>
                <c:pt idx="444">
                  <c:v>0.38</c:v>
                </c:pt>
                <c:pt idx="445">
                  <c:v>0.28000000000000003</c:v>
                </c:pt>
                <c:pt idx="446">
                  <c:v>0.26</c:v>
                </c:pt>
                <c:pt idx="447">
                  <c:v>0.66</c:v>
                </c:pt>
                <c:pt idx="448">
                  <c:v>0.68</c:v>
                </c:pt>
                <c:pt idx="449">
                  <c:v>0.22</c:v>
                </c:pt>
                <c:pt idx="450">
                  <c:v>0.3</c:v>
                </c:pt>
                <c:pt idx="451">
                  <c:v>0.5</c:v>
                </c:pt>
                <c:pt idx="452">
                  <c:v>0.22</c:v>
                </c:pt>
                <c:pt idx="453">
                  <c:v>0.18</c:v>
                </c:pt>
                <c:pt idx="454">
                  <c:v>0.61</c:v>
                </c:pt>
                <c:pt idx="455">
                  <c:v>0.14000000000000001</c:v>
                </c:pt>
                <c:pt idx="456">
                  <c:v>0.6</c:v>
                </c:pt>
                <c:pt idx="457">
                  <c:v>0.79</c:v>
                </c:pt>
                <c:pt idx="458">
                  <c:v>0.75</c:v>
                </c:pt>
                <c:pt idx="459">
                  <c:v>0.66</c:v>
                </c:pt>
                <c:pt idx="460">
                  <c:v>0.65</c:v>
                </c:pt>
                <c:pt idx="461">
                  <c:v>0.52</c:v>
                </c:pt>
                <c:pt idx="462">
                  <c:v>0.62</c:v>
                </c:pt>
                <c:pt idx="463">
                  <c:v>0.78</c:v>
                </c:pt>
                <c:pt idx="464">
                  <c:v>0.13</c:v>
                </c:pt>
                <c:pt idx="465">
                  <c:v>0.21</c:v>
                </c:pt>
                <c:pt idx="466">
                  <c:v>0</c:v>
                </c:pt>
                <c:pt idx="467">
                  <c:v>0.46</c:v>
                </c:pt>
                <c:pt idx="468">
                  <c:v>0.66</c:v>
                </c:pt>
                <c:pt idx="469">
                  <c:v>0.22</c:v>
                </c:pt>
                <c:pt idx="470">
                  <c:v>0.38</c:v>
                </c:pt>
                <c:pt idx="471">
                  <c:v>0.75</c:v>
                </c:pt>
                <c:pt idx="472">
                  <c:v>0.6</c:v>
                </c:pt>
                <c:pt idx="473">
                  <c:v>0.19</c:v>
                </c:pt>
                <c:pt idx="474">
                  <c:v>0.7</c:v>
                </c:pt>
                <c:pt idx="475">
                  <c:v>0.81</c:v>
                </c:pt>
                <c:pt idx="476">
                  <c:v>0.82</c:v>
                </c:pt>
                <c:pt idx="477">
                  <c:v>0.33</c:v>
                </c:pt>
                <c:pt idx="478">
                  <c:v>0.7</c:v>
                </c:pt>
                <c:pt idx="479">
                  <c:v>0.54</c:v>
                </c:pt>
                <c:pt idx="480">
                  <c:v>0.65</c:v>
                </c:pt>
                <c:pt idx="481">
                  <c:v>0.28000000000000003</c:v>
                </c:pt>
                <c:pt idx="482">
                  <c:v>0.65</c:v>
                </c:pt>
                <c:pt idx="483">
                  <c:v>0.17</c:v>
                </c:pt>
                <c:pt idx="484">
                  <c:v>0.78</c:v>
                </c:pt>
                <c:pt idx="485">
                  <c:v>0.81</c:v>
                </c:pt>
                <c:pt idx="486">
                  <c:v>0.44</c:v>
                </c:pt>
                <c:pt idx="487">
                  <c:v>0.44</c:v>
                </c:pt>
                <c:pt idx="488">
                  <c:v>0.85</c:v>
                </c:pt>
                <c:pt idx="489">
                  <c:v>0.26</c:v>
                </c:pt>
                <c:pt idx="490">
                  <c:v>0.13</c:v>
                </c:pt>
                <c:pt idx="491">
                  <c:v>0.6</c:v>
                </c:pt>
                <c:pt idx="492">
                  <c:v>0.77</c:v>
                </c:pt>
                <c:pt idx="493">
                  <c:v>0.4</c:v>
                </c:pt>
                <c:pt idx="494">
                  <c:v>0.82</c:v>
                </c:pt>
                <c:pt idx="495">
                  <c:v>0.74</c:v>
                </c:pt>
                <c:pt idx="496">
                  <c:v>0.79</c:v>
                </c:pt>
                <c:pt idx="497">
                  <c:v>0.3</c:v>
                </c:pt>
                <c:pt idx="498">
                  <c:v>0.04</c:v>
                </c:pt>
                <c:pt idx="499">
                  <c:v>0.19</c:v>
                </c:pt>
                <c:pt idx="500">
                  <c:v>0.28999999999999998</c:v>
                </c:pt>
                <c:pt idx="501">
                  <c:v>0.32</c:v>
                </c:pt>
                <c:pt idx="502">
                  <c:v>0.5</c:v>
                </c:pt>
                <c:pt idx="503">
                  <c:v>0.7</c:v>
                </c:pt>
                <c:pt idx="504">
                  <c:v>0.51</c:v>
                </c:pt>
                <c:pt idx="505">
                  <c:v>0.67</c:v>
                </c:pt>
                <c:pt idx="506">
                  <c:v>0.78</c:v>
                </c:pt>
                <c:pt idx="507">
                  <c:v>0.43</c:v>
                </c:pt>
                <c:pt idx="508">
                  <c:v>0.8</c:v>
                </c:pt>
                <c:pt idx="509">
                  <c:v>0.32</c:v>
                </c:pt>
                <c:pt idx="510">
                  <c:v>0.7</c:v>
                </c:pt>
                <c:pt idx="511">
                  <c:v>0.19</c:v>
                </c:pt>
                <c:pt idx="512">
                  <c:v>0.76</c:v>
                </c:pt>
                <c:pt idx="513">
                  <c:v>0.28999999999999998</c:v>
                </c:pt>
                <c:pt idx="514">
                  <c:v>0.85</c:v>
                </c:pt>
                <c:pt idx="515">
                  <c:v>0.57999999999999996</c:v>
                </c:pt>
                <c:pt idx="516">
                  <c:v>0.14000000000000001</c:v>
                </c:pt>
                <c:pt idx="517">
                  <c:v>0.85</c:v>
                </c:pt>
                <c:pt idx="518">
                  <c:v>0.53</c:v>
                </c:pt>
                <c:pt idx="519">
                  <c:v>0.57999999999999996</c:v>
                </c:pt>
                <c:pt idx="520">
                  <c:v>0.75</c:v>
                </c:pt>
                <c:pt idx="521">
                  <c:v>0.84</c:v>
                </c:pt>
                <c:pt idx="522">
                  <c:v>0.13</c:v>
                </c:pt>
                <c:pt idx="523">
                  <c:v>0.05</c:v>
                </c:pt>
                <c:pt idx="524">
                  <c:v>0.8</c:v>
                </c:pt>
                <c:pt idx="525">
                  <c:v>0.69</c:v>
                </c:pt>
                <c:pt idx="526">
                  <c:v>0.66</c:v>
                </c:pt>
                <c:pt idx="527">
                  <c:v>0.74</c:v>
                </c:pt>
                <c:pt idx="528">
                  <c:v>0.7</c:v>
                </c:pt>
                <c:pt idx="529">
                  <c:v>0.57999999999999996</c:v>
                </c:pt>
                <c:pt idx="530">
                  <c:v>0.35</c:v>
                </c:pt>
                <c:pt idx="531">
                  <c:v>0.46</c:v>
                </c:pt>
                <c:pt idx="532">
                  <c:v>0.19</c:v>
                </c:pt>
                <c:pt idx="533">
                  <c:v>0.1</c:v>
                </c:pt>
                <c:pt idx="534">
                  <c:v>0.13</c:v>
                </c:pt>
                <c:pt idx="535">
                  <c:v>0.56999999999999995</c:v>
                </c:pt>
                <c:pt idx="536">
                  <c:v>0.53</c:v>
                </c:pt>
                <c:pt idx="537">
                  <c:v>0.73</c:v>
                </c:pt>
                <c:pt idx="538">
                  <c:v>0.8</c:v>
                </c:pt>
                <c:pt idx="539">
                  <c:v>0</c:v>
                </c:pt>
                <c:pt idx="540">
                  <c:v>0.62</c:v>
                </c:pt>
                <c:pt idx="541">
                  <c:v>0.28000000000000003</c:v>
                </c:pt>
                <c:pt idx="542">
                  <c:v>0.9</c:v>
                </c:pt>
                <c:pt idx="543">
                  <c:v>0.27</c:v>
                </c:pt>
                <c:pt idx="544">
                  <c:v>0.25</c:v>
                </c:pt>
                <c:pt idx="545">
                  <c:v>0.86</c:v>
                </c:pt>
                <c:pt idx="546">
                  <c:v>0.33</c:v>
                </c:pt>
                <c:pt idx="547">
                  <c:v>0.75</c:v>
                </c:pt>
                <c:pt idx="548">
                  <c:v>0.5</c:v>
                </c:pt>
                <c:pt idx="549">
                  <c:v>0.74</c:v>
                </c:pt>
                <c:pt idx="550">
                  <c:v>0.74</c:v>
                </c:pt>
                <c:pt idx="551">
                  <c:v>0.54</c:v>
                </c:pt>
                <c:pt idx="552">
                  <c:v>0.88</c:v>
                </c:pt>
                <c:pt idx="553">
                  <c:v>0.43</c:v>
                </c:pt>
                <c:pt idx="554">
                  <c:v>0.32</c:v>
                </c:pt>
                <c:pt idx="555">
                  <c:v>0.38</c:v>
                </c:pt>
                <c:pt idx="556">
                  <c:v>0.42</c:v>
                </c:pt>
                <c:pt idx="557">
                  <c:v>0.9</c:v>
                </c:pt>
                <c:pt idx="558">
                  <c:v>0.21</c:v>
                </c:pt>
                <c:pt idx="559">
                  <c:v>0.81</c:v>
                </c:pt>
                <c:pt idx="560">
                  <c:v>0.16</c:v>
                </c:pt>
                <c:pt idx="561">
                  <c:v>0.75</c:v>
                </c:pt>
                <c:pt idx="562">
                  <c:v>0.69</c:v>
                </c:pt>
                <c:pt idx="563">
                  <c:v>0.74</c:v>
                </c:pt>
                <c:pt idx="564">
                  <c:v>0.77</c:v>
                </c:pt>
                <c:pt idx="565">
                  <c:v>0.6</c:v>
                </c:pt>
                <c:pt idx="566">
                  <c:v>0.21</c:v>
                </c:pt>
                <c:pt idx="567">
                  <c:v>0.73</c:v>
                </c:pt>
                <c:pt idx="568">
                  <c:v>0.49</c:v>
                </c:pt>
                <c:pt idx="569">
                  <c:v>0.6</c:v>
                </c:pt>
                <c:pt idx="570">
                  <c:v>0.55000000000000004</c:v>
                </c:pt>
                <c:pt idx="571">
                  <c:v>0.55000000000000004</c:v>
                </c:pt>
                <c:pt idx="572">
                  <c:v>0.28999999999999998</c:v>
                </c:pt>
                <c:pt idx="573">
                  <c:v>0.5</c:v>
                </c:pt>
                <c:pt idx="574">
                  <c:v>0.78</c:v>
                </c:pt>
                <c:pt idx="575">
                  <c:v>0.56000000000000005</c:v>
                </c:pt>
                <c:pt idx="576">
                  <c:v>0.56999999999999995</c:v>
                </c:pt>
                <c:pt idx="577">
                  <c:v>0.17</c:v>
                </c:pt>
                <c:pt idx="578">
                  <c:v>0.82</c:v>
                </c:pt>
                <c:pt idx="579">
                  <c:v>0.75</c:v>
                </c:pt>
                <c:pt idx="580">
                  <c:v>0.79</c:v>
                </c:pt>
                <c:pt idx="581">
                  <c:v>0.28000000000000003</c:v>
                </c:pt>
                <c:pt idx="582">
                  <c:v>0.72</c:v>
                </c:pt>
                <c:pt idx="583">
                  <c:v>0.63</c:v>
                </c:pt>
                <c:pt idx="584">
                  <c:v>0.63</c:v>
                </c:pt>
                <c:pt idx="585">
                  <c:v>0.67</c:v>
                </c:pt>
                <c:pt idx="586">
                  <c:v>0.8</c:v>
                </c:pt>
                <c:pt idx="587">
                  <c:v>0.77</c:v>
                </c:pt>
                <c:pt idx="588">
                  <c:v>0.56000000000000005</c:v>
                </c:pt>
                <c:pt idx="589">
                  <c:v>0.33</c:v>
                </c:pt>
                <c:pt idx="590">
                  <c:v>0.08</c:v>
                </c:pt>
                <c:pt idx="591">
                  <c:v>0.56999999999999995</c:v>
                </c:pt>
                <c:pt idx="592">
                  <c:v>0.62</c:v>
                </c:pt>
                <c:pt idx="593">
                  <c:v>0.43</c:v>
                </c:pt>
                <c:pt idx="594">
                  <c:v>0.6</c:v>
                </c:pt>
                <c:pt idx="595">
                  <c:v>0.65</c:v>
                </c:pt>
                <c:pt idx="596">
                  <c:v>0.77</c:v>
                </c:pt>
                <c:pt idx="597">
                  <c:v>0.63</c:v>
                </c:pt>
                <c:pt idx="598">
                  <c:v>0.4</c:v>
                </c:pt>
                <c:pt idx="599">
                  <c:v>0.69</c:v>
                </c:pt>
                <c:pt idx="600">
                  <c:v>0.79</c:v>
                </c:pt>
                <c:pt idx="601">
                  <c:v>0.5</c:v>
                </c:pt>
                <c:pt idx="602">
                  <c:v>0.9</c:v>
                </c:pt>
                <c:pt idx="603">
                  <c:v>0.73</c:v>
                </c:pt>
                <c:pt idx="604">
                  <c:v>0.68</c:v>
                </c:pt>
                <c:pt idx="605">
                  <c:v>0.59</c:v>
                </c:pt>
                <c:pt idx="606">
                  <c:v>0.5</c:v>
                </c:pt>
                <c:pt idx="607">
                  <c:v>0.6</c:v>
                </c:pt>
                <c:pt idx="608">
                  <c:v>0.81</c:v>
                </c:pt>
                <c:pt idx="609">
                  <c:v>0.67</c:v>
                </c:pt>
                <c:pt idx="610">
                  <c:v>0.69</c:v>
                </c:pt>
                <c:pt idx="611">
                  <c:v>0.78</c:v>
                </c:pt>
                <c:pt idx="612">
                  <c:v>0.54</c:v>
                </c:pt>
                <c:pt idx="613">
                  <c:v>0.6</c:v>
                </c:pt>
                <c:pt idx="614">
                  <c:v>0.64</c:v>
                </c:pt>
                <c:pt idx="615">
                  <c:v>0.16</c:v>
                </c:pt>
                <c:pt idx="616">
                  <c:v>0</c:v>
                </c:pt>
                <c:pt idx="617">
                  <c:v>0.21</c:v>
                </c:pt>
                <c:pt idx="618">
                  <c:v>0.65</c:v>
                </c:pt>
                <c:pt idx="619">
                  <c:v>0.76</c:v>
                </c:pt>
                <c:pt idx="620">
                  <c:v>0.69</c:v>
                </c:pt>
                <c:pt idx="621">
                  <c:v>0.44</c:v>
                </c:pt>
                <c:pt idx="622">
                  <c:v>0.43</c:v>
                </c:pt>
                <c:pt idx="623">
                  <c:v>0.8</c:v>
                </c:pt>
                <c:pt idx="624">
                  <c:v>0.5</c:v>
                </c:pt>
                <c:pt idx="625">
                  <c:v>0.18</c:v>
                </c:pt>
                <c:pt idx="626">
                  <c:v>0.75</c:v>
                </c:pt>
                <c:pt idx="627">
                  <c:v>0.33</c:v>
                </c:pt>
                <c:pt idx="628">
                  <c:v>0.53</c:v>
                </c:pt>
                <c:pt idx="629">
                  <c:v>0.3</c:v>
                </c:pt>
                <c:pt idx="630">
                  <c:v>0.8</c:v>
                </c:pt>
                <c:pt idx="631">
                  <c:v>0.75</c:v>
                </c:pt>
                <c:pt idx="632">
                  <c:v>0.61</c:v>
                </c:pt>
                <c:pt idx="633">
                  <c:v>0.62</c:v>
                </c:pt>
                <c:pt idx="634">
                  <c:v>0.71</c:v>
                </c:pt>
                <c:pt idx="635">
                  <c:v>0.8</c:v>
                </c:pt>
                <c:pt idx="636">
                  <c:v>0.62</c:v>
                </c:pt>
                <c:pt idx="637">
                  <c:v>0</c:v>
                </c:pt>
                <c:pt idx="638">
                  <c:v>0.66</c:v>
                </c:pt>
                <c:pt idx="639">
                  <c:v>0.69</c:v>
                </c:pt>
                <c:pt idx="640">
                  <c:v>0.6</c:v>
                </c:pt>
                <c:pt idx="641">
                  <c:v>0.74</c:v>
                </c:pt>
                <c:pt idx="642">
                  <c:v>0.85</c:v>
                </c:pt>
                <c:pt idx="643">
                  <c:v>0.06</c:v>
                </c:pt>
                <c:pt idx="644">
                  <c:v>0.9</c:v>
                </c:pt>
                <c:pt idx="645">
                  <c:v>0.87</c:v>
                </c:pt>
                <c:pt idx="646">
                  <c:v>0.64</c:v>
                </c:pt>
                <c:pt idx="647">
                  <c:v>0.76</c:v>
                </c:pt>
                <c:pt idx="648">
                  <c:v>0.56000000000000005</c:v>
                </c:pt>
                <c:pt idx="649">
                  <c:v>0.83</c:v>
                </c:pt>
                <c:pt idx="650">
                  <c:v>0.17</c:v>
                </c:pt>
                <c:pt idx="651">
                  <c:v>0.27</c:v>
                </c:pt>
                <c:pt idx="652">
                  <c:v>0.15</c:v>
                </c:pt>
                <c:pt idx="653">
                  <c:v>0.87</c:v>
                </c:pt>
                <c:pt idx="654">
                  <c:v>0.67</c:v>
                </c:pt>
                <c:pt idx="655">
                  <c:v>0.78</c:v>
                </c:pt>
                <c:pt idx="656">
                  <c:v>0.8</c:v>
                </c:pt>
                <c:pt idx="657">
                  <c:v>0.28000000000000003</c:v>
                </c:pt>
                <c:pt idx="658">
                  <c:v>0.65</c:v>
                </c:pt>
                <c:pt idx="659">
                  <c:v>0.05</c:v>
                </c:pt>
                <c:pt idx="660">
                  <c:v>0.6</c:v>
                </c:pt>
                <c:pt idx="661">
                  <c:v>0.43</c:v>
                </c:pt>
                <c:pt idx="662">
                  <c:v>0.66</c:v>
                </c:pt>
                <c:pt idx="663">
                  <c:v>0.5</c:v>
                </c:pt>
                <c:pt idx="664">
                  <c:v>0.64</c:v>
                </c:pt>
                <c:pt idx="665">
                  <c:v>0.28000000000000003</c:v>
                </c:pt>
                <c:pt idx="666">
                  <c:v>0.8</c:v>
                </c:pt>
                <c:pt idx="667">
                  <c:v>0.18</c:v>
                </c:pt>
                <c:pt idx="668">
                  <c:v>0.23</c:v>
                </c:pt>
                <c:pt idx="669">
                  <c:v>0.54</c:v>
                </c:pt>
                <c:pt idx="670">
                  <c:v>0.52</c:v>
                </c:pt>
                <c:pt idx="671">
                  <c:v>0.54</c:v>
                </c:pt>
                <c:pt idx="672">
                  <c:v>0.6</c:v>
                </c:pt>
                <c:pt idx="673">
                  <c:v>0.55000000000000004</c:v>
                </c:pt>
                <c:pt idx="674">
                  <c:v>0.1</c:v>
                </c:pt>
                <c:pt idx="675">
                  <c:v>0.56000000000000005</c:v>
                </c:pt>
                <c:pt idx="676">
                  <c:v>0.6</c:v>
                </c:pt>
                <c:pt idx="677">
                  <c:v>0.62</c:v>
                </c:pt>
                <c:pt idx="678">
                  <c:v>0.43</c:v>
                </c:pt>
                <c:pt idx="679">
                  <c:v>0.24</c:v>
                </c:pt>
                <c:pt idx="680">
                  <c:v>0.56999999999999995</c:v>
                </c:pt>
                <c:pt idx="681">
                  <c:v>0.5</c:v>
                </c:pt>
                <c:pt idx="682">
                  <c:v>0.55000000000000004</c:v>
                </c:pt>
                <c:pt idx="683">
                  <c:v>0.38</c:v>
                </c:pt>
                <c:pt idx="684">
                  <c:v>0.69</c:v>
                </c:pt>
                <c:pt idx="685">
                  <c:v>0.02</c:v>
                </c:pt>
                <c:pt idx="686">
                  <c:v>0.77</c:v>
                </c:pt>
                <c:pt idx="687">
                  <c:v>0.33</c:v>
                </c:pt>
                <c:pt idx="688">
                  <c:v>0.2</c:v>
                </c:pt>
                <c:pt idx="689">
                  <c:v>0.61</c:v>
                </c:pt>
                <c:pt idx="690">
                  <c:v>0.47</c:v>
                </c:pt>
                <c:pt idx="691">
                  <c:v>0.33</c:v>
                </c:pt>
                <c:pt idx="692">
                  <c:v>0.6</c:v>
                </c:pt>
                <c:pt idx="693">
                  <c:v>0.56999999999999995</c:v>
                </c:pt>
                <c:pt idx="694">
                  <c:v>0.68</c:v>
                </c:pt>
                <c:pt idx="695">
                  <c:v>0.94</c:v>
                </c:pt>
                <c:pt idx="696">
                  <c:v>0.04</c:v>
                </c:pt>
                <c:pt idx="697">
                  <c:v>0.06</c:v>
                </c:pt>
                <c:pt idx="698">
                  <c:v>0.38</c:v>
                </c:pt>
                <c:pt idx="699">
                  <c:v>0.13</c:v>
                </c:pt>
                <c:pt idx="700">
                  <c:v>0.46</c:v>
                </c:pt>
                <c:pt idx="701">
                  <c:v>0.41</c:v>
                </c:pt>
                <c:pt idx="702">
                  <c:v>0.75</c:v>
                </c:pt>
                <c:pt idx="703">
                  <c:v>0</c:v>
                </c:pt>
                <c:pt idx="704">
                  <c:v>0.7</c:v>
                </c:pt>
                <c:pt idx="705">
                  <c:v>0.6</c:v>
                </c:pt>
                <c:pt idx="706">
                  <c:v>0.63</c:v>
                </c:pt>
                <c:pt idx="707">
                  <c:v>0.15</c:v>
                </c:pt>
                <c:pt idx="708">
                  <c:v>0.47</c:v>
                </c:pt>
                <c:pt idx="709">
                  <c:v>0.54</c:v>
                </c:pt>
                <c:pt idx="710">
                  <c:v>0</c:v>
                </c:pt>
                <c:pt idx="711">
                  <c:v>0.43</c:v>
                </c:pt>
                <c:pt idx="712">
                  <c:v>0.45</c:v>
                </c:pt>
                <c:pt idx="713">
                  <c:v>0.65</c:v>
                </c:pt>
                <c:pt idx="714">
                  <c:v>0.39</c:v>
                </c:pt>
                <c:pt idx="715">
                  <c:v>0.36</c:v>
                </c:pt>
                <c:pt idx="716">
                  <c:v>0.5</c:v>
                </c:pt>
                <c:pt idx="717">
                  <c:v>0.4</c:v>
                </c:pt>
                <c:pt idx="718">
                  <c:v>0.59</c:v>
                </c:pt>
                <c:pt idx="719">
                  <c:v>0.24</c:v>
                </c:pt>
                <c:pt idx="720">
                  <c:v>0.8</c:v>
                </c:pt>
                <c:pt idx="721">
                  <c:v>0.2</c:v>
                </c:pt>
                <c:pt idx="722">
                  <c:v>0.44</c:v>
                </c:pt>
                <c:pt idx="723">
                  <c:v>0.41</c:v>
                </c:pt>
                <c:pt idx="724">
                  <c:v>0.26</c:v>
                </c:pt>
                <c:pt idx="725">
                  <c:v>0.5</c:v>
                </c:pt>
                <c:pt idx="726">
                  <c:v>0.14000000000000001</c:v>
                </c:pt>
                <c:pt idx="727">
                  <c:v>0.7</c:v>
                </c:pt>
                <c:pt idx="728">
                  <c:v>0.4</c:v>
                </c:pt>
                <c:pt idx="729">
                  <c:v>0.55000000000000004</c:v>
                </c:pt>
                <c:pt idx="730">
                  <c:v>0.33</c:v>
                </c:pt>
                <c:pt idx="731">
                  <c:v>0.72</c:v>
                </c:pt>
                <c:pt idx="732">
                  <c:v>0.73</c:v>
                </c:pt>
                <c:pt idx="733">
                  <c:v>0.57999999999999996</c:v>
                </c:pt>
                <c:pt idx="734">
                  <c:v>0.3</c:v>
                </c:pt>
                <c:pt idx="735">
                  <c:v>0.81</c:v>
                </c:pt>
                <c:pt idx="736">
                  <c:v>0.32</c:v>
                </c:pt>
                <c:pt idx="737">
                  <c:v>0.25</c:v>
                </c:pt>
                <c:pt idx="738">
                  <c:v>0.83</c:v>
                </c:pt>
                <c:pt idx="739">
                  <c:v>0</c:v>
                </c:pt>
                <c:pt idx="740">
                  <c:v>0.65</c:v>
                </c:pt>
                <c:pt idx="741">
                  <c:v>0.85</c:v>
                </c:pt>
                <c:pt idx="742">
                  <c:v>0.63</c:v>
                </c:pt>
                <c:pt idx="743">
                  <c:v>0.71</c:v>
                </c:pt>
                <c:pt idx="744">
                  <c:v>0.64</c:v>
                </c:pt>
                <c:pt idx="745">
                  <c:v>0.7</c:v>
                </c:pt>
                <c:pt idx="746">
                  <c:v>0.43</c:v>
                </c:pt>
                <c:pt idx="747">
                  <c:v>0.25</c:v>
                </c:pt>
                <c:pt idx="748">
                  <c:v>0.53</c:v>
                </c:pt>
                <c:pt idx="749">
                  <c:v>0.75</c:v>
                </c:pt>
                <c:pt idx="750">
                  <c:v>0.12</c:v>
                </c:pt>
                <c:pt idx="751">
                  <c:v>0.54</c:v>
                </c:pt>
                <c:pt idx="752">
                  <c:v>0.43</c:v>
                </c:pt>
                <c:pt idx="753">
                  <c:v>0.55000000000000004</c:v>
                </c:pt>
                <c:pt idx="754">
                  <c:v>0.55000000000000004</c:v>
                </c:pt>
                <c:pt idx="755">
                  <c:v>0.45</c:v>
                </c:pt>
                <c:pt idx="756">
                  <c:v>0.36</c:v>
                </c:pt>
                <c:pt idx="757">
                  <c:v>0</c:v>
                </c:pt>
                <c:pt idx="758">
                  <c:v>0.8</c:v>
                </c:pt>
                <c:pt idx="759">
                  <c:v>0.28000000000000003</c:v>
                </c:pt>
                <c:pt idx="760">
                  <c:v>0.3</c:v>
                </c:pt>
                <c:pt idx="761">
                  <c:v>0.2</c:v>
                </c:pt>
                <c:pt idx="762">
                  <c:v>0.14000000000000001</c:v>
                </c:pt>
                <c:pt idx="763">
                  <c:v>0.19</c:v>
                </c:pt>
                <c:pt idx="764">
                  <c:v>0.56000000000000005</c:v>
                </c:pt>
                <c:pt idx="765">
                  <c:v>0.2</c:v>
                </c:pt>
                <c:pt idx="766">
                  <c:v>0.74</c:v>
                </c:pt>
                <c:pt idx="767">
                  <c:v>0.6</c:v>
                </c:pt>
                <c:pt idx="768">
                  <c:v>0.25</c:v>
                </c:pt>
                <c:pt idx="769">
                  <c:v>0.66</c:v>
                </c:pt>
                <c:pt idx="770">
                  <c:v>0.39</c:v>
                </c:pt>
                <c:pt idx="771">
                  <c:v>0.7</c:v>
                </c:pt>
                <c:pt idx="772">
                  <c:v>0.6</c:v>
                </c:pt>
                <c:pt idx="773">
                  <c:v>0.8</c:v>
                </c:pt>
                <c:pt idx="774">
                  <c:v>0.8</c:v>
                </c:pt>
                <c:pt idx="775">
                  <c:v>0.5</c:v>
                </c:pt>
                <c:pt idx="776">
                  <c:v>0.49</c:v>
                </c:pt>
                <c:pt idx="777">
                  <c:v>0.2</c:v>
                </c:pt>
                <c:pt idx="778">
                  <c:v>0.31</c:v>
                </c:pt>
                <c:pt idx="779">
                  <c:v>0.66</c:v>
                </c:pt>
                <c:pt idx="780">
                  <c:v>0.85</c:v>
                </c:pt>
                <c:pt idx="781">
                  <c:v>0.85</c:v>
                </c:pt>
                <c:pt idx="782">
                  <c:v>0.73</c:v>
                </c:pt>
                <c:pt idx="783">
                  <c:v>0.1</c:v>
                </c:pt>
                <c:pt idx="784">
                  <c:v>0.51</c:v>
                </c:pt>
                <c:pt idx="785">
                  <c:v>0.56999999999999995</c:v>
                </c:pt>
                <c:pt idx="786">
                  <c:v>0.77</c:v>
                </c:pt>
                <c:pt idx="787">
                  <c:v>0.76</c:v>
                </c:pt>
                <c:pt idx="788">
                  <c:v>0.44</c:v>
                </c:pt>
                <c:pt idx="789">
                  <c:v>0.51</c:v>
                </c:pt>
                <c:pt idx="790">
                  <c:v>0.22</c:v>
                </c:pt>
                <c:pt idx="791">
                  <c:v>0.51</c:v>
                </c:pt>
                <c:pt idx="792">
                  <c:v>0.7</c:v>
                </c:pt>
                <c:pt idx="793">
                  <c:v>0.24</c:v>
                </c:pt>
                <c:pt idx="794">
                  <c:v>0.23</c:v>
                </c:pt>
                <c:pt idx="795">
                  <c:v>0.38</c:v>
                </c:pt>
                <c:pt idx="796">
                  <c:v>0.55000000000000004</c:v>
                </c:pt>
                <c:pt idx="797">
                  <c:v>0.5</c:v>
                </c:pt>
                <c:pt idx="798">
                  <c:v>0.77</c:v>
                </c:pt>
                <c:pt idx="799">
                  <c:v>0.4</c:v>
                </c:pt>
                <c:pt idx="800">
                  <c:v>0.32</c:v>
                </c:pt>
                <c:pt idx="801">
                  <c:v>0.44</c:v>
                </c:pt>
                <c:pt idx="802">
                  <c:v>0.73</c:v>
                </c:pt>
                <c:pt idx="803">
                  <c:v>0.7</c:v>
                </c:pt>
                <c:pt idx="804">
                  <c:v>0.64</c:v>
                </c:pt>
                <c:pt idx="805">
                  <c:v>0.56999999999999995</c:v>
                </c:pt>
                <c:pt idx="806">
                  <c:v>0.6</c:v>
                </c:pt>
                <c:pt idx="807">
                  <c:v>0.62</c:v>
                </c:pt>
                <c:pt idx="808">
                  <c:v>0</c:v>
                </c:pt>
                <c:pt idx="809">
                  <c:v>0.5</c:v>
                </c:pt>
                <c:pt idx="810">
                  <c:v>0.41</c:v>
                </c:pt>
                <c:pt idx="811">
                  <c:v>0.11</c:v>
                </c:pt>
                <c:pt idx="812">
                  <c:v>0.3</c:v>
                </c:pt>
                <c:pt idx="813">
                  <c:v>0.67</c:v>
                </c:pt>
                <c:pt idx="814">
                  <c:v>0.5</c:v>
                </c:pt>
                <c:pt idx="815">
                  <c:v>0.28000000000000003</c:v>
                </c:pt>
                <c:pt idx="816">
                  <c:v>0.38</c:v>
                </c:pt>
                <c:pt idx="817">
                  <c:v>0.59</c:v>
                </c:pt>
                <c:pt idx="818">
                  <c:v>0.64</c:v>
                </c:pt>
                <c:pt idx="819">
                  <c:v>0.22</c:v>
                </c:pt>
                <c:pt idx="820">
                  <c:v>0.46</c:v>
                </c:pt>
                <c:pt idx="821">
                  <c:v>0.55000000000000004</c:v>
                </c:pt>
                <c:pt idx="822">
                  <c:v>0.21</c:v>
                </c:pt>
                <c:pt idx="823">
                  <c:v>0.65</c:v>
                </c:pt>
                <c:pt idx="824">
                  <c:v>0.38</c:v>
                </c:pt>
                <c:pt idx="825">
                  <c:v>0.49</c:v>
                </c:pt>
                <c:pt idx="826">
                  <c:v>0</c:v>
                </c:pt>
                <c:pt idx="827">
                  <c:v>0.75</c:v>
                </c:pt>
                <c:pt idx="828">
                  <c:v>0.35</c:v>
                </c:pt>
                <c:pt idx="829">
                  <c:v>0.64</c:v>
                </c:pt>
                <c:pt idx="830">
                  <c:v>0.41</c:v>
                </c:pt>
                <c:pt idx="831">
                  <c:v>0.65</c:v>
                </c:pt>
                <c:pt idx="832">
                  <c:v>0.42</c:v>
                </c:pt>
                <c:pt idx="833">
                  <c:v>0</c:v>
                </c:pt>
                <c:pt idx="834">
                  <c:v>0.22</c:v>
                </c:pt>
                <c:pt idx="835">
                  <c:v>0.21</c:v>
                </c:pt>
                <c:pt idx="836">
                  <c:v>0.8</c:v>
                </c:pt>
                <c:pt idx="837">
                  <c:v>0</c:v>
                </c:pt>
                <c:pt idx="838">
                  <c:v>0.6</c:v>
                </c:pt>
                <c:pt idx="839">
                  <c:v>0.53</c:v>
                </c:pt>
                <c:pt idx="840">
                  <c:v>0.8</c:v>
                </c:pt>
                <c:pt idx="841">
                  <c:v>0.85</c:v>
                </c:pt>
                <c:pt idx="842">
                  <c:v>0.69</c:v>
                </c:pt>
                <c:pt idx="843">
                  <c:v>0.38</c:v>
                </c:pt>
                <c:pt idx="844">
                  <c:v>0.43</c:v>
                </c:pt>
                <c:pt idx="845">
                  <c:v>0.18</c:v>
                </c:pt>
                <c:pt idx="846">
                  <c:v>0.62</c:v>
                </c:pt>
                <c:pt idx="847">
                  <c:v>0.25</c:v>
                </c:pt>
                <c:pt idx="848">
                  <c:v>0.63</c:v>
                </c:pt>
                <c:pt idx="849">
                  <c:v>0.05</c:v>
                </c:pt>
                <c:pt idx="850">
                  <c:v>0</c:v>
                </c:pt>
                <c:pt idx="851">
                  <c:v>0.51</c:v>
                </c:pt>
                <c:pt idx="852">
                  <c:v>0.7</c:v>
                </c:pt>
                <c:pt idx="853">
                  <c:v>0.35</c:v>
                </c:pt>
                <c:pt idx="854">
                  <c:v>0</c:v>
                </c:pt>
                <c:pt idx="855">
                  <c:v>0.4</c:v>
                </c:pt>
                <c:pt idx="856">
                  <c:v>0.79</c:v>
                </c:pt>
                <c:pt idx="857">
                  <c:v>0.67</c:v>
                </c:pt>
                <c:pt idx="858">
                  <c:v>0.15</c:v>
                </c:pt>
                <c:pt idx="859">
                  <c:v>0.54</c:v>
                </c:pt>
                <c:pt idx="860">
                  <c:v>0.62</c:v>
                </c:pt>
                <c:pt idx="861">
                  <c:v>0.6</c:v>
                </c:pt>
                <c:pt idx="862">
                  <c:v>0.57999999999999996</c:v>
                </c:pt>
                <c:pt idx="863">
                  <c:v>0.8</c:v>
                </c:pt>
                <c:pt idx="864">
                  <c:v>0.48</c:v>
                </c:pt>
                <c:pt idx="865">
                  <c:v>0.75</c:v>
                </c:pt>
                <c:pt idx="866">
                  <c:v>0.5</c:v>
                </c:pt>
                <c:pt idx="867">
                  <c:v>0.82</c:v>
                </c:pt>
                <c:pt idx="868">
                  <c:v>0.02</c:v>
                </c:pt>
                <c:pt idx="869">
                  <c:v>0.38</c:v>
                </c:pt>
                <c:pt idx="870">
                  <c:v>0.88</c:v>
                </c:pt>
                <c:pt idx="871">
                  <c:v>0.65</c:v>
                </c:pt>
                <c:pt idx="872">
                  <c:v>0.56999999999999995</c:v>
                </c:pt>
                <c:pt idx="873">
                  <c:v>0.08</c:v>
                </c:pt>
                <c:pt idx="874">
                  <c:v>0.5</c:v>
                </c:pt>
                <c:pt idx="875">
                  <c:v>0.7</c:v>
                </c:pt>
                <c:pt idx="876">
                  <c:v>0.3</c:v>
                </c:pt>
                <c:pt idx="877">
                  <c:v>0.66</c:v>
                </c:pt>
                <c:pt idx="878">
                  <c:v>0.1</c:v>
                </c:pt>
                <c:pt idx="879">
                  <c:v>0.43</c:v>
                </c:pt>
                <c:pt idx="880">
                  <c:v>0.4</c:v>
                </c:pt>
                <c:pt idx="881">
                  <c:v>0.57999999999999996</c:v>
                </c:pt>
                <c:pt idx="882">
                  <c:v>0.53</c:v>
                </c:pt>
                <c:pt idx="883">
                  <c:v>0.63</c:v>
                </c:pt>
                <c:pt idx="884">
                  <c:v>0.78</c:v>
                </c:pt>
                <c:pt idx="885">
                  <c:v>0.5</c:v>
                </c:pt>
                <c:pt idx="886">
                  <c:v>0.21</c:v>
                </c:pt>
                <c:pt idx="887">
                  <c:v>0</c:v>
                </c:pt>
                <c:pt idx="888">
                  <c:v>0</c:v>
                </c:pt>
                <c:pt idx="889">
                  <c:v>0.23</c:v>
                </c:pt>
                <c:pt idx="890">
                  <c:v>0.62</c:v>
                </c:pt>
                <c:pt idx="891">
                  <c:v>0.76</c:v>
                </c:pt>
                <c:pt idx="892">
                  <c:v>0.56999999999999995</c:v>
                </c:pt>
                <c:pt idx="893">
                  <c:v>0</c:v>
                </c:pt>
                <c:pt idx="894">
                  <c:v>0.45</c:v>
                </c:pt>
                <c:pt idx="895">
                  <c:v>0.1</c:v>
                </c:pt>
                <c:pt idx="896">
                  <c:v>0.66</c:v>
                </c:pt>
                <c:pt idx="897">
                  <c:v>0.25</c:v>
                </c:pt>
                <c:pt idx="898">
                  <c:v>0.62</c:v>
                </c:pt>
                <c:pt idx="899">
                  <c:v>0.25</c:v>
                </c:pt>
                <c:pt idx="900">
                  <c:v>0.65</c:v>
                </c:pt>
                <c:pt idx="901">
                  <c:v>0.64</c:v>
                </c:pt>
                <c:pt idx="902">
                  <c:v>0.38</c:v>
                </c:pt>
                <c:pt idx="903">
                  <c:v>0.42</c:v>
                </c:pt>
                <c:pt idx="904">
                  <c:v>0.13</c:v>
                </c:pt>
                <c:pt idx="905">
                  <c:v>0.55000000000000004</c:v>
                </c:pt>
                <c:pt idx="906">
                  <c:v>0.35</c:v>
                </c:pt>
                <c:pt idx="907">
                  <c:v>0.24</c:v>
                </c:pt>
                <c:pt idx="908">
                  <c:v>0.43</c:v>
                </c:pt>
                <c:pt idx="909">
                  <c:v>0.18</c:v>
                </c:pt>
                <c:pt idx="910">
                  <c:v>0.57999999999999996</c:v>
                </c:pt>
                <c:pt idx="911">
                  <c:v>0.6</c:v>
                </c:pt>
                <c:pt idx="912">
                  <c:v>0.69</c:v>
                </c:pt>
                <c:pt idx="913">
                  <c:v>0.42</c:v>
                </c:pt>
                <c:pt idx="914">
                  <c:v>0.25</c:v>
                </c:pt>
                <c:pt idx="915">
                  <c:v>0.34</c:v>
                </c:pt>
                <c:pt idx="916">
                  <c:v>0.74</c:v>
                </c:pt>
                <c:pt idx="917">
                  <c:v>0.23</c:v>
                </c:pt>
                <c:pt idx="918">
                  <c:v>0.53</c:v>
                </c:pt>
                <c:pt idx="919">
                  <c:v>0.15</c:v>
                </c:pt>
                <c:pt idx="920">
                  <c:v>0.9</c:v>
                </c:pt>
                <c:pt idx="921">
                  <c:v>0.1</c:v>
                </c:pt>
                <c:pt idx="922">
                  <c:v>0.47</c:v>
                </c:pt>
                <c:pt idx="923">
                  <c:v>0.55000000000000004</c:v>
                </c:pt>
                <c:pt idx="924">
                  <c:v>0</c:v>
                </c:pt>
                <c:pt idx="925">
                  <c:v>0.77</c:v>
                </c:pt>
                <c:pt idx="926">
                  <c:v>0.6</c:v>
                </c:pt>
                <c:pt idx="927">
                  <c:v>0.56000000000000005</c:v>
                </c:pt>
                <c:pt idx="928">
                  <c:v>0.56000000000000005</c:v>
                </c:pt>
                <c:pt idx="929">
                  <c:v>0.53</c:v>
                </c:pt>
                <c:pt idx="930">
                  <c:v>0.16</c:v>
                </c:pt>
                <c:pt idx="931">
                  <c:v>0.76</c:v>
                </c:pt>
                <c:pt idx="932">
                  <c:v>0.78</c:v>
                </c:pt>
                <c:pt idx="933">
                  <c:v>0.75</c:v>
                </c:pt>
                <c:pt idx="934">
                  <c:v>0.36</c:v>
                </c:pt>
                <c:pt idx="935">
                  <c:v>0.68</c:v>
                </c:pt>
                <c:pt idx="936">
                  <c:v>0.5</c:v>
                </c:pt>
                <c:pt idx="937">
                  <c:v>0.4</c:v>
                </c:pt>
                <c:pt idx="938">
                  <c:v>0.86</c:v>
                </c:pt>
                <c:pt idx="939">
                  <c:v>0.56000000000000005</c:v>
                </c:pt>
                <c:pt idx="940">
                  <c:v>0.36</c:v>
                </c:pt>
                <c:pt idx="941">
                  <c:v>0.73</c:v>
                </c:pt>
                <c:pt idx="942">
                  <c:v>0.57999999999999996</c:v>
                </c:pt>
                <c:pt idx="943">
                  <c:v>0.61</c:v>
                </c:pt>
                <c:pt idx="944">
                  <c:v>0.66</c:v>
                </c:pt>
                <c:pt idx="945">
                  <c:v>0.25</c:v>
                </c:pt>
                <c:pt idx="946">
                  <c:v>0.8</c:v>
                </c:pt>
                <c:pt idx="947">
                  <c:v>0.75</c:v>
                </c:pt>
                <c:pt idx="948">
                  <c:v>0.53</c:v>
                </c:pt>
                <c:pt idx="949">
                  <c:v>0.46</c:v>
                </c:pt>
                <c:pt idx="950">
                  <c:v>0</c:v>
                </c:pt>
                <c:pt idx="951">
                  <c:v>0.5</c:v>
                </c:pt>
                <c:pt idx="952">
                  <c:v>0</c:v>
                </c:pt>
                <c:pt idx="953">
                  <c:v>0.44</c:v>
                </c:pt>
                <c:pt idx="954">
                  <c:v>0.76</c:v>
                </c:pt>
                <c:pt idx="955">
                  <c:v>0.24</c:v>
                </c:pt>
                <c:pt idx="956">
                  <c:v>0.38</c:v>
                </c:pt>
                <c:pt idx="957">
                  <c:v>0.42</c:v>
                </c:pt>
                <c:pt idx="958">
                  <c:v>0.16</c:v>
                </c:pt>
                <c:pt idx="959">
                  <c:v>0.42</c:v>
                </c:pt>
                <c:pt idx="960">
                  <c:v>0.48</c:v>
                </c:pt>
                <c:pt idx="961">
                  <c:v>0.59</c:v>
                </c:pt>
                <c:pt idx="962">
                  <c:v>0.88</c:v>
                </c:pt>
                <c:pt idx="963">
                  <c:v>0.34</c:v>
                </c:pt>
                <c:pt idx="964">
                  <c:v>0.31</c:v>
                </c:pt>
                <c:pt idx="965">
                  <c:v>0</c:v>
                </c:pt>
                <c:pt idx="966">
                  <c:v>0.17</c:v>
                </c:pt>
                <c:pt idx="967">
                  <c:v>0.17</c:v>
                </c:pt>
                <c:pt idx="968">
                  <c:v>0.62</c:v>
                </c:pt>
                <c:pt idx="969">
                  <c:v>0.34</c:v>
                </c:pt>
                <c:pt idx="970">
                  <c:v>0.14000000000000001</c:v>
                </c:pt>
                <c:pt idx="971">
                  <c:v>0</c:v>
                </c:pt>
                <c:pt idx="972">
                  <c:v>0.51</c:v>
                </c:pt>
                <c:pt idx="973">
                  <c:v>0.69</c:v>
                </c:pt>
                <c:pt idx="974">
                  <c:v>0.69</c:v>
                </c:pt>
                <c:pt idx="975">
                  <c:v>0</c:v>
                </c:pt>
                <c:pt idx="976">
                  <c:v>0.28999999999999998</c:v>
                </c:pt>
                <c:pt idx="977">
                  <c:v>0.25</c:v>
                </c:pt>
                <c:pt idx="978">
                  <c:v>0.8</c:v>
                </c:pt>
                <c:pt idx="979">
                  <c:v>0.61</c:v>
                </c:pt>
                <c:pt idx="980">
                  <c:v>0.5</c:v>
                </c:pt>
                <c:pt idx="981">
                  <c:v>0.79</c:v>
                </c:pt>
                <c:pt idx="982">
                  <c:v>0.57999999999999996</c:v>
                </c:pt>
                <c:pt idx="983">
                  <c:v>0.77</c:v>
                </c:pt>
                <c:pt idx="984">
                  <c:v>0</c:v>
                </c:pt>
                <c:pt idx="985">
                  <c:v>0.6</c:v>
                </c:pt>
                <c:pt idx="986">
                  <c:v>0.14000000000000001</c:v>
                </c:pt>
                <c:pt idx="987">
                  <c:v>0.48</c:v>
                </c:pt>
                <c:pt idx="988">
                  <c:v>0.73</c:v>
                </c:pt>
                <c:pt idx="989">
                  <c:v>0.62</c:v>
                </c:pt>
                <c:pt idx="990">
                  <c:v>0.6</c:v>
                </c:pt>
                <c:pt idx="991">
                  <c:v>0.47</c:v>
                </c:pt>
                <c:pt idx="992">
                  <c:v>0.55000000000000004</c:v>
                </c:pt>
                <c:pt idx="993">
                  <c:v>0.1</c:v>
                </c:pt>
                <c:pt idx="994">
                  <c:v>0.55000000000000004</c:v>
                </c:pt>
                <c:pt idx="995">
                  <c:v>0.36</c:v>
                </c:pt>
                <c:pt idx="996">
                  <c:v>0.5</c:v>
                </c:pt>
                <c:pt idx="997">
                  <c:v>0</c:v>
                </c:pt>
                <c:pt idx="998">
                  <c:v>0.56000000000000005</c:v>
                </c:pt>
                <c:pt idx="999">
                  <c:v>0.7</c:v>
                </c:pt>
                <c:pt idx="1000">
                  <c:v>0.57999999999999996</c:v>
                </c:pt>
                <c:pt idx="1001">
                  <c:v>0.27</c:v>
                </c:pt>
                <c:pt idx="1002">
                  <c:v>0</c:v>
                </c:pt>
                <c:pt idx="1003">
                  <c:v>0.56999999999999995</c:v>
                </c:pt>
                <c:pt idx="1004">
                  <c:v>0</c:v>
                </c:pt>
                <c:pt idx="1005">
                  <c:v>0</c:v>
                </c:pt>
                <c:pt idx="1006">
                  <c:v>0.75</c:v>
                </c:pt>
                <c:pt idx="1007">
                  <c:v>0.55000000000000004</c:v>
                </c:pt>
                <c:pt idx="1008">
                  <c:v>0.13</c:v>
                </c:pt>
                <c:pt idx="1009">
                  <c:v>0.46</c:v>
                </c:pt>
                <c:pt idx="1010">
                  <c:v>0.75</c:v>
                </c:pt>
                <c:pt idx="1011">
                  <c:v>0.65</c:v>
                </c:pt>
                <c:pt idx="1012">
                  <c:v>0.05</c:v>
                </c:pt>
                <c:pt idx="1013">
                  <c:v>0.64</c:v>
                </c:pt>
                <c:pt idx="1014">
                  <c:v>0.38</c:v>
                </c:pt>
                <c:pt idx="1015">
                  <c:v>0.66</c:v>
                </c:pt>
                <c:pt idx="1016">
                  <c:v>0.6</c:v>
                </c:pt>
                <c:pt idx="1017">
                  <c:v>0.63</c:v>
                </c:pt>
                <c:pt idx="1018">
                  <c:v>0.8</c:v>
                </c:pt>
                <c:pt idx="1019">
                  <c:v>0.66</c:v>
                </c:pt>
                <c:pt idx="1020">
                  <c:v>0.7</c:v>
                </c:pt>
                <c:pt idx="1021">
                  <c:v>0.5</c:v>
                </c:pt>
                <c:pt idx="1022">
                  <c:v>0.48</c:v>
                </c:pt>
                <c:pt idx="1023">
                  <c:v>0.28999999999999998</c:v>
                </c:pt>
                <c:pt idx="1024">
                  <c:v>0.4</c:v>
                </c:pt>
                <c:pt idx="1025">
                  <c:v>0.54</c:v>
                </c:pt>
                <c:pt idx="1026">
                  <c:v>0.9</c:v>
                </c:pt>
                <c:pt idx="1027">
                  <c:v>0.41</c:v>
                </c:pt>
                <c:pt idx="1028">
                  <c:v>0.6</c:v>
                </c:pt>
                <c:pt idx="1029">
                  <c:v>0.4</c:v>
                </c:pt>
                <c:pt idx="1030">
                  <c:v>0.1</c:v>
                </c:pt>
                <c:pt idx="1031">
                  <c:v>0.48</c:v>
                </c:pt>
                <c:pt idx="1032">
                  <c:v>0.47</c:v>
                </c:pt>
                <c:pt idx="1033">
                  <c:v>0.22</c:v>
                </c:pt>
                <c:pt idx="1034">
                  <c:v>0.5</c:v>
                </c:pt>
                <c:pt idx="1035">
                  <c:v>0.11</c:v>
                </c:pt>
                <c:pt idx="1036">
                  <c:v>0.5</c:v>
                </c:pt>
                <c:pt idx="1037">
                  <c:v>0.55000000000000004</c:v>
                </c:pt>
                <c:pt idx="1038">
                  <c:v>0.48</c:v>
                </c:pt>
                <c:pt idx="1039">
                  <c:v>0.42</c:v>
                </c:pt>
                <c:pt idx="1040">
                  <c:v>0.53</c:v>
                </c:pt>
                <c:pt idx="1041">
                  <c:v>0.46</c:v>
                </c:pt>
                <c:pt idx="1042">
                  <c:v>0.56000000000000005</c:v>
                </c:pt>
                <c:pt idx="1043">
                  <c:v>0.4</c:v>
                </c:pt>
                <c:pt idx="1044">
                  <c:v>0.57999999999999996</c:v>
                </c:pt>
                <c:pt idx="1045">
                  <c:v>0.63</c:v>
                </c:pt>
                <c:pt idx="1046">
                  <c:v>0.24</c:v>
                </c:pt>
                <c:pt idx="1047">
                  <c:v>0.38</c:v>
                </c:pt>
                <c:pt idx="1048">
                  <c:v>0.45</c:v>
                </c:pt>
                <c:pt idx="1049">
                  <c:v>0.5</c:v>
                </c:pt>
                <c:pt idx="1050">
                  <c:v>0.8</c:v>
                </c:pt>
                <c:pt idx="1051">
                  <c:v>0.25</c:v>
                </c:pt>
                <c:pt idx="1052">
                  <c:v>0.56000000000000005</c:v>
                </c:pt>
                <c:pt idx="1053">
                  <c:v>0.41</c:v>
                </c:pt>
                <c:pt idx="1054">
                  <c:v>0.55000000000000004</c:v>
                </c:pt>
                <c:pt idx="1055">
                  <c:v>0.65</c:v>
                </c:pt>
                <c:pt idx="1056">
                  <c:v>0.08</c:v>
                </c:pt>
                <c:pt idx="1057">
                  <c:v>0.44</c:v>
                </c:pt>
                <c:pt idx="1058">
                  <c:v>0.55000000000000004</c:v>
                </c:pt>
                <c:pt idx="1059">
                  <c:v>0.48</c:v>
                </c:pt>
                <c:pt idx="1060">
                  <c:v>0.61</c:v>
                </c:pt>
                <c:pt idx="1061">
                  <c:v>0.12</c:v>
                </c:pt>
                <c:pt idx="1062">
                  <c:v>0.37</c:v>
                </c:pt>
                <c:pt idx="1063">
                  <c:v>0.21</c:v>
                </c:pt>
                <c:pt idx="1064">
                  <c:v>0.39</c:v>
                </c:pt>
                <c:pt idx="1065">
                  <c:v>0.5</c:v>
                </c:pt>
                <c:pt idx="1066">
                  <c:v>0.26</c:v>
                </c:pt>
                <c:pt idx="1067">
                  <c:v>0.34</c:v>
                </c:pt>
                <c:pt idx="1068">
                  <c:v>0.4</c:v>
                </c:pt>
                <c:pt idx="1069">
                  <c:v>0.62</c:v>
                </c:pt>
                <c:pt idx="1070">
                  <c:v>0.54</c:v>
                </c:pt>
                <c:pt idx="1071">
                  <c:v>0.42</c:v>
                </c:pt>
                <c:pt idx="1072">
                  <c:v>0</c:v>
                </c:pt>
                <c:pt idx="1073">
                  <c:v>0.5</c:v>
                </c:pt>
                <c:pt idx="1074">
                  <c:v>0.55000000000000004</c:v>
                </c:pt>
                <c:pt idx="1075">
                  <c:v>0.14000000000000001</c:v>
                </c:pt>
                <c:pt idx="1076">
                  <c:v>0.45</c:v>
                </c:pt>
                <c:pt idx="1077">
                  <c:v>0.11</c:v>
                </c:pt>
                <c:pt idx="1078">
                  <c:v>0.59</c:v>
                </c:pt>
                <c:pt idx="1079">
                  <c:v>0.24</c:v>
                </c:pt>
                <c:pt idx="1080">
                  <c:v>0.6</c:v>
                </c:pt>
                <c:pt idx="1081">
                  <c:v>0.46</c:v>
                </c:pt>
                <c:pt idx="1082">
                  <c:v>0.39</c:v>
                </c:pt>
                <c:pt idx="1083">
                  <c:v>0.33</c:v>
                </c:pt>
                <c:pt idx="1084">
                  <c:v>0.4</c:v>
                </c:pt>
                <c:pt idx="1085">
                  <c:v>0.27</c:v>
                </c:pt>
                <c:pt idx="1086">
                  <c:v>0.37</c:v>
                </c:pt>
                <c:pt idx="1087">
                  <c:v>0.48</c:v>
                </c:pt>
                <c:pt idx="1088">
                  <c:v>0.65</c:v>
                </c:pt>
                <c:pt idx="1089">
                  <c:v>0.38</c:v>
                </c:pt>
                <c:pt idx="1090">
                  <c:v>0.47</c:v>
                </c:pt>
                <c:pt idx="1091">
                  <c:v>0.48</c:v>
                </c:pt>
                <c:pt idx="1092">
                  <c:v>0.34</c:v>
                </c:pt>
                <c:pt idx="1093">
                  <c:v>0.6</c:v>
                </c:pt>
                <c:pt idx="1094">
                  <c:v>0</c:v>
                </c:pt>
                <c:pt idx="1095">
                  <c:v>0.44</c:v>
                </c:pt>
                <c:pt idx="1096">
                  <c:v>0.61</c:v>
                </c:pt>
                <c:pt idx="1097">
                  <c:v>0.34</c:v>
                </c:pt>
                <c:pt idx="1098">
                  <c:v>0.26</c:v>
                </c:pt>
                <c:pt idx="1099">
                  <c:v>0.28000000000000003</c:v>
                </c:pt>
                <c:pt idx="1100">
                  <c:v>0.5</c:v>
                </c:pt>
                <c:pt idx="1101">
                  <c:v>0.51</c:v>
                </c:pt>
                <c:pt idx="1102">
                  <c:v>0.2</c:v>
                </c:pt>
                <c:pt idx="1103">
                  <c:v>0.36</c:v>
                </c:pt>
                <c:pt idx="1104">
                  <c:v>0.47</c:v>
                </c:pt>
                <c:pt idx="1105">
                  <c:v>0.14000000000000001</c:v>
                </c:pt>
                <c:pt idx="1106">
                  <c:v>0.16</c:v>
                </c:pt>
                <c:pt idx="1107">
                  <c:v>0.71</c:v>
                </c:pt>
                <c:pt idx="1108">
                  <c:v>0.42</c:v>
                </c:pt>
                <c:pt idx="1109">
                  <c:v>0.24</c:v>
                </c:pt>
                <c:pt idx="1110">
                  <c:v>0.23</c:v>
                </c:pt>
                <c:pt idx="1111">
                  <c:v>0</c:v>
                </c:pt>
                <c:pt idx="1112">
                  <c:v>0.35</c:v>
                </c:pt>
                <c:pt idx="1113">
                  <c:v>0.26</c:v>
                </c:pt>
                <c:pt idx="1114">
                  <c:v>0.14000000000000001</c:v>
                </c:pt>
                <c:pt idx="1115">
                  <c:v>0.11</c:v>
                </c:pt>
                <c:pt idx="1116">
                  <c:v>0.54</c:v>
                </c:pt>
                <c:pt idx="1117">
                  <c:v>0.51</c:v>
                </c:pt>
                <c:pt idx="1118">
                  <c:v>0.18</c:v>
                </c:pt>
                <c:pt idx="1119">
                  <c:v>0.56999999999999995</c:v>
                </c:pt>
                <c:pt idx="1120">
                  <c:v>0.16</c:v>
                </c:pt>
                <c:pt idx="1121">
                  <c:v>0.71</c:v>
                </c:pt>
                <c:pt idx="1122">
                  <c:v>0.39</c:v>
                </c:pt>
                <c:pt idx="1123">
                  <c:v>0.4</c:v>
                </c:pt>
                <c:pt idx="1124">
                  <c:v>0.33</c:v>
                </c:pt>
                <c:pt idx="1125">
                  <c:v>0.35</c:v>
                </c:pt>
                <c:pt idx="1126">
                  <c:v>0.41</c:v>
                </c:pt>
                <c:pt idx="1127">
                  <c:v>0.46</c:v>
                </c:pt>
                <c:pt idx="1128">
                  <c:v>0</c:v>
                </c:pt>
                <c:pt idx="1129">
                  <c:v>0</c:v>
                </c:pt>
                <c:pt idx="1130">
                  <c:v>0.48</c:v>
                </c:pt>
                <c:pt idx="1131">
                  <c:v>0.62</c:v>
                </c:pt>
                <c:pt idx="1132">
                  <c:v>0.47</c:v>
                </c:pt>
                <c:pt idx="1133">
                  <c:v>0.36</c:v>
                </c:pt>
                <c:pt idx="1134">
                  <c:v>0.45</c:v>
                </c:pt>
                <c:pt idx="1135">
                  <c:v>0.2</c:v>
                </c:pt>
                <c:pt idx="1136">
                  <c:v>0.48</c:v>
                </c:pt>
                <c:pt idx="1137">
                  <c:v>0.28999999999999998</c:v>
                </c:pt>
                <c:pt idx="1138">
                  <c:v>0.6</c:v>
                </c:pt>
                <c:pt idx="1139">
                  <c:v>0.26</c:v>
                </c:pt>
                <c:pt idx="1140">
                  <c:v>0.33</c:v>
                </c:pt>
                <c:pt idx="1141">
                  <c:v>0.1</c:v>
                </c:pt>
                <c:pt idx="1142">
                  <c:v>0.55000000000000004</c:v>
                </c:pt>
                <c:pt idx="1143">
                  <c:v>0.59</c:v>
                </c:pt>
                <c:pt idx="1144">
                  <c:v>0.31</c:v>
                </c:pt>
                <c:pt idx="1145">
                  <c:v>0.28000000000000003</c:v>
                </c:pt>
                <c:pt idx="1146">
                  <c:v>0.2</c:v>
                </c:pt>
                <c:pt idx="1147">
                  <c:v>0.62</c:v>
                </c:pt>
                <c:pt idx="1148">
                  <c:v>0.48</c:v>
                </c:pt>
                <c:pt idx="1149">
                  <c:v>0.38</c:v>
                </c:pt>
                <c:pt idx="1150">
                  <c:v>0.41</c:v>
                </c:pt>
                <c:pt idx="1151">
                  <c:v>0.52</c:v>
                </c:pt>
                <c:pt idx="1152">
                  <c:v>0.18</c:v>
                </c:pt>
                <c:pt idx="1153">
                  <c:v>0.78</c:v>
                </c:pt>
                <c:pt idx="1154">
                  <c:v>0.31</c:v>
                </c:pt>
                <c:pt idx="1155">
                  <c:v>0.48</c:v>
                </c:pt>
                <c:pt idx="1156">
                  <c:v>0.48</c:v>
                </c:pt>
                <c:pt idx="1157">
                  <c:v>0.42</c:v>
                </c:pt>
                <c:pt idx="1158">
                  <c:v>0.51</c:v>
                </c:pt>
                <c:pt idx="1159">
                  <c:v>0.45</c:v>
                </c:pt>
                <c:pt idx="1160">
                  <c:v>0.55000000000000004</c:v>
                </c:pt>
                <c:pt idx="1161">
                  <c:v>0</c:v>
                </c:pt>
                <c:pt idx="1162">
                  <c:v>0.47</c:v>
                </c:pt>
                <c:pt idx="1163">
                  <c:v>0.43</c:v>
                </c:pt>
                <c:pt idx="1164">
                  <c:v>0.52</c:v>
                </c:pt>
                <c:pt idx="1165">
                  <c:v>0</c:v>
                </c:pt>
                <c:pt idx="1166">
                  <c:v>0.51</c:v>
                </c:pt>
                <c:pt idx="1167">
                  <c:v>0.32</c:v>
                </c:pt>
                <c:pt idx="1168">
                  <c:v>0.47</c:v>
                </c:pt>
                <c:pt idx="1169">
                  <c:v>0.39</c:v>
                </c:pt>
                <c:pt idx="1170">
                  <c:v>0.49</c:v>
                </c:pt>
                <c:pt idx="1171">
                  <c:v>0.49</c:v>
                </c:pt>
                <c:pt idx="1172">
                  <c:v>0.4</c:v>
                </c:pt>
                <c:pt idx="1173">
                  <c:v>0.23</c:v>
                </c:pt>
                <c:pt idx="1174">
                  <c:v>0</c:v>
                </c:pt>
                <c:pt idx="1175">
                  <c:v>0.31</c:v>
                </c:pt>
                <c:pt idx="1176">
                  <c:v>0.6</c:v>
                </c:pt>
                <c:pt idx="1177">
                  <c:v>0.4</c:v>
                </c:pt>
                <c:pt idx="1178">
                  <c:v>0.2</c:v>
                </c:pt>
                <c:pt idx="1179">
                  <c:v>0.47</c:v>
                </c:pt>
                <c:pt idx="1180">
                  <c:v>0.79</c:v>
                </c:pt>
                <c:pt idx="1181">
                  <c:v>0</c:v>
                </c:pt>
                <c:pt idx="1182">
                  <c:v>0.76</c:v>
                </c:pt>
                <c:pt idx="1183">
                  <c:v>0.11</c:v>
                </c:pt>
                <c:pt idx="1184">
                  <c:v>0.35</c:v>
                </c:pt>
                <c:pt idx="1185">
                  <c:v>0.49</c:v>
                </c:pt>
                <c:pt idx="1186">
                  <c:v>0.6</c:v>
                </c:pt>
                <c:pt idx="1187">
                  <c:v>0.42</c:v>
                </c:pt>
                <c:pt idx="1188">
                  <c:v>0.55000000000000004</c:v>
                </c:pt>
                <c:pt idx="1189">
                  <c:v>0.26</c:v>
                </c:pt>
                <c:pt idx="1190">
                  <c:v>0.24</c:v>
                </c:pt>
                <c:pt idx="1191">
                  <c:v>0.41</c:v>
                </c:pt>
                <c:pt idx="1192">
                  <c:v>0.36</c:v>
                </c:pt>
                <c:pt idx="1193">
                  <c:v>0.49</c:v>
                </c:pt>
                <c:pt idx="1194">
                  <c:v>0.74</c:v>
                </c:pt>
                <c:pt idx="1195">
                  <c:v>0.57999999999999996</c:v>
                </c:pt>
                <c:pt idx="1196">
                  <c:v>0.28999999999999998</c:v>
                </c:pt>
                <c:pt idx="1197">
                  <c:v>0.37</c:v>
                </c:pt>
                <c:pt idx="1198">
                  <c:v>0.38</c:v>
                </c:pt>
                <c:pt idx="1199">
                  <c:v>0.6</c:v>
                </c:pt>
                <c:pt idx="1200">
                  <c:v>0.64</c:v>
                </c:pt>
                <c:pt idx="1201">
                  <c:v>0.44</c:v>
                </c:pt>
                <c:pt idx="1202">
                  <c:v>0.57999999999999996</c:v>
                </c:pt>
                <c:pt idx="1203">
                  <c:v>0.35</c:v>
                </c:pt>
                <c:pt idx="1204">
                  <c:v>0.53</c:v>
                </c:pt>
                <c:pt idx="1205">
                  <c:v>0.28999999999999998</c:v>
                </c:pt>
                <c:pt idx="1206">
                  <c:v>0.15</c:v>
                </c:pt>
                <c:pt idx="1207">
                  <c:v>0.12</c:v>
                </c:pt>
                <c:pt idx="1208">
                  <c:v>0.37</c:v>
                </c:pt>
                <c:pt idx="1209">
                  <c:v>0.43</c:v>
                </c:pt>
                <c:pt idx="1210">
                  <c:v>0.49</c:v>
                </c:pt>
                <c:pt idx="1211">
                  <c:v>0.77</c:v>
                </c:pt>
                <c:pt idx="1212">
                  <c:v>0.53</c:v>
                </c:pt>
                <c:pt idx="1213">
                  <c:v>0.11</c:v>
                </c:pt>
                <c:pt idx="1214">
                  <c:v>0.46</c:v>
                </c:pt>
                <c:pt idx="1215">
                  <c:v>0.61</c:v>
                </c:pt>
                <c:pt idx="1216">
                  <c:v>0.5</c:v>
                </c:pt>
                <c:pt idx="1217">
                  <c:v>0.27</c:v>
                </c:pt>
                <c:pt idx="1218">
                  <c:v>0.49</c:v>
                </c:pt>
                <c:pt idx="1219">
                  <c:v>0.28999999999999998</c:v>
                </c:pt>
                <c:pt idx="1220">
                  <c:v>0.41</c:v>
                </c:pt>
                <c:pt idx="1221">
                  <c:v>0.28000000000000003</c:v>
                </c:pt>
                <c:pt idx="1222">
                  <c:v>0</c:v>
                </c:pt>
                <c:pt idx="1223">
                  <c:v>0.56000000000000005</c:v>
                </c:pt>
                <c:pt idx="1224">
                  <c:v>0.39</c:v>
                </c:pt>
                <c:pt idx="1225">
                  <c:v>0.46</c:v>
                </c:pt>
                <c:pt idx="1226">
                  <c:v>0.62</c:v>
                </c:pt>
                <c:pt idx="1227">
                  <c:v>0.2</c:v>
                </c:pt>
                <c:pt idx="1228">
                  <c:v>0.5</c:v>
                </c:pt>
                <c:pt idx="1229">
                  <c:v>0.43</c:v>
                </c:pt>
                <c:pt idx="1230">
                  <c:v>0.66</c:v>
                </c:pt>
                <c:pt idx="1231">
                  <c:v>0.62</c:v>
                </c:pt>
                <c:pt idx="1232">
                  <c:v>0.39</c:v>
                </c:pt>
                <c:pt idx="1233">
                  <c:v>0.7</c:v>
                </c:pt>
                <c:pt idx="1234">
                  <c:v>0.38</c:v>
                </c:pt>
                <c:pt idx="1235">
                  <c:v>0.41</c:v>
                </c:pt>
                <c:pt idx="1236">
                  <c:v>0.28000000000000003</c:v>
                </c:pt>
                <c:pt idx="1237">
                  <c:v>0.04</c:v>
                </c:pt>
                <c:pt idx="1238">
                  <c:v>0.13</c:v>
                </c:pt>
                <c:pt idx="1239">
                  <c:v>0.2</c:v>
                </c:pt>
                <c:pt idx="1240">
                  <c:v>0.47</c:v>
                </c:pt>
                <c:pt idx="1241">
                  <c:v>0.19</c:v>
                </c:pt>
                <c:pt idx="1242">
                  <c:v>0.34</c:v>
                </c:pt>
                <c:pt idx="1243">
                  <c:v>0.55000000000000004</c:v>
                </c:pt>
                <c:pt idx="1244">
                  <c:v>0.22</c:v>
                </c:pt>
                <c:pt idx="1245">
                  <c:v>0.49</c:v>
                </c:pt>
                <c:pt idx="1246">
                  <c:v>0.68</c:v>
                </c:pt>
                <c:pt idx="1247">
                  <c:v>0.53</c:v>
                </c:pt>
                <c:pt idx="1248">
                  <c:v>0.27</c:v>
                </c:pt>
                <c:pt idx="1249">
                  <c:v>0.38</c:v>
                </c:pt>
                <c:pt idx="1250">
                  <c:v>0.31</c:v>
                </c:pt>
                <c:pt idx="1251">
                  <c:v>0.52</c:v>
                </c:pt>
                <c:pt idx="1252">
                  <c:v>0.12</c:v>
                </c:pt>
                <c:pt idx="1253">
                  <c:v>0.39</c:v>
                </c:pt>
                <c:pt idx="1254">
                  <c:v>0.39</c:v>
                </c:pt>
                <c:pt idx="1255">
                  <c:v>0.33</c:v>
                </c:pt>
                <c:pt idx="1256">
                  <c:v>7.0000000000000007E-2</c:v>
                </c:pt>
                <c:pt idx="1257">
                  <c:v>0.55000000000000004</c:v>
                </c:pt>
                <c:pt idx="1258">
                  <c:v>0.57999999999999996</c:v>
                </c:pt>
                <c:pt idx="1259">
                  <c:v>0.51</c:v>
                </c:pt>
                <c:pt idx="1260">
                  <c:v>0.17</c:v>
                </c:pt>
                <c:pt idx="1261">
                  <c:v>0.5</c:v>
                </c:pt>
                <c:pt idx="1262">
                  <c:v>0.55000000000000004</c:v>
                </c:pt>
                <c:pt idx="1263">
                  <c:v>0.41</c:v>
                </c:pt>
                <c:pt idx="1264">
                  <c:v>0.15</c:v>
                </c:pt>
                <c:pt idx="1265">
                  <c:v>0.06</c:v>
                </c:pt>
                <c:pt idx="1266">
                  <c:v>0.17</c:v>
                </c:pt>
                <c:pt idx="1267">
                  <c:v>0.73</c:v>
                </c:pt>
                <c:pt idx="1268">
                  <c:v>0</c:v>
                </c:pt>
                <c:pt idx="1269">
                  <c:v>0.61</c:v>
                </c:pt>
                <c:pt idx="1270">
                  <c:v>0.54</c:v>
                </c:pt>
                <c:pt idx="1271">
                  <c:v>0.16</c:v>
                </c:pt>
                <c:pt idx="1272">
                  <c:v>0.52</c:v>
                </c:pt>
                <c:pt idx="1273">
                  <c:v>0.4</c:v>
                </c:pt>
                <c:pt idx="1274">
                  <c:v>0.37</c:v>
                </c:pt>
                <c:pt idx="1275">
                  <c:v>0.56000000000000005</c:v>
                </c:pt>
                <c:pt idx="1276">
                  <c:v>0.18</c:v>
                </c:pt>
                <c:pt idx="1277">
                  <c:v>0.55000000000000004</c:v>
                </c:pt>
                <c:pt idx="1278">
                  <c:v>0.41</c:v>
                </c:pt>
                <c:pt idx="1279">
                  <c:v>0.16</c:v>
                </c:pt>
                <c:pt idx="1280">
                  <c:v>0.14000000000000001</c:v>
                </c:pt>
                <c:pt idx="1281">
                  <c:v>0.37</c:v>
                </c:pt>
                <c:pt idx="1282">
                  <c:v>0.46</c:v>
                </c:pt>
                <c:pt idx="1283">
                  <c:v>0.56999999999999995</c:v>
                </c:pt>
                <c:pt idx="1284">
                  <c:v>0.55000000000000004</c:v>
                </c:pt>
                <c:pt idx="1285">
                  <c:v>0.63</c:v>
                </c:pt>
                <c:pt idx="1286">
                  <c:v>0.77</c:v>
                </c:pt>
                <c:pt idx="1287">
                  <c:v>0.24</c:v>
                </c:pt>
                <c:pt idx="1288">
                  <c:v>0.26</c:v>
                </c:pt>
                <c:pt idx="1289">
                  <c:v>0.8</c:v>
                </c:pt>
                <c:pt idx="1290">
                  <c:v>0.5</c:v>
                </c:pt>
                <c:pt idx="1291">
                  <c:v>0.38</c:v>
                </c:pt>
                <c:pt idx="1292">
                  <c:v>0.44</c:v>
                </c:pt>
                <c:pt idx="1293">
                  <c:v>0.67</c:v>
                </c:pt>
                <c:pt idx="1294">
                  <c:v>0.22</c:v>
                </c:pt>
                <c:pt idx="1295">
                  <c:v>0.45</c:v>
                </c:pt>
                <c:pt idx="1296">
                  <c:v>0.4</c:v>
                </c:pt>
                <c:pt idx="1297">
                  <c:v>0.25</c:v>
                </c:pt>
                <c:pt idx="1298">
                  <c:v>0.52</c:v>
                </c:pt>
                <c:pt idx="1299">
                  <c:v>0.75</c:v>
                </c:pt>
                <c:pt idx="1300">
                  <c:v>0.44</c:v>
                </c:pt>
                <c:pt idx="1301">
                  <c:v>0.48</c:v>
                </c:pt>
                <c:pt idx="1302">
                  <c:v>0.03</c:v>
                </c:pt>
                <c:pt idx="1303">
                  <c:v>0.21</c:v>
                </c:pt>
                <c:pt idx="1304">
                  <c:v>0</c:v>
                </c:pt>
                <c:pt idx="1305">
                  <c:v>0.48</c:v>
                </c:pt>
                <c:pt idx="1306">
                  <c:v>0.53</c:v>
                </c:pt>
                <c:pt idx="1307">
                  <c:v>0.03</c:v>
                </c:pt>
                <c:pt idx="1308">
                  <c:v>0.52</c:v>
                </c:pt>
                <c:pt idx="1309">
                  <c:v>0.48</c:v>
                </c:pt>
                <c:pt idx="1310">
                  <c:v>0.28000000000000003</c:v>
                </c:pt>
                <c:pt idx="1311">
                  <c:v>0.57999999999999996</c:v>
                </c:pt>
                <c:pt idx="1312">
                  <c:v>0.43</c:v>
                </c:pt>
                <c:pt idx="1313">
                  <c:v>0.49</c:v>
                </c:pt>
                <c:pt idx="1314">
                  <c:v>0.77</c:v>
                </c:pt>
                <c:pt idx="1315">
                  <c:v>0.56999999999999995</c:v>
                </c:pt>
                <c:pt idx="1316">
                  <c:v>0.5</c:v>
                </c:pt>
                <c:pt idx="1317">
                  <c:v>0.73</c:v>
                </c:pt>
                <c:pt idx="1318">
                  <c:v>0.45</c:v>
                </c:pt>
                <c:pt idx="1319">
                  <c:v>0.4</c:v>
                </c:pt>
                <c:pt idx="1320">
                  <c:v>0.57999999999999996</c:v>
                </c:pt>
                <c:pt idx="1321">
                  <c:v>0.33</c:v>
                </c:pt>
                <c:pt idx="1322">
                  <c:v>0.28000000000000003</c:v>
                </c:pt>
                <c:pt idx="1323">
                  <c:v>0.45</c:v>
                </c:pt>
                <c:pt idx="1324">
                  <c:v>0.68</c:v>
                </c:pt>
                <c:pt idx="1325">
                  <c:v>0.35</c:v>
                </c:pt>
                <c:pt idx="1326">
                  <c:v>0.4</c:v>
                </c:pt>
                <c:pt idx="1327">
                  <c:v>0.62</c:v>
                </c:pt>
                <c:pt idx="1328">
                  <c:v>0.25</c:v>
                </c:pt>
                <c:pt idx="1329">
                  <c:v>0.27</c:v>
                </c:pt>
                <c:pt idx="1330">
                  <c:v>0.62</c:v>
                </c:pt>
                <c:pt idx="1331">
                  <c:v>0.41</c:v>
                </c:pt>
                <c:pt idx="1332">
                  <c:v>0.53</c:v>
                </c:pt>
                <c:pt idx="1333">
                  <c:v>0.21</c:v>
                </c:pt>
                <c:pt idx="1334">
                  <c:v>0.33</c:v>
                </c:pt>
                <c:pt idx="1335">
                  <c:v>0.55000000000000004</c:v>
                </c:pt>
                <c:pt idx="1336">
                  <c:v>0.47</c:v>
                </c:pt>
                <c:pt idx="1337">
                  <c:v>0.18</c:v>
                </c:pt>
                <c:pt idx="1338">
                  <c:v>0.37</c:v>
                </c:pt>
                <c:pt idx="1339">
                  <c:v>0.37</c:v>
                </c:pt>
                <c:pt idx="1340">
                  <c:v>0.51</c:v>
                </c:pt>
                <c:pt idx="1341">
                  <c:v>0.28000000000000003</c:v>
                </c:pt>
                <c:pt idx="1342">
                  <c:v>0.09</c:v>
                </c:pt>
                <c:pt idx="1343">
                  <c:v>0.3</c:v>
                </c:pt>
                <c:pt idx="1344">
                  <c:v>0.57999999999999996</c:v>
                </c:pt>
                <c:pt idx="1345">
                  <c:v>0.14000000000000001</c:v>
                </c:pt>
                <c:pt idx="1346">
                  <c:v>0.53</c:v>
                </c:pt>
                <c:pt idx="1347">
                  <c:v>0.5</c:v>
                </c:pt>
                <c:pt idx="1348">
                  <c:v>0.38</c:v>
                </c:pt>
                <c:pt idx="1349">
                  <c:v>0.6</c:v>
                </c:pt>
                <c:pt idx="1350">
                  <c:v>0.43</c:v>
                </c:pt>
                <c:pt idx="1351">
                  <c:v>0.41</c:v>
                </c:pt>
                <c:pt idx="1352">
                  <c:v>0.43</c:v>
                </c:pt>
                <c:pt idx="1353">
                  <c:v>0.49</c:v>
                </c:pt>
                <c:pt idx="1354">
                  <c:v>0.43</c:v>
                </c:pt>
                <c:pt idx="1355">
                  <c:v>0</c:v>
                </c:pt>
                <c:pt idx="1356">
                  <c:v>0.46</c:v>
                </c:pt>
                <c:pt idx="1357">
                  <c:v>0.54</c:v>
                </c:pt>
                <c:pt idx="1358">
                  <c:v>0.08</c:v>
                </c:pt>
                <c:pt idx="1359">
                  <c:v>0.45</c:v>
                </c:pt>
                <c:pt idx="1360">
                  <c:v>0.43</c:v>
                </c:pt>
                <c:pt idx="1361">
                  <c:v>0.28999999999999998</c:v>
                </c:pt>
                <c:pt idx="1362">
                  <c:v>0.55000000000000004</c:v>
                </c:pt>
                <c:pt idx="1363">
                  <c:v>0.64</c:v>
                </c:pt>
                <c:pt idx="1364">
                  <c:v>0.51</c:v>
                </c:pt>
                <c:pt idx="1365">
                  <c:v>0.76</c:v>
                </c:pt>
                <c:pt idx="1366">
                  <c:v>0.39</c:v>
                </c:pt>
                <c:pt idx="1367">
                  <c:v>0.34</c:v>
                </c:pt>
                <c:pt idx="1368">
                  <c:v>0.41</c:v>
                </c:pt>
                <c:pt idx="1369">
                  <c:v>0.54</c:v>
                </c:pt>
                <c:pt idx="1370">
                  <c:v>0.5</c:v>
                </c:pt>
                <c:pt idx="1371">
                  <c:v>0.28999999999999998</c:v>
                </c:pt>
                <c:pt idx="1372">
                  <c:v>0.38</c:v>
                </c:pt>
                <c:pt idx="1373">
                  <c:v>0.69</c:v>
                </c:pt>
                <c:pt idx="1374">
                  <c:v>0.22</c:v>
                </c:pt>
                <c:pt idx="1375">
                  <c:v>0.6</c:v>
                </c:pt>
                <c:pt idx="1376">
                  <c:v>0.86</c:v>
                </c:pt>
                <c:pt idx="1377">
                  <c:v>0.31</c:v>
                </c:pt>
                <c:pt idx="1378">
                  <c:v>0.71</c:v>
                </c:pt>
                <c:pt idx="1379">
                  <c:v>0.53</c:v>
                </c:pt>
                <c:pt idx="1380">
                  <c:v>0.08</c:v>
                </c:pt>
                <c:pt idx="1381">
                  <c:v>0.28000000000000003</c:v>
                </c:pt>
                <c:pt idx="1382">
                  <c:v>0.45</c:v>
                </c:pt>
                <c:pt idx="1383">
                  <c:v>0.44</c:v>
                </c:pt>
                <c:pt idx="1384">
                  <c:v>0.33</c:v>
                </c:pt>
                <c:pt idx="1385">
                  <c:v>0.35</c:v>
                </c:pt>
                <c:pt idx="1386">
                  <c:v>0.04</c:v>
                </c:pt>
                <c:pt idx="1387">
                  <c:v>0.31</c:v>
                </c:pt>
                <c:pt idx="1388">
                  <c:v>0.56999999999999995</c:v>
                </c:pt>
                <c:pt idx="1389">
                  <c:v>0.62</c:v>
                </c:pt>
                <c:pt idx="1390">
                  <c:v>0.17</c:v>
                </c:pt>
                <c:pt idx="1391">
                  <c:v>0.28999999999999998</c:v>
                </c:pt>
                <c:pt idx="1392">
                  <c:v>0.5</c:v>
                </c:pt>
                <c:pt idx="1393">
                  <c:v>0.53</c:v>
                </c:pt>
                <c:pt idx="1394">
                  <c:v>0.45</c:v>
                </c:pt>
                <c:pt idx="1395">
                  <c:v>0.56999999999999995</c:v>
                </c:pt>
                <c:pt idx="1396">
                  <c:v>0.62</c:v>
                </c:pt>
                <c:pt idx="1397">
                  <c:v>0.25</c:v>
                </c:pt>
                <c:pt idx="1398">
                  <c:v>0.45</c:v>
                </c:pt>
                <c:pt idx="1399">
                  <c:v>0.27</c:v>
                </c:pt>
                <c:pt idx="1400">
                  <c:v>0.26</c:v>
                </c:pt>
                <c:pt idx="1401">
                  <c:v>0.48</c:v>
                </c:pt>
                <c:pt idx="1402">
                  <c:v>0.33</c:v>
                </c:pt>
                <c:pt idx="1403">
                  <c:v>0.54</c:v>
                </c:pt>
                <c:pt idx="1404">
                  <c:v>0.3</c:v>
                </c:pt>
                <c:pt idx="1405">
                  <c:v>0.46</c:v>
                </c:pt>
                <c:pt idx="1406">
                  <c:v>0.37</c:v>
                </c:pt>
                <c:pt idx="1407">
                  <c:v>0.43</c:v>
                </c:pt>
                <c:pt idx="1408">
                  <c:v>0.78</c:v>
                </c:pt>
                <c:pt idx="1409">
                  <c:v>0.5</c:v>
                </c:pt>
                <c:pt idx="1410">
                  <c:v>0.24</c:v>
                </c:pt>
                <c:pt idx="1411">
                  <c:v>0.03</c:v>
                </c:pt>
                <c:pt idx="1412">
                  <c:v>0.33</c:v>
                </c:pt>
                <c:pt idx="1413">
                  <c:v>0.49</c:v>
                </c:pt>
                <c:pt idx="1414">
                  <c:v>0.27</c:v>
                </c:pt>
                <c:pt idx="1415">
                  <c:v>0.4</c:v>
                </c:pt>
                <c:pt idx="1416">
                  <c:v>0.8</c:v>
                </c:pt>
                <c:pt idx="1417">
                  <c:v>0.51</c:v>
                </c:pt>
                <c:pt idx="1418">
                  <c:v>0.33</c:v>
                </c:pt>
                <c:pt idx="1419">
                  <c:v>0.35</c:v>
                </c:pt>
                <c:pt idx="1420">
                  <c:v>0.59</c:v>
                </c:pt>
                <c:pt idx="1421">
                  <c:v>0.55000000000000004</c:v>
                </c:pt>
                <c:pt idx="1422">
                  <c:v>0.59</c:v>
                </c:pt>
                <c:pt idx="1423">
                  <c:v>0.59</c:v>
                </c:pt>
                <c:pt idx="1424">
                  <c:v>0.11</c:v>
                </c:pt>
                <c:pt idx="1425">
                  <c:v>0.38</c:v>
                </c:pt>
                <c:pt idx="1426">
                  <c:v>0.59</c:v>
                </c:pt>
                <c:pt idx="1427">
                  <c:v>0.6</c:v>
                </c:pt>
                <c:pt idx="1428">
                  <c:v>0.24</c:v>
                </c:pt>
                <c:pt idx="1429">
                  <c:v>0.31</c:v>
                </c:pt>
                <c:pt idx="1430">
                  <c:v>0.37</c:v>
                </c:pt>
                <c:pt idx="1431">
                  <c:v>0.15</c:v>
                </c:pt>
                <c:pt idx="1432">
                  <c:v>0.48</c:v>
                </c:pt>
                <c:pt idx="1433">
                  <c:v>0.46</c:v>
                </c:pt>
                <c:pt idx="1434">
                  <c:v>0.5</c:v>
                </c:pt>
                <c:pt idx="1435">
                  <c:v>0.12</c:v>
                </c:pt>
                <c:pt idx="1436">
                  <c:v>0.33</c:v>
                </c:pt>
                <c:pt idx="1437">
                  <c:v>0.44</c:v>
                </c:pt>
                <c:pt idx="1438">
                  <c:v>0.38</c:v>
                </c:pt>
                <c:pt idx="1439">
                  <c:v>0.4</c:v>
                </c:pt>
                <c:pt idx="1440">
                  <c:v>0.5</c:v>
                </c:pt>
                <c:pt idx="1441">
                  <c:v>0.18</c:v>
                </c:pt>
                <c:pt idx="1442">
                  <c:v>0.28000000000000003</c:v>
                </c:pt>
                <c:pt idx="1443">
                  <c:v>0.17</c:v>
                </c:pt>
                <c:pt idx="1444">
                  <c:v>0.49</c:v>
                </c:pt>
                <c:pt idx="1445">
                  <c:v>0.38</c:v>
                </c:pt>
                <c:pt idx="1446">
                  <c:v>0.39</c:v>
                </c:pt>
                <c:pt idx="1447">
                  <c:v>0.43</c:v>
                </c:pt>
                <c:pt idx="1448">
                  <c:v>0.43</c:v>
                </c:pt>
                <c:pt idx="1449">
                  <c:v>0.72</c:v>
                </c:pt>
                <c:pt idx="1450">
                  <c:v>0.55000000000000004</c:v>
                </c:pt>
                <c:pt idx="1451">
                  <c:v>0.32</c:v>
                </c:pt>
                <c:pt idx="1452">
                  <c:v>0.56999999999999995</c:v>
                </c:pt>
                <c:pt idx="1453">
                  <c:v>0.28999999999999998</c:v>
                </c:pt>
                <c:pt idx="1454">
                  <c:v>0.5</c:v>
                </c:pt>
                <c:pt idx="1455">
                  <c:v>0.3</c:v>
                </c:pt>
                <c:pt idx="1456">
                  <c:v>0.59</c:v>
                </c:pt>
                <c:pt idx="1457">
                  <c:v>0</c:v>
                </c:pt>
                <c:pt idx="1458">
                  <c:v>0.59</c:v>
                </c:pt>
                <c:pt idx="1459">
                  <c:v>0.8</c:v>
                </c:pt>
                <c:pt idx="1460">
                  <c:v>0.59</c:v>
                </c:pt>
                <c:pt idx="1461">
                  <c:v>0.25</c:v>
                </c:pt>
                <c:pt idx="1462">
                  <c:v>0.28000000000000003</c:v>
                </c:pt>
                <c:pt idx="1463">
                  <c:v>0.26</c:v>
                </c:pt>
                <c:pt idx="1464">
                  <c:v>0.22</c:v>
                </c:pt>
              </c:numCache>
            </c:numRef>
          </c:xVal>
          <c:yVal>
            <c:numRef>
              <c:f>Clean_Data!$G$2:$G$1466</c:f>
              <c:numCache>
                <c:formatCode>0.0</c:formatCode>
                <c:ptCount val="1465"/>
                <c:pt idx="0">
                  <c:v>4.2</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5</c:v>
                </c:pt>
                <c:pt idx="325">
                  <c:v>4.0999999999999996</c:v>
                </c:pt>
                <c:pt idx="326">
                  <c:v>3.9</c:v>
                </c:pt>
                <c:pt idx="327">
                  <c:v>4.2</c:v>
                </c:pt>
                <c:pt idx="328">
                  <c:v>4.3</c:v>
                </c:pt>
                <c:pt idx="329">
                  <c:v>3.8</c:v>
                </c:pt>
                <c:pt idx="330">
                  <c:v>4.3</c:v>
                </c:pt>
                <c:pt idx="331">
                  <c:v>4.4000000000000004</c:v>
                </c:pt>
                <c:pt idx="332">
                  <c:v>4.3</c:v>
                </c:pt>
                <c:pt idx="333">
                  <c:v>4.3</c:v>
                </c:pt>
                <c:pt idx="334">
                  <c:v>4.2</c:v>
                </c:pt>
                <c:pt idx="335">
                  <c:v>4.3</c:v>
                </c:pt>
                <c:pt idx="336">
                  <c:v>3.8</c:v>
                </c:pt>
                <c:pt idx="337">
                  <c:v>4.3</c:v>
                </c:pt>
                <c:pt idx="338">
                  <c:v>4</c:v>
                </c:pt>
                <c:pt idx="339">
                  <c:v>4.3</c:v>
                </c:pt>
                <c:pt idx="340">
                  <c:v>4.3</c:v>
                </c:pt>
                <c:pt idx="341">
                  <c:v>4</c:v>
                </c:pt>
                <c:pt idx="342">
                  <c:v>4</c:v>
                </c:pt>
                <c:pt idx="343">
                  <c:v>4.4000000000000004</c:v>
                </c:pt>
                <c:pt idx="344">
                  <c:v>4.0999999999999996</c:v>
                </c:pt>
                <c:pt idx="345">
                  <c:v>4</c:v>
                </c:pt>
                <c:pt idx="346">
                  <c:v>3.9</c:v>
                </c:pt>
                <c:pt idx="347">
                  <c:v>4.0999999999999996</c:v>
                </c:pt>
                <c:pt idx="348">
                  <c:v>4.2</c:v>
                </c:pt>
                <c:pt idx="349">
                  <c:v>3.9</c:v>
                </c:pt>
                <c:pt idx="350">
                  <c:v>4</c:v>
                </c:pt>
                <c:pt idx="351">
                  <c:v>4</c:v>
                </c:pt>
                <c:pt idx="352">
                  <c:v>4.0999999999999996</c:v>
                </c:pt>
                <c:pt idx="353">
                  <c:v>4.4000000000000004</c:v>
                </c:pt>
                <c:pt idx="354">
                  <c:v>4.2</c:v>
                </c:pt>
                <c:pt idx="355">
                  <c:v>4.3</c:v>
                </c:pt>
                <c:pt idx="356">
                  <c:v>4.3</c:v>
                </c:pt>
                <c:pt idx="357">
                  <c:v>3.9</c:v>
                </c:pt>
                <c:pt idx="358">
                  <c:v>4.4000000000000004</c:v>
                </c:pt>
                <c:pt idx="359">
                  <c:v>4</c:v>
                </c:pt>
                <c:pt idx="360">
                  <c:v>4.2</c:v>
                </c:pt>
                <c:pt idx="361">
                  <c:v>4.0999999999999996</c:v>
                </c:pt>
                <c:pt idx="362">
                  <c:v>4.4000000000000004</c:v>
                </c:pt>
                <c:pt idx="363">
                  <c:v>4.0999999999999996</c:v>
                </c:pt>
                <c:pt idx="364">
                  <c:v>4.2</c:v>
                </c:pt>
                <c:pt idx="365">
                  <c:v>4.2</c:v>
                </c:pt>
                <c:pt idx="366">
                  <c:v>4.0999999999999996</c:v>
                </c:pt>
                <c:pt idx="367">
                  <c:v>4</c:v>
                </c:pt>
                <c:pt idx="368">
                  <c:v>4.2</c:v>
                </c:pt>
                <c:pt idx="369">
                  <c:v>4.2</c:v>
                </c:pt>
                <c:pt idx="370">
                  <c:v>4.0999999999999996</c:v>
                </c:pt>
                <c:pt idx="371">
                  <c:v>4.0999999999999996</c:v>
                </c:pt>
                <c:pt idx="372">
                  <c:v>4.2</c:v>
                </c:pt>
                <c:pt idx="373">
                  <c:v>4</c:v>
                </c:pt>
                <c:pt idx="374">
                  <c:v>4.3</c:v>
                </c:pt>
                <c:pt idx="375">
                  <c:v>4.3</c:v>
                </c:pt>
                <c:pt idx="376">
                  <c:v>4.0999999999999996</c:v>
                </c:pt>
                <c:pt idx="377">
                  <c:v>4</c:v>
                </c:pt>
                <c:pt idx="378">
                  <c:v>4.0999999999999996</c:v>
                </c:pt>
                <c:pt idx="379">
                  <c:v>3.9</c:v>
                </c:pt>
                <c:pt idx="380">
                  <c:v>4.2</c:v>
                </c:pt>
                <c:pt idx="381">
                  <c:v>4</c:v>
                </c:pt>
                <c:pt idx="382">
                  <c:v>4.4000000000000004</c:v>
                </c:pt>
                <c:pt idx="383">
                  <c:v>4.2</c:v>
                </c:pt>
                <c:pt idx="384">
                  <c:v>3.8</c:v>
                </c:pt>
                <c:pt idx="385">
                  <c:v>4.3</c:v>
                </c:pt>
                <c:pt idx="386">
                  <c:v>4.2</c:v>
                </c:pt>
                <c:pt idx="387">
                  <c:v>3.9</c:v>
                </c:pt>
                <c:pt idx="388">
                  <c:v>4.4000000000000004</c:v>
                </c:pt>
                <c:pt idx="389">
                  <c:v>4</c:v>
                </c:pt>
                <c:pt idx="390">
                  <c:v>4</c:v>
                </c:pt>
                <c:pt idx="391">
                  <c:v>3.8</c:v>
                </c:pt>
                <c:pt idx="392">
                  <c:v>4.2</c:v>
                </c:pt>
                <c:pt idx="393">
                  <c:v>4.2</c:v>
                </c:pt>
                <c:pt idx="394">
                  <c:v>4.4000000000000004</c:v>
                </c:pt>
                <c:pt idx="395">
                  <c:v>4.2</c:v>
                </c:pt>
                <c:pt idx="396">
                  <c:v>4</c:v>
                </c:pt>
                <c:pt idx="397">
                  <c:v>4.3</c:v>
                </c:pt>
                <c:pt idx="398">
                  <c:v>4.0999999999999996</c:v>
                </c:pt>
                <c:pt idx="399">
                  <c:v>4.0999999999999996</c:v>
                </c:pt>
                <c:pt idx="400">
                  <c:v>4.0999999999999996</c:v>
                </c:pt>
                <c:pt idx="401">
                  <c:v>4.0999999999999996</c:v>
                </c:pt>
                <c:pt idx="402">
                  <c:v>4.4000000000000004</c:v>
                </c:pt>
                <c:pt idx="403">
                  <c:v>3.9</c:v>
                </c:pt>
                <c:pt idx="404">
                  <c:v>4.3</c:v>
                </c:pt>
                <c:pt idx="405">
                  <c:v>4</c:v>
                </c:pt>
                <c:pt idx="406">
                  <c:v>4.3</c:v>
                </c:pt>
                <c:pt idx="407">
                  <c:v>4</c:v>
                </c:pt>
                <c:pt idx="408">
                  <c:v>3.6</c:v>
                </c:pt>
                <c:pt idx="409">
                  <c:v>4.0999999999999996</c:v>
                </c:pt>
                <c:pt idx="410">
                  <c:v>4.2</c:v>
                </c:pt>
                <c:pt idx="411">
                  <c:v>4.0999999999999996</c:v>
                </c:pt>
                <c:pt idx="412">
                  <c:v>4.0999999999999996</c:v>
                </c:pt>
                <c:pt idx="413">
                  <c:v>4</c:v>
                </c:pt>
                <c:pt idx="414">
                  <c:v>4</c:v>
                </c:pt>
                <c:pt idx="415">
                  <c:v>3.5</c:v>
                </c:pt>
                <c:pt idx="416">
                  <c:v>4.3</c:v>
                </c:pt>
                <c:pt idx="417">
                  <c:v>4.0999999999999996</c:v>
                </c:pt>
                <c:pt idx="418">
                  <c:v>4.0999999999999996</c:v>
                </c:pt>
                <c:pt idx="419">
                  <c:v>4.0999999999999996</c:v>
                </c:pt>
                <c:pt idx="420">
                  <c:v>4.0999999999999996</c:v>
                </c:pt>
                <c:pt idx="421">
                  <c:v>3.8</c:v>
                </c:pt>
                <c:pt idx="422">
                  <c:v>4.3</c:v>
                </c:pt>
                <c:pt idx="423">
                  <c:v>4</c:v>
                </c:pt>
                <c:pt idx="424">
                  <c:v>4.2</c:v>
                </c:pt>
                <c:pt idx="425">
                  <c:v>4.0999999999999996</c:v>
                </c:pt>
                <c:pt idx="426">
                  <c:v>4.0999999999999996</c:v>
                </c:pt>
                <c:pt idx="427">
                  <c:v>4.0999999999999996</c:v>
                </c:pt>
                <c:pt idx="428">
                  <c:v>4.3</c:v>
                </c:pt>
                <c:pt idx="429">
                  <c:v>3.9</c:v>
                </c:pt>
                <c:pt idx="430">
                  <c:v>4</c:v>
                </c:pt>
                <c:pt idx="431">
                  <c:v>4.5</c:v>
                </c:pt>
                <c:pt idx="432">
                  <c:v>4</c:v>
                </c:pt>
                <c:pt idx="433">
                  <c:v>4</c:v>
                </c:pt>
                <c:pt idx="434">
                  <c:v>4.0999999999999996</c:v>
                </c:pt>
                <c:pt idx="435">
                  <c:v>4.0999999999999996</c:v>
                </c:pt>
                <c:pt idx="436">
                  <c:v>3.9</c:v>
                </c:pt>
                <c:pt idx="437">
                  <c:v>4.0999999999999996</c:v>
                </c:pt>
                <c:pt idx="438">
                  <c:v>4.0999999999999996</c:v>
                </c:pt>
                <c:pt idx="439">
                  <c:v>4</c:v>
                </c:pt>
                <c:pt idx="440">
                  <c:v>4.3</c:v>
                </c:pt>
                <c:pt idx="441">
                  <c:v>4</c:v>
                </c:pt>
                <c:pt idx="442">
                  <c:v>4.0999999999999996</c:v>
                </c:pt>
                <c:pt idx="443">
                  <c:v>4.2</c:v>
                </c:pt>
                <c:pt idx="444">
                  <c:v>4</c:v>
                </c:pt>
                <c:pt idx="445">
                  <c:v>4.0999999999999996</c:v>
                </c:pt>
                <c:pt idx="446">
                  <c:v>4.2</c:v>
                </c:pt>
                <c:pt idx="447">
                  <c:v>4.5999999999999996</c:v>
                </c:pt>
                <c:pt idx="448">
                  <c:v>4</c:v>
                </c:pt>
                <c:pt idx="449">
                  <c:v>4</c:v>
                </c:pt>
                <c:pt idx="450">
                  <c:v>4.3</c:v>
                </c:pt>
                <c:pt idx="451">
                  <c:v>4.3</c:v>
                </c:pt>
                <c:pt idx="452">
                  <c:v>4.2</c:v>
                </c:pt>
                <c:pt idx="453">
                  <c:v>4</c:v>
                </c:pt>
                <c:pt idx="454">
                  <c:v>4.2</c:v>
                </c:pt>
                <c:pt idx="455">
                  <c:v>4</c:v>
                </c:pt>
                <c:pt idx="456">
                  <c:v>4.0999999999999996</c:v>
                </c:pt>
                <c:pt idx="457">
                  <c:v>3.9</c:v>
                </c:pt>
                <c:pt idx="458">
                  <c:v>3.8</c:v>
                </c:pt>
                <c:pt idx="459">
                  <c:v>4.7</c:v>
                </c:pt>
                <c:pt idx="460">
                  <c:v>4.3</c:v>
                </c:pt>
                <c:pt idx="461">
                  <c:v>4.2</c:v>
                </c:pt>
                <c:pt idx="462">
                  <c:v>4.0999999999999996</c:v>
                </c:pt>
                <c:pt idx="463">
                  <c:v>3.3</c:v>
                </c:pt>
                <c:pt idx="464">
                  <c:v>4.4000000000000004</c:v>
                </c:pt>
                <c:pt idx="465">
                  <c:v>4</c:v>
                </c:pt>
                <c:pt idx="466">
                  <c:v>4.2</c:v>
                </c:pt>
                <c:pt idx="467">
                  <c:v>4.5</c:v>
                </c:pt>
                <c:pt idx="468">
                  <c:v>4.5999999999999996</c:v>
                </c:pt>
                <c:pt idx="469">
                  <c:v>4.2</c:v>
                </c:pt>
                <c:pt idx="470">
                  <c:v>4</c:v>
                </c:pt>
                <c:pt idx="471">
                  <c:v>3.7</c:v>
                </c:pt>
                <c:pt idx="472">
                  <c:v>4.0999999999999996</c:v>
                </c:pt>
                <c:pt idx="473">
                  <c:v>4.0999999999999996</c:v>
                </c:pt>
                <c:pt idx="474">
                  <c:v>4.2</c:v>
                </c:pt>
                <c:pt idx="475">
                  <c:v>4.2</c:v>
                </c:pt>
                <c:pt idx="476">
                  <c:v>4.5</c:v>
                </c:pt>
                <c:pt idx="477">
                  <c:v>3.8</c:v>
                </c:pt>
                <c:pt idx="478">
                  <c:v>4</c:v>
                </c:pt>
                <c:pt idx="479">
                  <c:v>4.0999999999999996</c:v>
                </c:pt>
                <c:pt idx="480">
                  <c:v>3.8</c:v>
                </c:pt>
                <c:pt idx="481">
                  <c:v>4.0999999999999996</c:v>
                </c:pt>
                <c:pt idx="482">
                  <c:v>3.8</c:v>
                </c:pt>
                <c:pt idx="483">
                  <c:v>4.2</c:v>
                </c:pt>
                <c:pt idx="484">
                  <c:v>4.2</c:v>
                </c:pt>
                <c:pt idx="485">
                  <c:v>4.2</c:v>
                </c:pt>
                <c:pt idx="486">
                  <c:v>4</c:v>
                </c:pt>
                <c:pt idx="487">
                  <c:v>3.5</c:v>
                </c:pt>
                <c:pt idx="488">
                  <c:v>4.3</c:v>
                </c:pt>
                <c:pt idx="489">
                  <c:v>4.0999999999999996</c:v>
                </c:pt>
                <c:pt idx="490">
                  <c:v>3.9</c:v>
                </c:pt>
                <c:pt idx="491">
                  <c:v>3.9</c:v>
                </c:pt>
                <c:pt idx="492">
                  <c:v>3.3</c:v>
                </c:pt>
                <c:pt idx="493">
                  <c:v>4</c:v>
                </c:pt>
                <c:pt idx="494">
                  <c:v>4</c:v>
                </c:pt>
                <c:pt idx="495">
                  <c:v>4</c:v>
                </c:pt>
                <c:pt idx="496">
                  <c:v>3.9</c:v>
                </c:pt>
                <c:pt idx="497">
                  <c:v>4.3</c:v>
                </c:pt>
                <c:pt idx="498">
                  <c:v>4.0999999999999996</c:v>
                </c:pt>
                <c:pt idx="499">
                  <c:v>4.0999999999999996</c:v>
                </c:pt>
                <c:pt idx="500">
                  <c:v>4.3</c:v>
                </c:pt>
                <c:pt idx="501">
                  <c:v>4.0999999999999996</c:v>
                </c:pt>
                <c:pt idx="502">
                  <c:v>4.0999999999999996</c:v>
                </c:pt>
                <c:pt idx="503">
                  <c:v>4.3</c:v>
                </c:pt>
                <c:pt idx="504">
                  <c:v>4.4000000000000004</c:v>
                </c:pt>
                <c:pt idx="505">
                  <c:v>4.2</c:v>
                </c:pt>
                <c:pt idx="506">
                  <c:v>3.3</c:v>
                </c:pt>
                <c:pt idx="507">
                  <c:v>4.4000000000000004</c:v>
                </c:pt>
                <c:pt idx="508">
                  <c:v>4.3</c:v>
                </c:pt>
                <c:pt idx="509">
                  <c:v>4.0999999999999996</c:v>
                </c:pt>
                <c:pt idx="510">
                  <c:v>4</c:v>
                </c:pt>
                <c:pt idx="511">
                  <c:v>4.0999999999999996</c:v>
                </c:pt>
                <c:pt idx="512">
                  <c:v>4.3</c:v>
                </c:pt>
                <c:pt idx="513">
                  <c:v>3.8</c:v>
                </c:pt>
                <c:pt idx="514">
                  <c:v>3.9</c:v>
                </c:pt>
                <c:pt idx="515">
                  <c:v>3.7</c:v>
                </c:pt>
                <c:pt idx="516">
                  <c:v>4</c:v>
                </c:pt>
                <c:pt idx="517">
                  <c:v>4.2</c:v>
                </c:pt>
                <c:pt idx="518">
                  <c:v>4.4000000000000004</c:v>
                </c:pt>
                <c:pt idx="519">
                  <c:v>3.9</c:v>
                </c:pt>
                <c:pt idx="520">
                  <c:v>4.5</c:v>
                </c:pt>
                <c:pt idx="521">
                  <c:v>4.2</c:v>
                </c:pt>
                <c:pt idx="522">
                  <c:v>3.9</c:v>
                </c:pt>
                <c:pt idx="523">
                  <c:v>4.2</c:v>
                </c:pt>
                <c:pt idx="524">
                  <c:v>4.0999999999999996</c:v>
                </c:pt>
                <c:pt idx="525">
                  <c:v>4.0999999999999996</c:v>
                </c:pt>
                <c:pt idx="526">
                  <c:v>4.3</c:v>
                </c:pt>
                <c:pt idx="527">
                  <c:v>4.0999999999999996</c:v>
                </c:pt>
                <c:pt idx="528">
                  <c:v>4.3</c:v>
                </c:pt>
                <c:pt idx="529">
                  <c:v>3.6</c:v>
                </c:pt>
                <c:pt idx="530">
                  <c:v>4.0999999999999996</c:v>
                </c:pt>
                <c:pt idx="531">
                  <c:v>4</c:v>
                </c:pt>
                <c:pt idx="532">
                  <c:v>4.0999999999999996</c:v>
                </c:pt>
                <c:pt idx="533">
                  <c:v>4.3</c:v>
                </c:pt>
                <c:pt idx="534">
                  <c:v>3.9</c:v>
                </c:pt>
                <c:pt idx="535">
                  <c:v>4.0999999999999996</c:v>
                </c:pt>
                <c:pt idx="536">
                  <c:v>4.0999999999999996</c:v>
                </c:pt>
                <c:pt idx="537">
                  <c:v>4.4000000000000004</c:v>
                </c:pt>
                <c:pt idx="538">
                  <c:v>3.8</c:v>
                </c:pt>
                <c:pt idx="539">
                  <c:v>4.3</c:v>
                </c:pt>
                <c:pt idx="540">
                  <c:v>4.3</c:v>
                </c:pt>
                <c:pt idx="541">
                  <c:v>3.5</c:v>
                </c:pt>
                <c:pt idx="542">
                  <c:v>4</c:v>
                </c:pt>
                <c:pt idx="543">
                  <c:v>3.9</c:v>
                </c:pt>
                <c:pt idx="544">
                  <c:v>4.3</c:v>
                </c:pt>
                <c:pt idx="545">
                  <c:v>2.8</c:v>
                </c:pt>
                <c:pt idx="546">
                  <c:v>3.8</c:v>
                </c:pt>
                <c:pt idx="547">
                  <c:v>4.5</c:v>
                </c:pt>
                <c:pt idx="548">
                  <c:v>4.3</c:v>
                </c:pt>
                <c:pt idx="549">
                  <c:v>4.0999999999999996</c:v>
                </c:pt>
                <c:pt idx="550">
                  <c:v>3</c:v>
                </c:pt>
                <c:pt idx="551">
                  <c:v>4</c:v>
                </c:pt>
                <c:pt idx="552">
                  <c:v>3.9</c:v>
                </c:pt>
                <c:pt idx="553">
                  <c:v>4.0999999999999996</c:v>
                </c:pt>
                <c:pt idx="554">
                  <c:v>4.0999999999999996</c:v>
                </c:pt>
                <c:pt idx="555">
                  <c:v>4.3</c:v>
                </c:pt>
                <c:pt idx="556">
                  <c:v>4</c:v>
                </c:pt>
                <c:pt idx="557">
                  <c:v>4.4000000000000004</c:v>
                </c:pt>
                <c:pt idx="558">
                  <c:v>4.3</c:v>
                </c:pt>
                <c:pt idx="559">
                  <c:v>4.2</c:v>
                </c:pt>
                <c:pt idx="560">
                  <c:v>3.8</c:v>
                </c:pt>
                <c:pt idx="561">
                  <c:v>4.3</c:v>
                </c:pt>
                <c:pt idx="562">
                  <c:v>4.3</c:v>
                </c:pt>
                <c:pt idx="563">
                  <c:v>4.3</c:v>
                </c:pt>
                <c:pt idx="564">
                  <c:v>4</c:v>
                </c:pt>
                <c:pt idx="565">
                  <c:v>3.9</c:v>
                </c:pt>
                <c:pt idx="566">
                  <c:v>4.0999999999999996</c:v>
                </c:pt>
                <c:pt idx="567">
                  <c:v>3.7</c:v>
                </c:pt>
                <c:pt idx="568">
                  <c:v>4.2</c:v>
                </c:pt>
                <c:pt idx="569">
                  <c:v>4.0999999999999996</c:v>
                </c:pt>
                <c:pt idx="570">
                  <c:v>4</c:v>
                </c:pt>
                <c:pt idx="571">
                  <c:v>4.5999999999999996</c:v>
                </c:pt>
                <c:pt idx="572">
                  <c:v>3.9</c:v>
                </c:pt>
                <c:pt idx="573">
                  <c:v>4</c:v>
                </c:pt>
                <c:pt idx="574">
                  <c:v>4.3</c:v>
                </c:pt>
                <c:pt idx="575">
                  <c:v>4.4000000000000004</c:v>
                </c:pt>
                <c:pt idx="576">
                  <c:v>4.0999999999999996</c:v>
                </c:pt>
                <c:pt idx="577">
                  <c:v>4.0999999999999996</c:v>
                </c:pt>
                <c:pt idx="578">
                  <c:v>4.0999999999999996</c:v>
                </c:pt>
                <c:pt idx="579">
                  <c:v>4.4000000000000004</c:v>
                </c:pt>
                <c:pt idx="580">
                  <c:v>4.5</c:v>
                </c:pt>
                <c:pt idx="581">
                  <c:v>4.0999999999999996</c:v>
                </c:pt>
                <c:pt idx="582">
                  <c:v>4.2</c:v>
                </c:pt>
                <c:pt idx="583">
                  <c:v>4.5</c:v>
                </c:pt>
                <c:pt idx="584">
                  <c:v>4.0999999999999996</c:v>
                </c:pt>
                <c:pt idx="585">
                  <c:v>3.9</c:v>
                </c:pt>
                <c:pt idx="586">
                  <c:v>4.3</c:v>
                </c:pt>
                <c:pt idx="587">
                  <c:v>3.8</c:v>
                </c:pt>
                <c:pt idx="588">
                  <c:v>4.3</c:v>
                </c:pt>
                <c:pt idx="589">
                  <c:v>4.4000000000000004</c:v>
                </c:pt>
                <c:pt idx="590">
                  <c:v>3.8</c:v>
                </c:pt>
                <c:pt idx="591">
                  <c:v>3.8</c:v>
                </c:pt>
                <c:pt idx="592">
                  <c:v>3.5</c:v>
                </c:pt>
                <c:pt idx="593">
                  <c:v>4.4000000000000004</c:v>
                </c:pt>
                <c:pt idx="594">
                  <c:v>4.0999999999999996</c:v>
                </c:pt>
                <c:pt idx="595">
                  <c:v>4.0999999999999996</c:v>
                </c:pt>
                <c:pt idx="596">
                  <c:v>4.3</c:v>
                </c:pt>
                <c:pt idx="597">
                  <c:v>3.5</c:v>
                </c:pt>
                <c:pt idx="598">
                  <c:v>4.0999999999999996</c:v>
                </c:pt>
                <c:pt idx="599">
                  <c:v>4.0999999999999996</c:v>
                </c:pt>
                <c:pt idx="600">
                  <c:v>3.9</c:v>
                </c:pt>
                <c:pt idx="601">
                  <c:v>3.9</c:v>
                </c:pt>
                <c:pt idx="602">
                  <c:v>4.0999999999999996</c:v>
                </c:pt>
                <c:pt idx="603">
                  <c:v>4</c:v>
                </c:pt>
                <c:pt idx="604">
                  <c:v>4.2</c:v>
                </c:pt>
                <c:pt idx="605">
                  <c:v>4.3</c:v>
                </c:pt>
                <c:pt idx="606">
                  <c:v>4.0999999999999996</c:v>
                </c:pt>
                <c:pt idx="607">
                  <c:v>4</c:v>
                </c:pt>
                <c:pt idx="608">
                  <c:v>4.2</c:v>
                </c:pt>
                <c:pt idx="609">
                  <c:v>3.9</c:v>
                </c:pt>
                <c:pt idx="610">
                  <c:v>4.3</c:v>
                </c:pt>
                <c:pt idx="611">
                  <c:v>4.2</c:v>
                </c:pt>
                <c:pt idx="612">
                  <c:v>4.5</c:v>
                </c:pt>
                <c:pt idx="613">
                  <c:v>4</c:v>
                </c:pt>
                <c:pt idx="614">
                  <c:v>4.2</c:v>
                </c:pt>
                <c:pt idx="615">
                  <c:v>4.5</c:v>
                </c:pt>
                <c:pt idx="616">
                  <c:v>4.3</c:v>
                </c:pt>
                <c:pt idx="617">
                  <c:v>3.9</c:v>
                </c:pt>
                <c:pt idx="618">
                  <c:v>4.0999999999999996</c:v>
                </c:pt>
                <c:pt idx="619">
                  <c:v>4.3</c:v>
                </c:pt>
                <c:pt idx="620">
                  <c:v>4.2</c:v>
                </c:pt>
                <c:pt idx="621">
                  <c:v>4.2</c:v>
                </c:pt>
                <c:pt idx="622">
                  <c:v>4</c:v>
                </c:pt>
                <c:pt idx="623">
                  <c:v>3.9</c:v>
                </c:pt>
                <c:pt idx="624">
                  <c:v>4.0999999999999996</c:v>
                </c:pt>
                <c:pt idx="625">
                  <c:v>4.5</c:v>
                </c:pt>
                <c:pt idx="626">
                  <c:v>3.7</c:v>
                </c:pt>
                <c:pt idx="627">
                  <c:v>3.5</c:v>
                </c:pt>
                <c:pt idx="628">
                  <c:v>4.2</c:v>
                </c:pt>
                <c:pt idx="629">
                  <c:v>3.5</c:v>
                </c:pt>
                <c:pt idx="630">
                  <c:v>4.3</c:v>
                </c:pt>
                <c:pt idx="631">
                  <c:v>3.9</c:v>
                </c:pt>
                <c:pt idx="632">
                  <c:v>4.2</c:v>
                </c:pt>
                <c:pt idx="633">
                  <c:v>4.3</c:v>
                </c:pt>
                <c:pt idx="634">
                  <c:v>4.2</c:v>
                </c:pt>
                <c:pt idx="635">
                  <c:v>4</c:v>
                </c:pt>
                <c:pt idx="636">
                  <c:v>4.0999999999999996</c:v>
                </c:pt>
                <c:pt idx="637">
                  <c:v>4.5</c:v>
                </c:pt>
                <c:pt idx="638">
                  <c:v>4.2</c:v>
                </c:pt>
                <c:pt idx="639">
                  <c:v>4.0999999999999996</c:v>
                </c:pt>
                <c:pt idx="640">
                  <c:v>3.9</c:v>
                </c:pt>
                <c:pt idx="641">
                  <c:v>4.3</c:v>
                </c:pt>
                <c:pt idx="642">
                  <c:v>3.9</c:v>
                </c:pt>
                <c:pt idx="643">
                  <c:v>4</c:v>
                </c:pt>
                <c:pt idx="644">
                  <c:v>4</c:v>
                </c:pt>
                <c:pt idx="645">
                  <c:v>3.5</c:v>
                </c:pt>
                <c:pt idx="646">
                  <c:v>4.3</c:v>
                </c:pt>
                <c:pt idx="647">
                  <c:v>3.8</c:v>
                </c:pt>
                <c:pt idx="648">
                  <c:v>4.4000000000000004</c:v>
                </c:pt>
                <c:pt idx="649">
                  <c:v>3.7</c:v>
                </c:pt>
                <c:pt idx="650">
                  <c:v>4.4000000000000004</c:v>
                </c:pt>
                <c:pt idx="651">
                  <c:v>4.4000000000000004</c:v>
                </c:pt>
                <c:pt idx="652">
                  <c:v>4.4000000000000004</c:v>
                </c:pt>
                <c:pt idx="653">
                  <c:v>4.2</c:v>
                </c:pt>
                <c:pt idx="654">
                  <c:v>4.5</c:v>
                </c:pt>
                <c:pt idx="655">
                  <c:v>3.8</c:v>
                </c:pt>
                <c:pt idx="656">
                  <c:v>3.8</c:v>
                </c:pt>
                <c:pt idx="657">
                  <c:v>4.0999999999999996</c:v>
                </c:pt>
                <c:pt idx="658">
                  <c:v>4.0999999999999996</c:v>
                </c:pt>
                <c:pt idx="659">
                  <c:v>4.4000000000000004</c:v>
                </c:pt>
                <c:pt idx="660">
                  <c:v>3.8</c:v>
                </c:pt>
                <c:pt idx="661">
                  <c:v>4.2</c:v>
                </c:pt>
                <c:pt idx="662">
                  <c:v>4.0999999999999996</c:v>
                </c:pt>
                <c:pt idx="663">
                  <c:v>4.4000000000000004</c:v>
                </c:pt>
                <c:pt idx="664">
                  <c:v>4.0999999999999996</c:v>
                </c:pt>
                <c:pt idx="665">
                  <c:v>4.0999999999999996</c:v>
                </c:pt>
                <c:pt idx="666">
                  <c:v>3.5</c:v>
                </c:pt>
                <c:pt idx="667">
                  <c:v>3.6</c:v>
                </c:pt>
                <c:pt idx="668">
                  <c:v>4.3</c:v>
                </c:pt>
                <c:pt idx="669">
                  <c:v>3.8</c:v>
                </c:pt>
                <c:pt idx="670">
                  <c:v>4</c:v>
                </c:pt>
                <c:pt idx="671">
                  <c:v>3.9</c:v>
                </c:pt>
                <c:pt idx="672">
                  <c:v>4.0999999999999996</c:v>
                </c:pt>
                <c:pt idx="673">
                  <c:v>4.3</c:v>
                </c:pt>
                <c:pt idx="674">
                  <c:v>4.4000000000000004</c:v>
                </c:pt>
                <c:pt idx="675">
                  <c:v>4.3</c:v>
                </c:pt>
                <c:pt idx="676">
                  <c:v>4.3</c:v>
                </c:pt>
                <c:pt idx="677">
                  <c:v>4.0999999999999996</c:v>
                </c:pt>
                <c:pt idx="678">
                  <c:v>4.4000000000000004</c:v>
                </c:pt>
                <c:pt idx="679">
                  <c:v>4.4000000000000004</c:v>
                </c:pt>
                <c:pt idx="680">
                  <c:v>3.8</c:v>
                </c:pt>
                <c:pt idx="681">
                  <c:v>3.8</c:v>
                </c:pt>
                <c:pt idx="682">
                  <c:v>4</c:v>
                </c:pt>
                <c:pt idx="683">
                  <c:v>4.4000000000000004</c:v>
                </c:pt>
                <c:pt idx="684">
                  <c:v>4.4000000000000004</c:v>
                </c:pt>
                <c:pt idx="685">
                  <c:v>4.5</c:v>
                </c:pt>
                <c:pt idx="686">
                  <c:v>4</c:v>
                </c:pt>
                <c:pt idx="687">
                  <c:v>4</c:v>
                </c:pt>
                <c:pt idx="688">
                  <c:v>4.3</c:v>
                </c:pt>
                <c:pt idx="689">
                  <c:v>4.2</c:v>
                </c:pt>
                <c:pt idx="690">
                  <c:v>3.8</c:v>
                </c:pt>
                <c:pt idx="691">
                  <c:v>4.3</c:v>
                </c:pt>
                <c:pt idx="692">
                  <c:v>4.0999999999999996</c:v>
                </c:pt>
                <c:pt idx="693">
                  <c:v>4.3</c:v>
                </c:pt>
                <c:pt idx="694">
                  <c:v>4</c:v>
                </c:pt>
                <c:pt idx="695">
                  <c:v>4.3</c:v>
                </c:pt>
                <c:pt idx="696">
                  <c:v>4.2</c:v>
                </c:pt>
                <c:pt idx="697">
                  <c:v>4</c:v>
                </c:pt>
                <c:pt idx="698">
                  <c:v>4.4000000000000004</c:v>
                </c:pt>
                <c:pt idx="699">
                  <c:v>4.4000000000000004</c:v>
                </c:pt>
                <c:pt idx="700">
                  <c:v>4.5</c:v>
                </c:pt>
                <c:pt idx="701">
                  <c:v>4.2</c:v>
                </c:pt>
                <c:pt idx="702">
                  <c:v>4.0999999999999996</c:v>
                </c:pt>
                <c:pt idx="703">
                  <c:v>4.5</c:v>
                </c:pt>
                <c:pt idx="704">
                  <c:v>4.2</c:v>
                </c:pt>
                <c:pt idx="705">
                  <c:v>4.3</c:v>
                </c:pt>
                <c:pt idx="706">
                  <c:v>3.9</c:v>
                </c:pt>
                <c:pt idx="707">
                  <c:v>4.5</c:v>
                </c:pt>
                <c:pt idx="708">
                  <c:v>4.0999999999999996</c:v>
                </c:pt>
                <c:pt idx="709">
                  <c:v>4.2</c:v>
                </c:pt>
                <c:pt idx="710">
                  <c:v>3.8</c:v>
                </c:pt>
                <c:pt idx="711">
                  <c:v>4.3</c:v>
                </c:pt>
                <c:pt idx="712">
                  <c:v>3.9</c:v>
                </c:pt>
                <c:pt idx="713">
                  <c:v>4.3</c:v>
                </c:pt>
                <c:pt idx="714">
                  <c:v>4.3</c:v>
                </c:pt>
                <c:pt idx="715">
                  <c:v>3.9</c:v>
                </c:pt>
                <c:pt idx="716">
                  <c:v>3.7</c:v>
                </c:pt>
                <c:pt idx="717">
                  <c:v>4.2</c:v>
                </c:pt>
                <c:pt idx="718">
                  <c:v>4.3</c:v>
                </c:pt>
                <c:pt idx="719">
                  <c:v>4.2</c:v>
                </c:pt>
                <c:pt idx="720">
                  <c:v>3.9</c:v>
                </c:pt>
                <c:pt idx="721">
                  <c:v>4.3</c:v>
                </c:pt>
                <c:pt idx="722">
                  <c:v>3.7</c:v>
                </c:pt>
                <c:pt idx="723">
                  <c:v>4.3</c:v>
                </c:pt>
                <c:pt idx="724">
                  <c:v>4.3</c:v>
                </c:pt>
                <c:pt idx="725">
                  <c:v>3.9</c:v>
                </c:pt>
                <c:pt idx="726">
                  <c:v>4.4000000000000004</c:v>
                </c:pt>
                <c:pt idx="727">
                  <c:v>4</c:v>
                </c:pt>
                <c:pt idx="728">
                  <c:v>4.5</c:v>
                </c:pt>
                <c:pt idx="729">
                  <c:v>3.9</c:v>
                </c:pt>
                <c:pt idx="730">
                  <c:v>4.3</c:v>
                </c:pt>
                <c:pt idx="731">
                  <c:v>4.2</c:v>
                </c:pt>
                <c:pt idx="732">
                  <c:v>4.0999999999999996</c:v>
                </c:pt>
                <c:pt idx="733">
                  <c:v>4.2</c:v>
                </c:pt>
                <c:pt idx="734">
                  <c:v>4.5</c:v>
                </c:pt>
                <c:pt idx="735">
                  <c:v>4.2</c:v>
                </c:pt>
                <c:pt idx="736">
                  <c:v>4.2</c:v>
                </c:pt>
                <c:pt idx="737">
                  <c:v>4.3</c:v>
                </c:pt>
                <c:pt idx="738">
                  <c:v>4</c:v>
                </c:pt>
                <c:pt idx="739">
                  <c:v>4.5</c:v>
                </c:pt>
                <c:pt idx="740">
                  <c:v>3.8</c:v>
                </c:pt>
                <c:pt idx="741">
                  <c:v>3.9</c:v>
                </c:pt>
                <c:pt idx="742">
                  <c:v>4</c:v>
                </c:pt>
                <c:pt idx="743">
                  <c:v>4.0999999999999996</c:v>
                </c:pt>
                <c:pt idx="744">
                  <c:v>3.4</c:v>
                </c:pt>
                <c:pt idx="745">
                  <c:v>4</c:v>
                </c:pt>
                <c:pt idx="746">
                  <c:v>3.4</c:v>
                </c:pt>
                <c:pt idx="747">
                  <c:v>4.3</c:v>
                </c:pt>
                <c:pt idx="748">
                  <c:v>3.9</c:v>
                </c:pt>
                <c:pt idx="749">
                  <c:v>4.0999999999999996</c:v>
                </c:pt>
                <c:pt idx="750">
                  <c:v>4.3</c:v>
                </c:pt>
                <c:pt idx="751">
                  <c:v>4.5</c:v>
                </c:pt>
                <c:pt idx="752">
                  <c:v>4.2</c:v>
                </c:pt>
                <c:pt idx="753">
                  <c:v>4.0999999999999996</c:v>
                </c:pt>
                <c:pt idx="754">
                  <c:v>4.4000000000000004</c:v>
                </c:pt>
                <c:pt idx="755">
                  <c:v>4.3</c:v>
                </c:pt>
                <c:pt idx="756">
                  <c:v>4.3</c:v>
                </c:pt>
                <c:pt idx="757">
                  <c:v>4.3</c:v>
                </c:pt>
                <c:pt idx="758">
                  <c:v>4.2</c:v>
                </c:pt>
                <c:pt idx="759">
                  <c:v>4.0999999999999996</c:v>
                </c:pt>
                <c:pt idx="760">
                  <c:v>4.0999999999999996</c:v>
                </c:pt>
                <c:pt idx="761">
                  <c:v>4.5</c:v>
                </c:pt>
                <c:pt idx="762">
                  <c:v>4.4000000000000004</c:v>
                </c:pt>
                <c:pt idx="763">
                  <c:v>4.3</c:v>
                </c:pt>
                <c:pt idx="764">
                  <c:v>4.3</c:v>
                </c:pt>
                <c:pt idx="765">
                  <c:v>4.3</c:v>
                </c:pt>
                <c:pt idx="766">
                  <c:v>4</c:v>
                </c:pt>
                <c:pt idx="767">
                  <c:v>4.3</c:v>
                </c:pt>
                <c:pt idx="768">
                  <c:v>4</c:v>
                </c:pt>
                <c:pt idx="769">
                  <c:v>4.4000000000000004</c:v>
                </c:pt>
                <c:pt idx="770">
                  <c:v>4</c:v>
                </c:pt>
                <c:pt idx="771">
                  <c:v>4.3</c:v>
                </c:pt>
                <c:pt idx="772">
                  <c:v>3.3</c:v>
                </c:pt>
                <c:pt idx="773">
                  <c:v>3.7</c:v>
                </c:pt>
                <c:pt idx="774">
                  <c:v>4.0999999999999996</c:v>
                </c:pt>
                <c:pt idx="775">
                  <c:v>5</c:v>
                </c:pt>
                <c:pt idx="776">
                  <c:v>4.5</c:v>
                </c:pt>
                <c:pt idx="777">
                  <c:v>3.9</c:v>
                </c:pt>
                <c:pt idx="778">
                  <c:v>4.4000000000000004</c:v>
                </c:pt>
                <c:pt idx="779">
                  <c:v>4.0999999999999996</c:v>
                </c:pt>
                <c:pt idx="780">
                  <c:v>3.6</c:v>
                </c:pt>
                <c:pt idx="781">
                  <c:v>3.8</c:v>
                </c:pt>
                <c:pt idx="782">
                  <c:v>3.6</c:v>
                </c:pt>
                <c:pt idx="783">
                  <c:v>4.2</c:v>
                </c:pt>
                <c:pt idx="784">
                  <c:v>4.4000000000000004</c:v>
                </c:pt>
                <c:pt idx="785">
                  <c:v>3.8</c:v>
                </c:pt>
                <c:pt idx="786">
                  <c:v>4.2</c:v>
                </c:pt>
                <c:pt idx="787">
                  <c:v>4.3</c:v>
                </c:pt>
                <c:pt idx="788">
                  <c:v>4.4000000000000004</c:v>
                </c:pt>
                <c:pt idx="789">
                  <c:v>4.0999999999999996</c:v>
                </c:pt>
                <c:pt idx="790">
                  <c:v>4.4000000000000004</c:v>
                </c:pt>
                <c:pt idx="791">
                  <c:v>4.4000000000000004</c:v>
                </c:pt>
                <c:pt idx="792">
                  <c:v>4.4000000000000004</c:v>
                </c:pt>
                <c:pt idx="793">
                  <c:v>4.4000000000000004</c:v>
                </c:pt>
                <c:pt idx="794">
                  <c:v>4.3</c:v>
                </c:pt>
                <c:pt idx="795">
                  <c:v>4.3</c:v>
                </c:pt>
                <c:pt idx="796">
                  <c:v>4.3</c:v>
                </c:pt>
                <c:pt idx="797">
                  <c:v>4.2</c:v>
                </c:pt>
                <c:pt idx="798">
                  <c:v>4.3</c:v>
                </c:pt>
                <c:pt idx="799">
                  <c:v>4.2</c:v>
                </c:pt>
                <c:pt idx="800">
                  <c:v>3.8</c:v>
                </c:pt>
                <c:pt idx="801">
                  <c:v>4.3</c:v>
                </c:pt>
                <c:pt idx="802">
                  <c:v>4.5</c:v>
                </c:pt>
                <c:pt idx="803">
                  <c:v>4.0999999999999996</c:v>
                </c:pt>
                <c:pt idx="804">
                  <c:v>4.2</c:v>
                </c:pt>
                <c:pt idx="805">
                  <c:v>4</c:v>
                </c:pt>
                <c:pt idx="806">
                  <c:v>4.0999999999999996</c:v>
                </c:pt>
                <c:pt idx="807">
                  <c:v>4.0999999999999996</c:v>
                </c:pt>
                <c:pt idx="808">
                  <c:v>4.3</c:v>
                </c:pt>
                <c:pt idx="809">
                  <c:v>4.5</c:v>
                </c:pt>
                <c:pt idx="810">
                  <c:v>4.5</c:v>
                </c:pt>
                <c:pt idx="811">
                  <c:v>4.0999999999999996</c:v>
                </c:pt>
                <c:pt idx="812">
                  <c:v>4.3</c:v>
                </c:pt>
                <c:pt idx="813">
                  <c:v>3.6</c:v>
                </c:pt>
                <c:pt idx="814">
                  <c:v>4.4000000000000004</c:v>
                </c:pt>
                <c:pt idx="815">
                  <c:v>4.5</c:v>
                </c:pt>
                <c:pt idx="816">
                  <c:v>3.9</c:v>
                </c:pt>
                <c:pt idx="817">
                  <c:v>4</c:v>
                </c:pt>
                <c:pt idx="818">
                  <c:v>4</c:v>
                </c:pt>
                <c:pt idx="819">
                  <c:v>4.4000000000000004</c:v>
                </c:pt>
                <c:pt idx="820">
                  <c:v>4.5999999999999996</c:v>
                </c:pt>
                <c:pt idx="821">
                  <c:v>4.4000000000000004</c:v>
                </c:pt>
                <c:pt idx="822">
                  <c:v>4.4000000000000004</c:v>
                </c:pt>
                <c:pt idx="823">
                  <c:v>4.3</c:v>
                </c:pt>
                <c:pt idx="824">
                  <c:v>4.3</c:v>
                </c:pt>
                <c:pt idx="825">
                  <c:v>4.4000000000000004</c:v>
                </c:pt>
                <c:pt idx="826">
                  <c:v>4</c:v>
                </c:pt>
                <c:pt idx="827">
                  <c:v>4.2</c:v>
                </c:pt>
                <c:pt idx="828">
                  <c:v>3.8</c:v>
                </c:pt>
                <c:pt idx="829">
                  <c:v>4.0999999999999996</c:v>
                </c:pt>
                <c:pt idx="830">
                  <c:v>4.2</c:v>
                </c:pt>
                <c:pt idx="831">
                  <c:v>4.2</c:v>
                </c:pt>
                <c:pt idx="832">
                  <c:v>4.4000000000000004</c:v>
                </c:pt>
                <c:pt idx="833">
                  <c:v>4.3</c:v>
                </c:pt>
                <c:pt idx="834">
                  <c:v>4.0999999999999996</c:v>
                </c:pt>
                <c:pt idx="835">
                  <c:v>4.4000000000000004</c:v>
                </c:pt>
                <c:pt idx="836">
                  <c:v>3.9</c:v>
                </c:pt>
                <c:pt idx="837">
                  <c:v>3.9</c:v>
                </c:pt>
                <c:pt idx="838">
                  <c:v>3.6</c:v>
                </c:pt>
                <c:pt idx="839">
                  <c:v>4.4000000000000004</c:v>
                </c:pt>
                <c:pt idx="840">
                  <c:v>4</c:v>
                </c:pt>
                <c:pt idx="841">
                  <c:v>3.5</c:v>
                </c:pt>
                <c:pt idx="842">
                  <c:v>4.0999999999999996</c:v>
                </c:pt>
                <c:pt idx="843">
                  <c:v>4.0999999999999996</c:v>
                </c:pt>
                <c:pt idx="844">
                  <c:v>4</c:v>
                </c:pt>
                <c:pt idx="845">
                  <c:v>4.0999999999999996</c:v>
                </c:pt>
                <c:pt idx="846">
                  <c:v>4</c:v>
                </c:pt>
                <c:pt idx="847">
                  <c:v>3.8</c:v>
                </c:pt>
                <c:pt idx="848">
                  <c:v>4.3</c:v>
                </c:pt>
                <c:pt idx="849">
                  <c:v>4.2</c:v>
                </c:pt>
                <c:pt idx="850">
                  <c:v>4.0999999999999996</c:v>
                </c:pt>
                <c:pt idx="851">
                  <c:v>4.2</c:v>
                </c:pt>
                <c:pt idx="852">
                  <c:v>4.5</c:v>
                </c:pt>
                <c:pt idx="853">
                  <c:v>4.5999999999999996</c:v>
                </c:pt>
                <c:pt idx="854">
                  <c:v>4.3</c:v>
                </c:pt>
                <c:pt idx="855">
                  <c:v>4</c:v>
                </c:pt>
                <c:pt idx="856">
                  <c:v>4.2</c:v>
                </c:pt>
                <c:pt idx="857">
                  <c:v>3.3</c:v>
                </c:pt>
                <c:pt idx="858">
                  <c:v>4.3</c:v>
                </c:pt>
                <c:pt idx="859">
                  <c:v>3.7</c:v>
                </c:pt>
                <c:pt idx="860">
                  <c:v>3.9</c:v>
                </c:pt>
                <c:pt idx="861">
                  <c:v>4.3</c:v>
                </c:pt>
                <c:pt idx="862">
                  <c:v>4.0999999999999996</c:v>
                </c:pt>
                <c:pt idx="863">
                  <c:v>4.2</c:v>
                </c:pt>
                <c:pt idx="864">
                  <c:v>4.5</c:v>
                </c:pt>
                <c:pt idx="865">
                  <c:v>4</c:v>
                </c:pt>
                <c:pt idx="866">
                  <c:v>4.5</c:v>
                </c:pt>
                <c:pt idx="867">
                  <c:v>3.5</c:v>
                </c:pt>
                <c:pt idx="868">
                  <c:v>4.5</c:v>
                </c:pt>
                <c:pt idx="869">
                  <c:v>4.3</c:v>
                </c:pt>
                <c:pt idx="870">
                  <c:v>3.3</c:v>
                </c:pt>
                <c:pt idx="871">
                  <c:v>4.0999999999999996</c:v>
                </c:pt>
                <c:pt idx="872">
                  <c:v>3.8</c:v>
                </c:pt>
                <c:pt idx="873">
                  <c:v>3.5</c:v>
                </c:pt>
                <c:pt idx="874">
                  <c:v>4.0999999999999996</c:v>
                </c:pt>
                <c:pt idx="875">
                  <c:v>4.5</c:v>
                </c:pt>
                <c:pt idx="876">
                  <c:v>4.4000000000000004</c:v>
                </c:pt>
                <c:pt idx="877">
                  <c:v>4.0999999999999996</c:v>
                </c:pt>
                <c:pt idx="878">
                  <c:v>4.3</c:v>
                </c:pt>
                <c:pt idx="879">
                  <c:v>3.6</c:v>
                </c:pt>
                <c:pt idx="880">
                  <c:v>4</c:v>
                </c:pt>
                <c:pt idx="881">
                  <c:v>4.0999999999999996</c:v>
                </c:pt>
                <c:pt idx="882">
                  <c:v>4.5</c:v>
                </c:pt>
                <c:pt idx="883">
                  <c:v>4.2</c:v>
                </c:pt>
                <c:pt idx="884">
                  <c:v>4.3</c:v>
                </c:pt>
                <c:pt idx="885">
                  <c:v>4.2</c:v>
                </c:pt>
                <c:pt idx="886">
                  <c:v>4.5999999999999996</c:v>
                </c:pt>
                <c:pt idx="887">
                  <c:v>4.5</c:v>
                </c:pt>
                <c:pt idx="888">
                  <c:v>4.3</c:v>
                </c:pt>
                <c:pt idx="889">
                  <c:v>4.0999999999999996</c:v>
                </c:pt>
                <c:pt idx="890">
                  <c:v>4.5</c:v>
                </c:pt>
                <c:pt idx="891">
                  <c:v>3.5</c:v>
                </c:pt>
                <c:pt idx="892">
                  <c:v>4.4000000000000004</c:v>
                </c:pt>
                <c:pt idx="893">
                  <c:v>4.2</c:v>
                </c:pt>
                <c:pt idx="894">
                  <c:v>4.4000000000000004</c:v>
                </c:pt>
                <c:pt idx="895">
                  <c:v>4.4000000000000004</c:v>
                </c:pt>
                <c:pt idx="896">
                  <c:v>4.2</c:v>
                </c:pt>
                <c:pt idx="897">
                  <c:v>4.5</c:v>
                </c:pt>
                <c:pt idx="898">
                  <c:v>4.3</c:v>
                </c:pt>
                <c:pt idx="899">
                  <c:v>3.8</c:v>
                </c:pt>
                <c:pt idx="900">
                  <c:v>3.9</c:v>
                </c:pt>
                <c:pt idx="901">
                  <c:v>4</c:v>
                </c:pt>
                <c:pt idx="902">
                  <c:v>4.0999999999999996</c:v>
                </c:pt>
                <c:pt idx="903">
                  <c:v>4.4000000000000004</c:v>
                </c:pt>
                <c:pt idx="904">
                  <c:v>4.4000000000000004</c:v>
                </c:pt>
                <c:pt idx="905">
                  <c:v>4.4000000000000004</c:v>
                </c:pt>
                <c:pt idx="906">
                  <c:v>3.5</c:v>
                </c:pt>
                <c:pt idx="907">
                  <c:v>4.5</c:v>
                </c:pt>
                <c:pt idx="908">
                  <c:v>4.0999999999999996</c:v>
                </c:pt>
                <c:pt idx="909">
                  <c:v>4.4000000000000004</c:v>
                </c:pt>
                <c:pt idx="910">
                  <c:v>4.0999999999999996</c:v>
                </c:pt>
                <c:pt idx="911">
                  <c:v>4.2</c:v>
                </c:pt>
                <c:pt idx="912">
                  <c:v>4.2</c:v>
                </c:pt>
                <c:pt idx="913">
                  <c:v>4.3</c:v>
                </c:pt>
                <c:pt idx="914">
                  <c:v>4.3</c:v>
                </c:pt>
                <c:pt idx="915">
                  <c:v>3.7</c:v>
                </c:pt>
                <c:pt idx="916">
                  <c:v>3.9</c:v>
                </c:pt>
                <c:pt idx="917">
                  <c:v>4.5</c:v>
                </c:pt>
                <c:pt idx="918">
                  <c:v>4.0999999999999996</c:v>
                </c:pt>
                <c:pt idx="919">
                  <c:v>4</c:v>
                </c:pt>
                <c:pt idx="920">
                  <c:v>3.8</c:v>
                </c:pt>
                <c:pt idx="921">
                  <c:v>3.4</c:v>
                </c:pt>
                <c:pt idx="922">
                  <c:v>4.3</c:v>
                </c:pt>
                <c:pt idx="923">
                  <c:v>4.3</c:v>
                </c:pt>
                <c:pt idx="924">
                  <c:v>4.3</c:v>
                </c:pt>
                <c:pt idx="925">
                  <c:v>4.2</c:v>
                </c:pt>
                <c:pt idx="926">
                  <c:v>4.0999999999999996</c:v>
                </c:pt>
                <c:pt idx="927">
                  <c:v>4</c:v>
                </c:pt>
                <c:pt idx="928">
                  <c:v>4.3</c:v>
                </c:pt>
                <c:pt idx="929">
                  <c:v>4</c:v>
                </c:pt>
                <c:pt idx="930">
                  <c:v>4.0999999999999996</c:v>
                </c:pt>
                <c:pt idx="931">
                  <c:v>4</c:v>
                </c:pt>
                <c:pt idx="932">
                  <c:v>3.8</c:v>
                </c:pt>
                <c:pt idx="933">
                  <c:v>4.2</c:v>
                </c:pt>
                <c:pt idx="934">
                  <c:v>4.3</c:v>
                </c:pt>
                <c:pt idx="935">
                  <c:v>4.4000000000000004</c:v>
                </c:pt>
                <c:pt idx="936">
                  <c:v>4.0999999999999996</c:v>
                </c:pt>
                <c:pt idx="937">
                  <c:v>4.5</c:v>
                </c:pt>
                <c:pt idx="938">
                  <c:v>4</c:v>
                </c:pt>
                <c:pt idx="939">
                  <c:v>4.2</c:v>
                </c:pt>
                <c:pt idx="940">
                  <c:v>3.9</c:v>
                </c:pt>
                <c:pt idx="941">
                  <c:v>4.3</c:v>
                </c:pt>
                <c:pt idx="942">
                  <c:v>4</c:v>
                </c:pt>
                <c:pt idx="943">
                  <c:v>4.2</c:v>
                </c:pt>
                <c:pt idx="944">
                  <c:v>4.3</c:v>
                </c:pt>
                <c:pt idx="945">
                  <c:v>4.2</c:v>
                </c:pt>
                <c:pt idx="946">
                  <c:v>4.2</c:v>
                </c:pt>
                <c:pt idx="947">
                  <c:v>4.0999999999999996</c:v>
                </c:pt>
                <c:pt idx="948">
                  <c:v>4.3</c:v>
                </c:pt>
                <c:pt idx="949">
                  <c:v>4.3</c:v>
                </c:pt>
                <c:pt idx="950">
                  <c:v>4.2</c:v>
                </c:pt>
                <c:pt idx="951">
                  <c:v>4.5</c:v>
                </c:pt>
                <c:pt idx="952">
                  <c:v>4.4000000000000004</c:v>
                </c:pt>
                <c:pt idx="953">
                  <c:v>4.2</c:v>
                </c:pt>
                <c:pt idx="954">
                  <c:v>4.0999999999999996</c:v>
                </c:pt>
                <c:pt idx="955">
                  <c:v>4.3</c:v>
                </c:pt>
                <c:pt idx="956">
                  <c:v>4.4000000000000004</c:v>
                </c:pt>
                <c:pt idx="957">
                  <c:v>4.0999999999999996</c:v>
                </c:pt>
                <c:pt idx="958">
                  <c:v>3.6</c:v>
                </c:pt>
                <c:pt idx="959">
                  <c:v>4</c:v>
                </c:pt>
                <c:pt idx="960">
                  <c:v>4</c:v>
                </c:pt>
                <c:pt idx="961">
                  <c:v>4.4000000000000004</c:v>
                </c:pt>
                <c:pt idx="962">
                  <c:v>3.9</c:v>
                </c:pt>
                <c:pt idx="963">
                  <c:v>4.3</c:v>
                </c:pt>
                <c:pt idx="964">
                  <c:v>4.5999999999999996</c:v>
                </c:pt>
                <c:pt idx="965">
                  <c:v>4.4000000000000004</c:v>
                </c:pt>
                <c:pt idx="966">
                  <c:v>4.5</c:v>
                </c:pt>
                <c:pt idx="967">
                  <c:v>3.9</c:v>
                </c:pt>
                <c:pt idx="968">
                  <c:v>4.0999999999999996</c:v>
                </c:pt>
                <c:pt idx="969">
                  <c:v>4.3</c:v>
                </c:pt>
                <c:pt idx="970">
                  <c:v>4.5</c:v>
                </c:pt>
                <c:pt idx="971">
                  <c:v>4.5</c:v>
                </c:pt>
                <c:pt idx="972">
                  <c:v>3.6</c:v>
                </c:pt>
                <c:pt idx="973">
                  <c:v>4.0999999999999996</c:v>
                </c:pt>
                <c:pt idx="974">
                  <c:v>4.3</c:v>
                </c:pt>
                <c:pt idx="975">
                  <c:v>3.8</c:v>
                </c:pt>
                <c:pt idx="976">
                  <c:v>4.5999999999999996</c:v>
                </c:pt>
                <c:pt idx="977">
                  <c:v>4.0999999999999996</c:v>
                </c:pt>
                <c:pt idx="978">
                  <c:v>4</c:v>
                </c:pt>
                <c:pt idx="979">
                  <c:v>4.5</c:v>
                </c:pt>
                <c:pt idx="980">
                  <c:v>4.3</c:v>
                </c:pt>
                <c:pt idx="981">
                  <c:v>4</c:v>
                </c:pt>
                <c:pt idx="982">
                  <c:v>4.5</c:v>
                </c:pt>
                <c:pt idx="983">
                  <c:v>4</c:v>
                </c:pt>
                <c:pt idx="984">
                  <c:v>4.5</c:v>
                </c:pt>
                <c:pt idx="985">
                  <c:v>4.0999999999999996</c:v>
                </c:pt>
                <c:pt idx="986">
                  <c:v>4.3</c:v>
                </c:pt>
                <c:pt idx="987">
                  <c:v>4.0999999999999996</c:v>
                </c:pt>
                <c:pt idx="988">
                  <c:v>4</c:v>
                </c:pt>
                <c:pt idx="989">
                  <c:v>4.0999999999999996</c:v>
                </c:pt>
                <c:pt idx="990">
                  <c:v>4.0999999999999996</c:v>
                </c:pt>
                <c:pt idx="991">
                  <c:v>4.4000000000000004</c:v>
                </c:pt>
                <c:pt idx="992">
                  <c:v>4</c:v>
                </c:pt>
                <c:pt idx="993">
                  <c:v>4.0999999999999996</c:v>
                </c:pt>
                <c:pt idx="994">
                  <c:v>4.4000000000000004</c:v>
                </c:pt>
                <c:pt idx="995">
                  <c:v>4.3</c:v>
                </c:pt>
                <c:pt idx="996">
                  <c:v>4.2</c:v>
                </c:pt>
                <c:pt idx="997">
                  <c:v>3.6</c:v>
                </c:pt>
                <c:pt idx="998">
                  <c:v>4.2</c:v>
                </c:pt>
                <c:pt idx="999">
                  <c:v>4.2</c:v>
                </c:pt>
                <c:pt idx="1000">
                  <c:v>3.9</c:v>
                </c:pt>
                <c:pt idx="1001">
                  <c:v>4.2</c:v>
                </c:pt>
                <c:pt idx="1002">
                  <c:v>4.5</c:v>
                </c:pt>
                <c:pt idx="1003">
                  <c:v>4.3</c:v>
                </c:pt>
                <c:pt idx="1004">
                  <c:v>4.2</c:v>
                </c:pt>
                <c:pt idx="1005">
                  <c:v>4.0999999999999996</c:v>
                </c:pt>
                <c:pt idx="1006">
                  <c:v>4.0999999999999996</c:v>
                </c:pt>
                <c:pt idx="1007">
                  <c:v>4.5999999999999996</c:v>
                </c:pt>
                <c:pt idx="1008">
                  <c:v>3.8</c:v>
                </c:pt>
                <c:pt idx="1009">
                  <c:v>4.3</c:v>
                </c:pt>
                <c:pt idx="1010">
                  <c:v>4.2</c:v>
                </c:pt>
                <c:pt idx="1011">
                  <c:v>4.2</c:v>
                </c:pt>
                <c:pt idx="1012">
                  <c:v>4.4000000000000004</c:v>
                </c:pt>
                <c:pt idx="1013">
                  <c:v>3.9</c:v>
                </c:pt>
                <c:pt idx="1014">
                  <c:v>4</c:v>
                </c:pt>
                <c:pt idx="1015">
                  <c:v>4.2</c:v>
                </c:pt>
                <c:pt idx="1016">
                  <c:v>3.7</c:v>
                </c:pt>
                <c:pt idx="1017">
                  <c:v>4.5</c:v>
                </c:pt>
                <c:pt idx="1018">
                  <c:v>4.5</c:v>
                </c:pt>
                <c:pt idx="1019">
                  <c:v>3.6</c:v>
                </c:pt>
                <c:pt idx="1020">
                  <c:v>4.3</c:v>
                </c:pt>
                <c:pt idx="1021">
                  <c:v>4.0999999999999996</c:v>
                </c:pt>
                <c:pt idx="1022">
                  <c:v>3.9</c:v>
                </c:pt>
                <c:pt idx="1023">
                  <c:v>3.6</c:v>
                </c:pt>
                <c:pt idx="1024">
                  <c:v>4</c:v>
                </c:pt>
                <c:pt idx="1025">
                  <c:v>4.0999999999999996</c:v>
                </c:pt>
                <c:pt idx="1026">
                  <c:v>3.7</c:v>
                </c:pt>
                <c:pt idx="1027">
                  <c:v>3.9</c:v>
                </c:pt>
                <c:pt idx="1028">
                  <c:v>4.0999999999999996</c:v>
                </c:pt>
                <c:pt idx="1029">
                  <c:v>3.9</c:v>
                </c:pt>
                <c:pt idx="1030">
                  <c:v>3.9</c:v>
                </c:pt>
                <c:pt idx="1031">
                  <c:v>3.9</c:v>
                </c:pt>
                <c:pt idx="1032">
                  <c:v>3.8</c:v>
                </c:pt>
                <c:pt idx="1033">
                  <c:v>3.8</c:v>
                </c:pt>
                <c:pt idx="1034">
                  <c:v>4.0999999999999996</c:v>
                </c:pt>
                <c:pt idx="1035">
                  <c:v>4.0999999999999996</c:v>
                </c:pt>
                <c:pt idx="1036">
                  <c:v>3.3</c:v>
                </c:pt>
                <c:pt idx="1037">
                  <c:v>4.2</c:v>
                </c:pt>
                <c:pt idx="1038">
                  <c:v>4</c:v>
                </c:pt>
                <c:pt idx="1039">
                  <c:v>4.3</c:v>
                </c:pt>
                <c:pt idx="1040">
                  <c:v>4</c:v>
                </c:pt>
                <c:pt idx="1041">
                  <c:v>4.5</c:v>
                </c:pt>
                <c:pt idx="1042">
                  <c:v>4.0999999999999996</c:v>
                </c:pt>
                <c:pt idx="1043">
                  <c:v>4</c:v>
                </c:pt>
                <c:pt idx="1044">
                  <c:v>4.2</c:v>
                </c:pt>
                <c:pt idx="1045">
                  <c:v>3.8</c:v>
                </c:pt>
                <c:pt idx="1046">
                  <c:v>4.2</c:v>
                </c:pt>
                <c:pt idx="1047">
                  <c:v>4.2</c:v>
                </c:pt>
                <c:pt idx="1048">
                  <c:v>3.6</c:v>
                </c:pt>
                <c:pt idx="1049">
                  <c:v>3.8</c:v>
                </c:pt>
                <c:pt idx="1050">
                  <c:v>4.0999999999999996</c:v>
                </c:pt>
                <c:pt idx="1051">
                  <c:v>4.0999999999999996</c:v>
                </c:pt>
                <c:pt idx="1052">
                  <c:v>4.0999999999999996</c:v>
                </c:pt>
                <c:pt idx="1053">
                  <c:v>4.0999999999999996</c:v>
                </c:pt>
                <c:pt idx="1054">
                  <c:v>4.2</c:v>
                </c:pt>
                <c:pt idx="1055">
                  <c:v>4</c:v>
                </c:pt>
                <c:pt idx="1056">
                  <c:v>4.3</c:v>
                </c:pt>
                <c:pt idx="1057">
                  <c:v>4.2</c:v>
                </c:pt>
                <c:pt idx="1058">
                  <c:v>4.2</c:v>
                </c:pt>
                <c:pt idx="1059">
                  <c:v>3.7</c:v>
                </c:pt>
                <c:pt idx="1060">
                  <c:v>4.0999999999999996</c:v>
                </c:pt>
                <c:pt idx="1061">
                  <c:v>4.4000000000000004</c:v>
                </c:pt>
                <c:pt idx="1062">
                  <c:v>3.8</c:v>
                </c:pt>
                <c:pt idx="1063">
                  <c:v>4</c:v>
                </c:pt>
                <c:pt idx="1064">
                  <c:v>4.2</c:v>
                </c:pt>
                <c:pt idx="1065">
                  <c:v>3.8</c:v>
                </c:pt>
                <c:pt idx="1066">
                  <c:v>4.2</c:v>
                </c:pt>
                <c:pt idx="1067">
                  <c:v>4</c:v>
                </c:pt>
                <c:pt idx="1068">
                  <c:v>3.9</c:v>
                </c:pt>
                <c:pt idx="1069">
                  <c:v>4.3</c:v>
                </c:pt>
                <c:pt idx="1070">
                  <c:v>3.8</c:v>
                </c:pt>
                <c:pt idx="1071">
                  <c:v>4</c:v>
                </c:pt>
                <c:pt idx="1072">
                  <c:v>4.2</c:v>
                </c:pt>
                <c:pt idx="1073">
                  <c:v>4.2</c:v>
                </c:pt>
                <c:pt idx="1074">
                  <c:v>3.6</c:v>
                </c:pt>
                <c:pt idx="1075">
                  <c:v>4.3</c:v>
                </c:pt>
                <c:pt idx="1076">
                  <c:v>4</c:v>
                </c:pt>
                <c:pt idx="1077">
                  <c:v>4.2</c:v>
                </c:pt>
                <c:pt idx="1078">
                  <c:v>4.0999999999999996</c:v>
                </c:pt>
                <c:pt idx="1079">
                  <c:v>4</c:v>
                </c:pt>
                <c:pt idx="1080">
                  <c:v>4.3</c:v>
                </c:pt>
                <c:pt idx="1081">
                  <c:v>4</c:v>
                </c:pt>
                <c:pt idx="1082">
                  <c:v>3.9</c:v>
                </c:pt>
                <c:pt idx="1083">
                  <c:v>4.2</c:v>
                </c:pt>
                <c:pt idx="1084">
                  <c:v>4.0999999999999996</c:v>
                </c:pt>
                <c:pt idx="1085">
                  <c:v>4.4000000000000004</c:v>
                </c:pt>
                <c:pt idx="1086">
                  <c:v>4</c:v>
                </c:pt>
                <c:pt idx="1087">
                  <c:v>3.8</c:v>
                </c:pt>
                <c:pt idx="1088">
                  <c:v>4</c:v>
                </c:pt>
                <c:pt idx="1089">
                  <c:v>3.1</c:v>
                </c:pt>
                <c:pt idx="1090">
                  <c:v>4.3</c:v>
                </c:pt>
                <c:pt idx="1091">
                  <c:v>4.2</c:v>
                </c:pt>
                <c:pt idx="1092">
                  <c:v>4.4000000000000004</c:v>
                </c:pt>
                <c:pt idx="1093">
                  <c:v>4.0999999999999996</c:v>
                </c:pt>
                <c:pt idx="1094">
                  <c:v>4.2</c:v>
                </c:pt>
                <c:pt idx="1095">
                  <c:v>4.0999999999999996</c:v>
                </c:pt>
                <c:pt idx="1096">
                  <c:v>4.0999999999999996</c:v>
                </c:pt>
                <c:pt idx="1097">
                  <c:v>4.0999999999999996</c:v>
                </c:pt>
                <c:pt idx="1098">
                  <c:v>3.9</c:v>
                </c:pt>
                <c:pt idx="1099">
                  <c:v>3.9</c:v>
                </c:pt>
                <c:pt idx="1100">
                  <c:v>3.8</c:v>
                </c:pt>
                <c:pt idx="1101">
                  <c:v>4</c:v>
                </c:pt>
                <c:pt idx="1102">
                  <c:v>4.2</c:v>
                </c:pt>
                <c:pt idx="1103">
                  <c:v>4.0999999999999996</c:v>
                </c:pt>
                <c:pt idx="1104">
                  <c:v>4.3</c:v>
                </c:pt>
                <c:pt idx="1105">
                  <c:v>3.7</c:v>
                </c:pt>
                <c:pt idx="1106">
                  <c:v>4.2</c:v>
                </c:pt>
                <c:pt idx="1107">
                  <c:v>4.3</c:v>
                </c:pt>
                <c:pt idx="1108">
                  <c:v>4.3</c:v>
                </c:pt>
                <c:pt idx="1109">
                  <c:v>4.4000000000000004</c:v>
                </c:pt>
                <c:pt idx="1110">
                  <c:v>3.8</c:v>
                </c:pt>
                <c:pt idx="1111">
                  <c:v>4.5</c:v>
                </c:pt>
                <c:pt idx="1112">
                  <c:v>3.8</c:v>
                </c:pt>
                <c:pt idx="1113">
                  <c:v>3.8</c:v>
                </c:pt>
                <c:pt idx="1114">
                  <c:v>4.0999999999999996</c:v>
                </c:pt>
                <c:pt idx="1115">
                  <c:v>4.0999999999999996</c:v>
                </c:pt>
                <c:pt idx="1116">
                  <c:v>3.8</c:v>
                </c:pt>
                <c:pt idx="1117">
                  <c:v>3.3</c:v>
                </c:pt>
                <c:pt idx="1118">
                  <c:v>4</c:v>
                </c:pt>
                <c:pt idx="1119">
                  <c:v>4.5999999999999996</c:v>
                </c:pt>
                <c:pt idx="1120">
                  <c:v>3.9</c:v>
                </c:pt>
                <c:pt idx="1121">
                  <c:v>3.7</c:v>
                </c:pt>
                <c:pt idx="1122">
                  <c:v>4.2</c:v>
                </c:pt>
                <c:pt idx="1123">
                  <c:v>4.0999999999999996</c:v>
                </c:pt>
                <c:pt idx="1124">
                  <c:v>4.0999999999999996</c:v>
                </c:pt>
                <c:pt idx="1125">
                  <c:v>3.8</c:v>
                </c:pt>
                <c:pt idx="1126">
                  <c:v>4.0999999999999996</c:v>
                </c:pt>
                <c:pt idx="1127">
                  <c:v>4.5999999999999996</c:v>
                </c:pt>
                <c:pt idx="1128">
                  <c:v>4.0999999999999996</c:v>
                </c:pt>
                <c:pt idx="1129">
                  <c:v>4.2</c:v>
                </c:pt>
                <c:pt idx="1130">
                  <c:v>3.9</c:v>
                </c:pt>
                <c:pt idx="1131">
                  <c:v>4.0999999999999996</c:v>
                </c:pt>
                <c:pt idx="1132">
                  <c:v>4.0999999999999996</c:v>
                </c:pt>
                <c:pt idx="1133">
                  <c:v>4</c:v>
                </c:pt>
                <c:pt idx="1134">
                  <c:v>3.7</c:v>
                </c:pt>
                <c:pt idx="1135">
                  <c:v>4.0999999999999996</c:v>
                </c:pt>
                <c:pt idx="1136">
                  <c:v>4.0999999999999996</c:v>
                </c:pt>
                <c:pt idx="1137">
                  <c:v>4.0999999999999996</c:v>
                </c:pt>
                <c:pt idx="1138">
                  <c:v>3.3</c:v>
                </c:pt>
                <c:pt idx="1139">
                  <c:v>4.0999999999999996</c:v>
                </c:pt>
                <c:pt idx="1140">
                  <c:v>4.0999999999999996</c:v>
                </c:pt>
                <c:pt idx="1141">
                  <c:v>4.4000000000000004</c:v>
                </c:pt>
                <c:pt idx="1142">
                  <c:v>4.3</c:v>
                </c:pt>
                <c:pt idx="1143">
                  <c:v>4.0999999999999996</c:v>
                </c:pt>
                <c:pt idx="1144">
                  <c:v>3.7</c:v>
                </c:pt>
                <c:pt idx="1145">
                  <c:v>4.8</c:v>
                </c:pt>
                <c:pt idx="1146">
                  <c:v>4.5</c:v>
                </c:pt>
                <c:pt idx="1147">
                  <c:v>4</c:v>
                </c:pt>
                <c:pt idx="1148">
                  <c:v>4.0999999999999996</c:v>
                </c:pt>
                <c:pt idx="1149">
                  <c:v>3.9</c:v>
                </c:pt>
                <c:pt idx="1150">
                  <c:v>4.0999999999999996</c:v>
                </c:pt>
                <c:pt idx="1151">
                  <c:v>4.2</c:v>
                </c:pt>
                <c:pt idx="1152">
                  <c:v>4.0999999999999996</c:v>
                </c:pt>
                <c:pt idx="1153">
                  <c:v>3.5</c:v>
                </c:pt>
                <c:pt idx="1154">
                  <c:v>4.3</c:v>
                </c:pt>
                <c:pt idx="1155">
                  <c:v>3.9</c:v>
                </c:pt>
                <c:pt idx="1156">
                  <c:v>4.2</c:v>
                </c:pt>
                <c:pt idx="1157">
                  <c:v>3.8</c:v>
                </c:pt>
                <c:pt idx="1158">
                  <c:v>4.5</c:v>
                </c:pt>
                <c:pt idx="1159">
                  <c:v>3.8</c:v>
                </c:pt>
                <c:pt idx="1160">
                  <c:v>4.0999999999999996</c:v>
                </c:pt>
                <c:pt idx="1161">
                  <c:v>4.2</c:v>
                </c:pt>
                <c:pt idx="1162">
                  <c:v>4.0999999999999996</c:v>
                </c:pt>
                <c:pt idx="1163">
                  <c:v>4.2</c:v>
                </c:pt>
                <c:pt idx="1164">
                  <c:v>4.5</c:v>
                </c:pt>
                <c:pt idx="1165">
                  <c:v>4</c:v>
                </c:pt>
                <c:pt idx="1166">
                  <c:v>4.4000000000000004</c:v>
                </c:pt>
                <c:pt idx="1167">
                  <c:v>4</c:v>
                </c:pt>
                <c:pt idx="1168">
                  <c:v>4</c:v>
                </c:pt>
                <c:pt idx="1169">
                  <c:v>3.9</c:v>
                </c:pt>
                <c:pt idx="1170">
                  <c:v>4</c:v>
                </c:pt>
                <c:pt idx="1171">
                  <c:v>3.8</c:v>
                </c:pt>
                <c:pt idx="1172">
                  <c:v>4.2</c:v>
                </c:pt>
                <c:pt idx="1173">
                  <c:v>4.3</c:v>
                </c:pt>
                <c:pt idx="1174">
                  <c:v>4.2</c:v>
                </c:pt>
                <c:pt idx="1175">
                  <c:v>4.3</c:v>
                </c:pt>
                <c:pt idx="1176">
                  <c:v>4.2</c:v>
                </c:pt>
                <c:pt idx="1177">
                  <c:v>4.4000000000000004</c:v>
                </c:pt>
                <c:pt idx="1178">
                  <c:v>3.8</c:v>
                </c:pt>
                <c:pt idx="1179">
                  <c:v>4.0999999999999996</c:v>
                </c:pt>
                <c:pt idx="1180">
                  <c:v>3.9</c:v>
                </c:pt>
                <c:pt idx="1181">
                  <c:v>4.3</c:v>
                </c:pt>
                <c:pt idx="1182">
                  <c:v>4.4000000000000004</c:v>
                </c:pt>
                <c:pt idx="1183">
                  <c:v>3.6</c:v>
                </c:pt>
                <c:pt idx="1184">
                  <c:v>3.8</c:v>
                </c:pt>
                <c:pt idx="1185">
                  <c:v>4</c:v>
                </c:pt>
                <c:pt idx="1186">
                  <c:v>4.0999999999999996</c:v>
                </c:pt>
                <c:pt idx="1187">
                  <c:v>4.3</c:v>
                </c:pt>
                <c:pt idx="1188">
                  <c:v>4</c:v>
                </c:pt>
                <c:pt idx="1189">
                  <c:v>3.9</c:v>
                </c:pt>
                <c:pt idx="1190">
                  <c:v>4.4000000000000004</c:v>
                </c:pt>
                <c:pt idx="1191">
                  <c:v>3.7</c:v>
                </c:pt>
                <c:pt idx="1192">
                  <c:v>3.6</c:v>
                </c:pt>
                <c:pt idx="1193">
                  <c:v>3.7</c:v>
                </c:pt>
                <c:pt idx="1194">
                  <c:v>4</c:v>
                </c:pt>
                <c:pt idx="1195">
                  <c:v>4.2</c:v>
                </c:pt>
                <c:pt idx="1196">
                  <c:v>3.8</c:v>
                </c:pt>
                <c:pt idx="1197">
                  <c:v>4.2</c:v>
                </c:pt>
                <c:pt idx="1198">
                  <c:v>3.9</c:v>
                </c:pt>
                <c:pt idx="1199">
                  <c:v>4</c:v>
                </c:pt>
                <c:pt idx="1200">
                  <c:v>4.0999999999999996</c:v>
                </c:pt>
                <c:pt idx="1201">
                  <c:v>4.8</c:v>
                </c:pt>
                <c:pt idx="1202">
                  <c:v>4.2</c:v>
                </c:pt>
                <c:pt idx="1203">
                  <c:v>4.0999999999999996</c:v>
                </c:pt>
                <c:pt idx="1204">
                  <c:v>4</c:v>
                </c:pt>
                <c:pt idx="1205">
                  <c:v>3.9</c:v>
                </c:pt>
                <c:pt idx="1206">
                  <c:v>4.0999999999999996</c:v>
                </c:pt>
                <c:pt idx="1207">
                  <c:v>4.3</c:v>
                </c:pt>
                <c:pt idx="1208">
                  <c:v>4.0999999999999996</c:v>
                </c:pt>
                <c:pt idx="1209">
                  <c:v>4.2</c:v>
                </c:pt>
                <c:pt idx="1210">
                  <c:v>3.9</c:v>
                </c:pt>
                <c:pt idx="1211">
                  <c:v>3.7</c:v>
                </c:pt>
                <c:pt idx="1212">
                  <c:v>4.0999999999999996</c:v>
                </c:pt>
                <c:pt idx="1213">
                  <c:v>4</c:v>
                </c:pt>
                <c:pt idx="1214">
                  <c:v>3.8</c:v>
                </c:pt>
                <c:pt idx="1215">
                  <c:v>4.2</c:v>
                </c:pt>
                <c:pt idx="1216">
                  <c:v>4.5999999999999996</c:v>
                </c:pt>
                <c:pt idx="1217">
                  <c:v>4.0999999999999996</c:v>
                </c:pt>
                <c:pt idx="1218">
                  <c:v>3.3</c:v>
                </c:pt>
                <c:pt idx="1219">
                  <c:v>4.2</c:v>
                </c:pt>
                <c:pt idx="1220">
                  <c:v>4.3</c:v>
                </c:pt>
                <c:pt idx="1221">
                  <c:v>4.3</c:v>
                </c:pt>
                <c:pt idx="1222">
                  <c:v>4.3</c:v>
                </c:pt>
                <c:pt idx="1223">
                  <c:v>4.7</c:v>
                </c:pt>
                <c:pt idx="1224">
                  <c:v>4.4000000000000004</c:v>
                </c:pt>
                <c:pt idx="1225">
                  <c:v>3.9</c:v>
                </c:pt>
                <c:pt idx="1226">
                  <c:v>4.7</c:v>
                </c:pt>
                <c:pt idx="1227">
                  <c:v>4.0999999999999996</c:v>
                </c:pt>
                <c:pt idx="1228">
                  <c:v>3.8</c:v>
                </c:pt>
                <c:pt idx="1229">
                  <c:v>4.4000000000000004</c:v>
                </c:pt>
                <c:pt idx="1230">
                  <c:v>4.3</c:v>
                </c:pt>
                <c:pt idx="1231">
                  <c:v>3.4</c:v>
                </c:pt>
                <c:pt idx="1232">
                  <c:v>4.2</c:v>
                </c:pt>
                <c:pt idx="1233">
                  <c:v>3.7</c:v>
                </c:pt>
                <c:pt idx="1234">
                  <c:v>4.3</c:v>
                </c:pt>
                <c:pt idx="1235">
                  <c:v>4.3</c:v>
                </c:pt>
                <c:pt idx="1236">
                  <c:v>4.4000000000000004</c:v>
                </c:pt>
                <c:pt idx="1237">
                  <c:v>4.0999999999999996</c:v>
                </c:pt>
                <c:pt idx="1238">
                  <c:v>4</c:v>
                </c:pt>
                <c:pt idx="1239">
                  <c:v>4.4000000000000004</c:v>
                </c:pt>
                <c:pt idx="1240">
                  <c:v>3.8</c:v>
                </c:pt>
                <c:pt idx="1241">
                  <c:v>4.3</c:v>
                </c:pt>
                <c:pt idx="1242">
                  <c:v>3.8</c:v>
                </c:pt>
                <c:pt idx="1243">
                  <c:v>2.2999999999999998</c:v>
                </c:pt>
                <c:pt idx="1244">
                  <c:v>4.5</c:v>
                </c:pt>
                <c:pt idx="1245">
                  <c:v>4</c:v>
                </c:pt>
                <c:pt idx="1246">
                  <c:v>3.7</c:v>
                </c:pt>
                <c:pt idx="1247">
                  <c:v>4</c:v>
                </c:pt>
                <c:pt idx="1248">
                  <c:v>4.4000000000000004</c:v>
                </c:pt>
                <c:pt idx="1249">
                  <c:v>4.0999999999999996</c:v>
                </c:pt>
                <c:pt idx="1250">
                  <c:v>4.4000000000000004</c:v>
                </c:pt>
                <c:pt idx="1251">
                  <c:v>3.1</c:v>
                </c:pt>
                <c:pt idx="1252">
                  <c:v>4.3</c:v>
                </c:pt>
                <c:pt idx="1253">
                  <c:v>4.4000000000000004</c:v>
                </c:pt>
                <c:pt idx="1254">
                  <c:v>4.4000000000000004</c:v>
                </c:pt>
                <c:pt idx="1255">
                  <c:v>4.0999999999999996</c:v>
                </c:pt>
                <c:pt idx="1256">
                  <c:v>4.0999999999999996</c:v>
                </c:pt>
                <c:pt idx="1257">
                  <c:v>4</c:v>
                </c:pt>
                <c:pt idx="1258">
                  <c:v>3.6</c:v>
                </c:pt>
                <c:pt idx="1259">
                  <c:v>3.9</c:v>
                </c:pt>
                <c:pt idx="1260">
                  <c:v>3.9</c:v>
                </c:pt>
                <c:pt idx="1261">
                  <c:v>3.8</c:v>
                </c:pt>
                <c:pt idx="1262">
                  <c:v>4.0999999999999996</c:v>
                </c:pt>
                <c:pt idx="1263">
                  <c:v>4.0999999999999996</c:v>
                </c:pt>
                <c:pt idx="1264">
                  <c:v>4.0999999999999996</c:v>
                </c:pt>
                <c:pt idx="1265">
                  <c:v>3.8</c:v>
                </c:pt>
                <c:pt idx="1266">
                  <c:v>4.3</c:v>
                </c:pt>
                <c:pt idx="1267">
                  <c:v>4.5</c:v>
                </c:pt>
                <c:pt idx="1268">
                  <c:v>4.2</c:v>
                </c:pt>
                <c:pt idx="1269">
                  <c:v>3.9</c:v>
                </c:pt>
                <c:pt idx="1270">
                  <c:v>3.5</c:v>
                </c:pt>
                <c:pt idx="1271">
                  <c:v>4.3</c:v>
                </c:pt>
                <c:pt idx="1272">
                  <c:v>3.9</c:v>
                </c:pt>
                <c:pt idx="1273">
                  <c:v>3.9</c:v>
                </c:pt>
                <c:pt idx="1274">
                  <c:v>4</c:v>
                </c:pt>
                <c:pt idx="1275">
                  <c:v>4.7</c:v>
                </c:pt>
                <c:pt idx="1276">
                  <c:v>4.0999999999999996</c:v>
                </c:pt>
                <c:pt idx="1277">
                  <c:v>3.8</c:v>
                </c:pt>
                <c:pt idx="1278">
                  <c:v>4.0999999999999996</c:v>
                </c:pt>
                <c:pt idx="1279">
                  <c:v>0</c:v>
                </c:pt>
                <c:pt idx="1280">
                  <c:v>4.0999999999999996</c:v>
                </c:pt>
                <c:pt idx="1281">
                  <c:v>3.9</c:v>
                </c:pt>
                <c:pt idx="1282">
                  <c:v>3.8</c:v>
                </c:pt>
                <c:pt idx="1283">
                  <c:v>4.0999999999999996</c:v>
                </c:pt>
                <c:pt idx="1284">
                  <c:v>4.3</c:v>
                </c:pt>
                <c:pt idx="1285">
                  <c:v>3.9</c:v>
                </c:pt>
                <c:pt idx="1286">
                  <c:v>2.8</c:v>
                </c:pt>
                <c:pt idx="1287">
                  <c:v>4</c:v>
                </c:pt>
                <c:pt idx="1288">
                  <c:v>4.5</c:v>
                </c:pt>
                <c:pt idx="1289">
                  <c:v>4.5999999999999996</c:v>
                </c:pt>
                <c:pt idx="1290">
                  <c:v>4.0999999999999996</c:v>
                </c:pt>
                <c:pt idx="1291">
                  <c:v>4.0999999999999996</c:v>
                </c:pt>
                <c:pt idx="1292">
                  <c:v>3.4</c:v>
                </c:pt>
                <c:pt idx="1293">
                  <c:v>4.5999999999999996</c:v>
                </c:pt>
                <c:pt idx="1294">
                  <c:v>4.2</c:v>
                </c:pt>
                <c:pt idx="1295">
                  <c:v>3.9</c:v>
                </c:pt>
                <c:pt idx="1296">
                  <c:v>4.2</c:v>
                </c:pt>
                <c:pt idx="1297">
                  <c:v>4.2</c:v>
                </c:pt>
                <c:pt idx="1298">
                  <c:v>4.0999999999999996</c:v>
                </c:pt>
                <c:pt idx="1299">
                  <c:v>4.8</c:v>
                </c:pt>
                <c:pt idx="1300">
                  <c:v>4.4000000000000004</c:v>
                </c:pt>
                <c:pt idx="1301">
                  <c:v>4.3</c:v>
                </c:pt>
                <c:pt idx="1302">
                  <c:v>4.3</c:v>
                </c:pt>
                <c:pt idx="1303">
                  <c:v>4</c:v>
                </c:pt>
                <c:pt idx="1304">
                  <c:v>4.3</c:v>
                </c:pt>
                <c:pt idx="1305">
                  <c:v>4</c:v>
                </c:pt>
                <c:pt idx="1306">
                  <c:v>4.4000000000000004</c:v>
                </c:pt>
                <c:pt idx="1307">
                  <c:v>4.0999999999999996</c:v>
                </c:pt>
                <c:pt idx="1308">
                  <c:v>3.6</c:v>
                </c:pt>
                <c:pt idx="1309">
                  <c:v>2</c:v>
                </c:pt>
                <c:pt idx="1310">
                  <c:v>4</c:v>
                </c:pt>
                <c:pt idx="1311">
                  <c:v>3.7</c:v>
                </c:pt>
                <c:pt idx="1312">
                  <c:v>3.8</c:v>
                </c:pt>
                <c:pt idx="1313">
                  <c:v>3.9</c:v>
                </c:pt>
                <c:pt idx="1314">
                  <c:v>3.1</c:v>
                </c:pt>
                <c:pt idx="1315">
                  <c:v>3</c:v>
                </c:pt>
                <c:pt idx="1316">
                  <c:v>4</c:v>
                </c:pt>
                <c:pt idx="1317">
                  <c:v>4.4000000000000004</c:v>
                </c:pt>
                <c:pt idx="1318">
                  <c:v>4.0999999999999996</c:v>
                </c:pt>
                <c:pt idx="1319">
                  <c:v>3.6</c:v>
                </c:pt>
                <c:pt idx="1320">
                  <c:v>4.4000000000000004</c:v>
                </c:pt>
                <c:pt idx="1321">
                  <c:v>4.2</c:v>
                </c:pt>
                <c:pt idx="1322">
                  <c:v>4.3</c:v>
                </c:pt>
                <c:pt idx="1323">
                  <c:v>3.8</c:v>
                </c:pt>
                <c:pt idx="1324">
                  <c:v>4.0999999999999996</c:v>
                </c:pt>
                <c:pt idx="1325">
                  <c:v>4</c:v>
                </c:pt>
                <c:pt idx="1326">
                  <c:v>4.2</c:v>
                </c:pt>
                <c:pt idx="1327">
                  <c:v>3.6</c:v>
                </c:pt>
                <c:pt idx="1328">
                  <c:v>4.2</c:v>
                </c:pt>
                <c:pt idx="1329">
                  <c:v>4.0999999999999996</c:v>
                </c:pt>
                <c:pt idx="1330">
                  <c:v>4.2</c:v>
                </c:pt>
                <c:pt idx="1331">
                  <c:v>3.9</c:v>
                </c:pt>
                <c:pt idx="1332">
                  <c:v>4</c:v>
                </c:pt>
                <c:pt idx="1333">
                  <c:v>4.2</c:v>
                </c:pt>
                <c:pt idx="1334">
                  <c:v>4.2</c:v>
                </c:pt>
                <c:pt idx="1335">
                  <c:v>4.0999999999999996</c:v>
                </c:pt>
                <c:pt idx="1336">
                  <c:v>4.4000000000000004</c:v>
                </c:pt>
                <c:pt idx="1337">
                  <c:v>4.0999999999999996</c:v>
                </c:pt>
                <c:pt idx="1338">
                  <c:v>4.2</c:v>
                </c:pt>
                <c:pt idx="1339">
                  <c:v>4.0999999999999996</c:v>
                </c:pt>
                <c:pt idx="1340">
                  <c:v>3.9</c:v>
                </c:pt>
                <c:pt idx="1341">
                  <c:v>3.9</c:v>
                </c:pt>
                <c:pt idx="1342">
                  <c:v>4.2</c:v>
                </c:pt>
                <c:pt idx="1343">
                  <c:v>4.2</c:v>
                </c:pt>
                <c:pt idx="1344">
                  <c:v>3.7</c:v>
                </c:pt>
                <c:pt idx="1345">
                  <c:v>3.7</c:v>
                </c:pt>
                <c:pt idx="1346">
                  <c:v>3.4</c:v>
                </c:pt>
                <c:pt idx="1347">
                  <c:v>4.2</c:v>
                </c:pt>
                <c:pt idx="1348">
                  <c:v>4</c:v>
                </c:pt>
                <c:pt idx="1349">
                  <c:v>4.0999999999999996</c:v>
                </c:pt>
                <c:pt idx="1350">
                  <c:v>3.9</c:v>
                </c:pt>
                <c:pt idx="1351">
                  <c:v>4</c:v>
                </c:pt>
                <c:pt idx="1352">
                  <c:v>3.9</c:v>
                </c:pt>
                <c:pt idx="1353">
                  <c:v>4.2</c:v>
                </c:pt>
                <c:pt idx="1354">
                  <c:v>4.3</c:v>
                </c:pt>
                <c:pt idx="1355">
                  <c:v>4</c:v>
                </c:pt>
                <c:pt idx="1356">
                  <c:v>2.6</c:v>
                </c:pt>
                <c:pt idx="1357">
                  <c:v>3.8</c:v>
                </c:pt>
                <c:pt idx="1358">
                  <c:v>4.5</c:v>
                </c:pt>
                <c:pt idx="1359">
                  <c:v>3.5</c:v>
                </c:pt>
                <c:pt idx="1360">
                  <c:v>3.9</c:v>
                </c:pt>
                <c:pt idx="1361">
                  <c:v>4</c:v>
                </c:pt>
                <c:pt idx="1362">
                  <c:v>4</c:v>
                </c:pt>
                <c:pt idx="1363">
                  <c:v>3.5</c:v>
                </c:pt>
                <c:pt idx="1364">
                  <c:v>4</c:v>
                </c:pt>
                <c:pt idx="1365">
                  <c:v>3.4</c:v>
                </c:pt>
                <c:pt idx="1366">
                  <c:v>4.2</c:v>
                </c:pt>
                <c:pt idx="1367">
                  <c:v>3.8</c:v>
                </c:pt>
                <c:pt idx="1368">
                  <c:v>4.0999999999999996</c:v>
                </c:pt>
                <c:pt idx="1369">
                  <c:v>4.2</c:v>
                </c:pt>
                <c:pt idx="1370">
                  <c:v>4.3</c:v>
                </c:pt>
                <c:pt idx="1371">
                  <c:v>4.2</c:v>
                </c:pt>
                <c:pt idx="1372">
                  <c:v>4.0999999999999996</c:v>
                </c:pt>
                <c:pt idx="1373">
                  <c:v>3.9</c:v>
                </c:pt>
                <c:pt idx="1374">
                  <c:v>3.3</c:v>
                </c:pt>
                <c:pt idx="1375">
                  <c:v>4.3</c:v>
                </c:pt>
                <c:pt idx="1376">
                  <c:v>3.9</c:v>
                </c:pt>
                <c:pt idx="1377">
                  <c:v>4.3</c:v>
                </c:pt>
                <c:pt idx="1378">
                  <c:v>3.6</c:v>
                </c:pt>
                <c:pt idx="1379">
                  <c:v>3.8</c:v>
                </c:pt>
                <c:pt idx="1380">
                  <c:v>3.9</c:v>
                </c:pt>
                <c:pt idx="1381">
                  <c:v>4.5999999999999996</c:v>
                </c:pt>
                <c:pt idx="1382">
                  <c:v>3.8</c:v>
                </c:pt>
                <c:pt idx="1383">
                  <c:v>3.9</c:v>
                </c:pt>
                <c:pt idx="1384">
                  <c:v>4.0999999999999996</c:v>
                </c:pt>
                <c:pt idx="1385">
                  <c:v>3.6</c:v>
                </c:pt>
                <c:pt idx="1386">
                  <c:v>4.4000000000000004</c:v>
                </c:pt>
                <c:pt idx="1387">
                  <c:v>4.3</c:v>
                </c:pt>
                <c:pt idx="1388">
                  <c:v>4.7</c:v>
                </c:pt>
                <c:pt idx="1389">
                  <c:v>4.3</c:v>
                </c:pt>
                <c:pt idx="1390">
                  <c:v>3.9</c:v>
                </c:pt>
                <c:pt idx="1391">
                  <c:v>3.9</c:v>
                </c:pt>
                <c:pt idx="1392">
                  <c:v>3.7</c:v>
                </c:pt>
                <c:pt idx="1393">
                  <c:v>3.5</c:v>
                </c:pt>
                <c:pt idx="1394">
                  <c:v>4</c:v>
                </c:pt>
                <c:pt idx="1395">
                  <c:v>4.0999999999999996</c:v>
                </c:pt>
                <c:pt idx="1396">
                  <c:v>3.9</c:v>
                </c:pt>
                <c:pt idx="1397">
                  <c:v>4.4000000000000004</c:v>
                </c:pt>
                <c:pt idx="1398">
                  <c:v>4.3</c:v>
                </c:pt>
                <c:pt idx="1399">
                  <c:v>4.5</c:v>
                </c:pt>
                <c:pt idx="1400">
                  <c:v>4</c:v>
                </c:pt>
                <c:pt idx="1401">
                  <c:v>3.9</c:v>
                </c:pt>
                <c:pt idx="1402">
                  <c:v>4.2</c:v>
                </c:pt>
                <c:pt idx="1403">
                  <c:v>4.0999999999999996</c:v>
                </c:pt>
                <c:pt idx="1404">
                  <c:v>3.7</c:v>
                </c:pt>
                <c:pt idx="1405">
                  <c:v>4.0999999999999996</c:v>
                </c:pt>
                <c:pt idx="1406">
                  <c:v>4.2</c:v>
                </c:pt>
                <c:pt idx="1407">
                  <c:v>4.3</c:v>
                </c:pt>
                <c:pt idx="1408">
                  <c:v>3.6</c:v>
                </c:pt>
                <c:pt idx="1409">
                  <c:v>4.0999999999999996</c:v>
                </c:pt>
                <c:pt idx="1410">
                  <c:v>4.5</c:v>
                </c:pt>
                <c:pt idx="1411">
                  <c:v>4.2</c:v>
                </c:pt>
                <c:pt idx="1412">
                  <c:v>4.3</c:v>
                </c:pt>
                <c:pt idx="1413">
                  <c:v>4</c:v>
                </c:pt>
                <c:pt idx="1414">
                  <c:v>4.2</c:v>
                </c:pt>
                <c:pt idx="1415">
                  <c:v>4.2</c:v>
                </c:pt>
                <c:pt idx="1416">
                  <c:v>4.5</c:v>
                </c:pt>
                <c:pt idx="1417">
                  <c:v>3.8</c:v>
                </c:pt>
                <c:pt idx="1418">
                  <c:v>4.4000000000000004</c:v>
                </c:pt>
                <c:pt idx="1419">
                  <c:v>4.0999999999999996</c:v>
                </c:pt>
                <c:pt idx="1420">
                  <c:v>4.2</c:v>
                </c:pt>
                <c:pt idx="1421">
                  <c:v>4.3</c:v>
                </c:pt>
                <c:pt idx="1422">
                  <c:v>4.0999999999999996</c:v>
                </c:pt>
                <c:pt idx="1423">
                  <c:v>4.2</c:v>
                </c:pt>
                <c:pt idx="1424">
                  <c:v>4.0999999999999996</c:v>
                </c:pt>
                <c:pt idx="1425">
                  <c:v>3.9</c:v>
                </c:pt>
                <c:pt idx="1426">
                  <c:v>3.9</c:v>
                </c:pt>
                <c:pt idx="1427">
                  <c:v>3.8</c:v>
                </c:pt>
                <c:pt idx="1428">
                  <c:v>4.5999999999999996</c:v>
                </c:pt>
                <c:pt idx="1429">
                  <c:v>3.6</c:v>
                </c:pt>
                <c:pt idx="1430">
                  <c:v>4.0999999999999996</c:v>
                </c:pt>
                <c:pt idx="1431">
                  <c:v>4.2</c:v>
                </c:pt>
                <c:pt idx="1432">
                  <c:v>4.3</c:v>
                </c:pt>
                <c:pt idx="1433">
                  <c:v>3.9</c:v>
                </c:pt>
                <c:pt idx="1434">
                  <c:v>3.9</c:v>
                </c:pt>
                <c:pt idx="1435">
                  <c:v>4</c:v>
                </c:pt>
                <c:pt idx="1436">
                  <c:v>4.4000000000000004</c:v>
                </c:pt>
                <c:pt idx="1437">
                  <c:v>4.2</c:v>
                </c:pt>
                <c:pt idx="1438">
                  <c:v>4.5</c:v>
                </c:pt>
                <c:pt idx="1439">
                  <c:v>4.0999999999999996</c:v>
                </c:pt>
                <c:pt idx="1440">
                  <c:v>4.0999999999999996</c:v>
                </c:pt>
                <c:pt idx="1441">
                  <c:v>4.2</c:v>
                </c:pt>
                <c:pt idx="1442">
                  <c:v>4.2</c:v>
                </c:pt>
                <c:pt idx="1443">
                  <c:v>4</c:v>
                </c:pt>
                <c:pt idx="1444">
                  <c:v>4.3</c:v>
                </c:pt>
                <c:pt idx="1445">
                  <c:v>3.6</c:v>
                </c:pt>
                <c:pt idx="1446">
                  <c:v>3.5</c:v>
                </c:pt>
                <c:pt idx="1447">
                  <c:v>4.3</c:v>
                </c:pt>
                <c:pt idx="1448">
                  <c:v>3.6</c:v>
                </c:pt>
                <c:pt idx="1449">
                  <c:v>2.9</c:v>
                </c:pt>
                <c:pt idx="1450">
                  <c:v>4.2</c:v>
                </c:pt>
                <c:pt idx="1451">
                  <c:v>4.4000000000000004</c:v>
                </c:pt>
                <c:pt idx="1452">
                  <c:v>4.0999999999999996</c:v>
                </c:pt>
                <c:pt idx="1453">
                  <c:v>3.8</c:v>
                </c:pt>
                <c:pt idx="1454">
                  <c:v>3.5</c:v>
                </c:pt>
                <c:pt idx="1455">
                  <c:v>4.0999999999999996</c:v>
                </c:pt>
                <c:pt idx="1456">
                  <c:v>3.2</c:v>
                </c:pt>
                <c:pt idx="1457">
                  <c:v>4.4000000000000004</c:v>
                </c:pt>
                <c:pt idx="1458">
                  <c:v>3.6</c:v>
                </c:pt>
                <c:pt idx="1459">
                  <c:v>3.1</c:v>
                </c:pt>
                <c:pt idx="1460">
                  <c:v>4</c:v>
                </c:pt>
                <c:pt idx="1461">
                  <c:v>4.0999999999999996</c:v>
                </c:pt>
                <c:pt idx="1462">
                  <c:v>3.6</c:v>
                </c:pt>
                <c:pt idx="1463">
                  <c:v>4</c:v>
                </c:pt>
                <c:pt idx="1464">
                  <c:v>4.3</c:v>
                </c:pt>
              </c:numCache>
            </c:numRef>
          </c:yVal>
          <c:smooth val="1"/>
        </c:ser>
        <c:dLbls>
          <c:showLegendKey val="0"/>
          <c:showVal val="0"/>
          <c:showCatName val="0"/>
          <c:showSerName val="0"/>
          <c:showPercent val="0"/>
          <c:showBubbleSize val="0"/>
        </c:dLbls>
        <c:axId val="270169984"/>
        <c:axId val="270176256"/>
      </c:scatterChart>
      <c:valAx>
        <c:axId val="270169984"/>
        <c:scaling>
          <c:orientation val="minMax"/>
        </c:scaling>
        <c:delete val="0"/>
        <c:axPos val="b"/>
        <c:majorGridlines>
          <c:spPr>
            <a:ln w="0">
              <a:solidFill>
                <a:srgbClr val="B3B3B3"/>
              </a:solidFill>
              <a:prstDash val="soli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Discount %</a:t>
                </a:r>
              </a:p>
            </c:rich>
          </c:tx>
          <c:layout/>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70176256"/>
        <c:crosses val="autoZero"/>
        <c:crossBetween val="midCat"/>
      </c:valAx>
      <c:valAx>
        <c:axId val="270176256"/>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Rating</a:t>
                </a:r>
              </a:p>
            </c:rich>
          </c:tx>
          <c:layout/>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70169984"/>
        <c:crosses val="autoZero"/>
        <c:crossBetween val="midCat"/>
      </c:valAx>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Price Trend Across Brands (Area)</a:t>
            </a:r>
          </a:p>
        </c:rich>
      </c:tx>
      <c:layout/>
      <c:overlay val="0"/>
      <c:spPr>
        <a:noFill/>
        <a:ln w="0">
          <a:noFill/>
          <a:prstDash val="solid"/>
        </a:ln>
      </c:spPr>
    </c:title>
    <c:autoTitleDeleted val="0"/>
    <c:plotArea>
      <c:layout/>
      <c:areaChart>
        <c:grouping val="standard"/>
        <c:varyColors val="1"/>
        <c:ser>
          <c:idx val="0"/>
          <c:order val="0"/>
          <c:tx>
            <c:strRef>
              <c:f>Brand_Summary!$C$1</c:f>
              <c:strCache>
                <c:ptCount val="1"/>
                <c:pt idx="0">
                  <c:v>Avg Discounted Price</c:v>
                </c:pt>
              </c:strCache>
            </c:strRef>
          </c:tx>
          <c:spPr>
            <a:solidFill>
              <a:srgbClr val="2E86AB"/>
            </a:solidFill>
            <a:ln w="0">
              <a:solidFill>
                <a:srgbClr val="2E86AB"/>
              </a:solidFill>
              <a:prstDash val="solid"/>
            </a:ln>
          </c:spPr>
          <c:dLbls>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howLeaderLines val="0"/>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Brand_Summary!$C$2:$C$11</c:f>
              <c:numCache>
                <c:formatCode>\₹#,##0</c:formatCode>
                <c:ptCount val="10"/>
                <c:pt idx="0">
                  <c:v>1044.455588235294</c:v>
                </c:pt>
                <c:pt idx="1">
                  <c:v>13787.461538461539</c:v>
                </c:pt>
                <c:pt idx="2">
                  <c:v>1317.7852631578946</c:v>
                </c:pt>
                <c:pt idx="3">
                  <c:v>1389.5882352941176</c:v>
                </c:pt>
                <c:pt idx="4">
                  <c:v>514.6</c:v>
                </c:pt>
                <c:pt idx="5">
                  <c:v>1371</c:v>
                </c:pt>
                <c:pt idx="6">
                  <c:v>13779.138888888889</c:v>
                </c:pt>
                <c:pt idx="7">
                  <c:v>942.75</c:v>
                </c:pt>
                <c:pt idx="8">
                  <c:v>9492.1071428571431</c:v>
                </c:pt>
                <c:pt idx="9">
                  <c:v>2248.875</c:v>
                </c:pt>
              </c:numCache>
            </c:numRef>
          </c:val>
        </c:ser>
        <c:dLbls>
          <c:showLegendKey val="0"/>
          <c:showVal val="0"/>
          <c:showCatName val="0"/>
          <c:showSerName val="0"/>
          <c:showPercent val="0"/>
          <c:showBubbleSize val="0"/>
        </c:dLbls>
        <c:axId val="270272768"/>
        <c:axId val="270286848"/>
      </c:areaChart>
      <c:lineChart>
        <c:grouping val="stacked"/>
        <c:varyColors val="1"/>
        <c:ser>
          <c:idx val="1"/>
          <c:order val="1"/>
          <c:tx>
            <c:strRef>
              <c:f>Brand_Summary!$D$1</c:f>
              <c:strCache>
                <c:ptCount val="1"/>
                <c:pt idx="0">
                  <c:v>Avg Actual Price</c:v>
                </c:pt>
              </c:strCache>
            </c:strRef>
          </c:tx>
          <c:spPr>
            <a:solidFill>
              <a:srgbClr val="FF6B35"/>
            </a:solidFill>
            <a:ln w="0">
              <a:solidFill>
                <a:srgbClr val="FF6B35"/>
              </a:solidFill>
              <a:prstDash val="solid"/>
            </a:ln>
          </c:spPr>
          <c:marker>
            <c:symbol val="none"/>
          </c:marker>
          <c:dLbls>
            <c:txPr>
              <a:bodyPr wrap="square"/>
              <a:lstStyle/>
              <a:p>
                <a:pPr>
                  <a:defRPr sz="1000" b="0" strike="noStrike" spc="-1">
                    <a:solidFill>
                      <a:srgbClr val="000000"/>
                    </a:solidFill>
                    <a:latin typeface="Arial"/>
                  </a:defRPr>
                </a:pPr>
                <a:endParaRPr lang="en-US"/>
              </a:p>
            </c:txPr>
            <c:showLegendKey val="0"/>
            <c:showVal val="1"/>
            <c:showCatName val="0"/>
            <c:showSerName val="0"/>
            <c:showPercent val="0"/>
            <c:showBubbleSize val="0"/>
            <c:showLeaderLines val="0"/>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Brand_Summary!$D$2:$D$11</c:f>
              <c:numCache>
                <c:formatCode>\₹#,##0</c:formatCode>
                <c:ptCount val="10"/>
                <c:pt idx="0">
                  <c:v>3268.4852941176468</c:v>
                </c:pt>
                <c:pt idx="1">
                  <c:v>18806.692307692309</c:v>
                </c:pt>
                <c:pt idx="2">
                  <c:v>2737.0263157894738</c:v>
                </c:pt>
                <c:pt idx="3">
                  <c:v>3602.9411764705883</c:v>
                </c:pt>
                <c:pt idx="4">
                  <c:v>1282.08</c:v>
                </c:pt>
                <c:pt idx="5">
                  <c:v>2481</c:v>
                </c:pt>
                <c:pt idx="6">
                  <c:v>21343.694444444445</c:v>
                </c:pt>
                <c:pt idx="7">
                  <c:v>1724.125</c:v>
                </c:pt>
                <c:pt idx="8">
                  <c:v>14013.285714285714</c:v>
                </c:pt>
                <c:pt idx="9">
                  <c:v>5165.291666666667</c:v>
                </c:pt>
              </c:numCache>
            </c:numRef>
          </c:val>
          <c:smooth val="0"/>
        </c:ser>
        <c:dLbls>
          <c:showLegendKey val="0"/>
          <c:showVal val="0"/>
          <c:showCatName val="0"/>
          <c:showSerName val="0"/>
          <c:showPercent val="0"/>
          <c:showBubbleSize val="0"/>
        </c:dLbls>
        <c:marker val="1"/>
        <c:smooth val="0"/>
        <c:axId val="270272768"/>
        <c:axId val="270286848"/>
      </c:lineChart>
      <c:catAx>
        <c:axId val="270272768"/>
        <c:scaling>
          <c:orientation val="minMax"/>
        </c:scaling>
        <c:delete val="1"/>
        <c:axPos val="b"/>
        <c:majorTickMark val="none"/>
        <c:minorTickMark val="none"/>
        <c:tickLblPos val="nextTo"/>
        <c:crossAx val="270286848"/>
        <c:crosses val="autoZero"/>
        <c:auto val="1"/>
        <c:lblAlgn val="ctr"/>
        <c:lblOffset val="100"/>
        <c:noMultiLvlLbl val="1"/>
      </c:catAx>
      <c:valAx>
        <c:axId val="270286848"/>
        <c:scaling>
          <c:orientation val="minMax"/>
        </c:scaling>
        <c:delete val="1"/>
        <c:axPos val="l"/>
        <c:majorGridlines/>
        <c:numFmt formatCode="\₹#,##0" sourceLinked="1"/>
        <c:majorTickMark val="none"/>
        <c:minorTickMark val="none"/>
        <c:tickLblPos val="nextTo"/>
        <c:crossAx val="270272768"/>
        <c:crosses val="autoZero"/>
        <c:crossBetween val="between"/>
      </c:valAx>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Product Distribution by Category</a:t>
            </a:r>
          </a:p>
        </c:rich>
      </c:tx>
      <c:layout/>
      <c:overlay val="0"/>
      <c:spPr>
        <a:noFill/>
        <a:ln w="0">
          <a:noFill/>
          <a:prstDash val="solid"/>
        </a:ln>
      </c:spPr>
    </c:title>
    <c:autoTitleDeleted val="0"/>
    <c:plotArea>
      <c:layout/>
      <c:pieChart>
        <c:varyColors val="1"/>
        <c:ser>
          <c:idx val="0"/>
          <c:order val="0"/>
          <c:tx>
            <c:strRef>
              <c:f>Category_Summary!$B$1</c:f>
              <c:strCache>
                <c:ptCount val="1"/>
                <c:pt idx="0">
                  <c:v>Product Count</c:v>
                </c:pt>
              </c:strCache>
            </c:strRef>
          </c:tx>
          <c:spPr>
            <a:solidFill>
              <a:srgbClr val="4F81BD"/>
            </a:solidFill>
            <a:ln w="0">
              <a:noFill/>
              <a:prstDash val="solid"/>
            </a:ln>
          </c:spPr>
          <c:dPt>
            <c:idx val="0"/>
            <c:bubble3D val="0"/>
            <c:spPr>
              <a:solidFill>
                <a:srgbClr val="4672A8"/>
              </a:solidFill>
              <a:ln w="0">
                <a:noFill/>
                <a:prstDash val="solid"/>
              </a:ln>
            </c:spPr>
          </c:dPt>
          <c:dPt>
            <c:idx val="1"/>
            <c:bubble3D val="0"/>
            <c:spPr>
              <a:solidFill>
                <a:srgbClr val="AB4744"/>
              </a:solidFill>
              <a:ln w="0">
                <a:noFill/>
                <a:prstDash val="solid"/>
              </a:ln>
            </c:spPr>
          </c:dPt>
          <c:dPt>
            <c:idx val="2"/>
            <c:bubble3D val="0"/>
            <c:spPr>
              <a:solidFill>
                <a:srgbClr val="8AA64F"/>
              </a:solidFill>
              <a:ln w="0">
                <a:noFill/>
                <a:prstDash val="solid"/>
              </a:ln>
            </c:spPr>
          </c:dPt>
          <c:dPt>
            <c:idx val="3"/>
            <c:bubble3D val="0"/>
            <c:spPr>
              <a:solidFill>
                <a:srgbClr val="725990"/>
              </a:solidFill>
              <a:ln w="0">
                <a:noFill/>
                <a:prstDash val="solid"/>
              </a:ln>
            </c:spPr>
          </c:dPt>
          <c:dPt>
            <c:idx val="4"/>
            <c:bubble3D val="0"/>
            <c:spPr>
              <a:solidFill>
                <a:srgbClr val="4299B0"/>
              </a:solidFill>
              <a:ln w="0">
                <a:noFill/>
                <a:prstDash val="solid"/>
              </a:ln>
            </c:spPr>
          </c:dPt>
          <c:dPt>
            <c:idx val="5"/>
            <c:bubble3D val="0"/>
            <c:spPr>
              <a:solidFill>
                <a:srgbClr val="DC853E"/>
              </a:solidFill>
              <a:ln w="0">
                <a:noFill/>
                <a:prstDash val="solid"/>
              </a:ln>
            </c:spPr>
          </c:dPt>
          <c:dPt>
            <c:idx val="6"/>
            <c:bubble3D val="0"/>
            <c:spPr>
              <a:solidFill>
                <a:srgbClr val="93A9CE"/>
              </a:solidFill>
              <a:ln w="0">
                <a:noFill/>
                <a:prstDash val="solid"/>
              </a:ln>
            </c:spPr>
          </c:dPt>
          <c:dPt>
            <c:idx val="7"/>
            <c:bubble3D val="0"/>
            <c:spPr>
              <a:solidFill>
                <a:srgbClr val="D09493"/>
              </a:solidFill>
              <a:ln w="0">
                <a:noFill/>
                <a:prstDash val="solid"/>
              </a:ln>
            </c:spPr>
          </c:dPt>
          <c:dPt>
            <c:idx val="8"/>
            <c:bubble3D val="0"/>
            <c:spPr>
              <a:solidFill>
                <a:srgbClr val="B8CD97"/>
              </a:solidFill>
              <a:ln w="0">
                <a:noFill/>
                <a:prstDash val="solid"/>
              </a:ln>
            </c:spPr>
          </c:dPt>
          <c:dLbls>
            <c:showLegendKey val="0"/>
            <c:showVal val="0"/>
            <c:showCatName val="0"/>
            <c:showSerName val="0"/>
            <c:showPercent val="1"/>
            <c:showBubbleSize val="1"/>
            <c:showLeaderLines val="1"/>
          </c:dLbls>
          <c:cat>
            <c:strRef>
              <c:f>Category_Summary!$A$2:$A$10</c:f>
              <c:strCache>
                <c:ptCount val="9"/>
                <c:pt idx="0">
                  <c:v>Electronics</c:v>
                </c:pt>
                <c:pt idx="1">
                  <c:v>Computers&amp;Accessories</c:v>
                </c:pt>
                <c:pt idx="2">
                  <c:v>Home&amp;Kitchen</c:v>
                </c:pt>
                <c:pt idx="3">
                  <c:v>OfficeProducts</c:v>
                </c:pt>
                <c:pt idx="4">
                  <c:v>MusicalInstruments</c:v>
                </c:pt>
                <c:pt idx="5">
                  <c:v>HomeImprovement</c:v>
                </c:pt>
                <c:pt idx="6">
                  <c:v>Toys&amp;Games</c:v>
                </c:pt>
                <c:pt idx="7">
                  <c:v>Car&amp;Motorbike</c:v>
                </c:pt>
                <c:pt idx="8">
                  <c:v>Health&amp;PersonalCare</c:v>
                </c:pt>
              </c:strCache>
            </c:strRef>
          </c:cat>
          <c:val>
            <c:numRef>
              <c:f>Category_Summary!$B$2:$B$10</c:f>
              <c:numCache>
                <c:formatCode>General</c:formatCode>
                <c:ptCount val="9"/>
                <c:pt idx="0">
                  <c:v>526</c:v>
                </c:pt>
                <c:pt idx="1">
                  <c:v>453</c:v>
                </c:pt>
                <c:pt idx="2">
                  <c:v>448</c:v>
                </c:pt>
                <c:pt idx="3">
                  <c:v>31</c:v>
                </c:pt>
                <c:pt idx="4">
                  <c:v>2</c:v>
                </c:pt>
                <c:pt idx="5">
                  <c:v>2</c:v>
                </c:pt>
                <c:pt idx="6">
                  <c:v>1</c:v>
                </c:pt>
                <c:pt idx="7">
                  <c:v>1</c:v>
                </c:pt>
                <c:pt idx="8">
                  <c:v>1</c:v>
                </c:pt>
              </c:numCache>
            </c:numRef>
          </c:val>
        </c:ser>
        <c:dLbls>
          <c:showLegendKey val="0"/>
          <c:showVal val="0"/>
          <c:showCatName val="0"/>
          <c:showSerName val="0"/>
          <c:showPercent val="0"/>
          <c:showBubbleSize val="0"/>
          <c:showLeaderLines val="1"/>
        </c:dLbls>
        <c:firstSliceAng val="0"/>
      </c:pieChart>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Reviews Share by Brand</a:t>
            </a:r>
          </a:p>
        </c:rich>
      </c:tx>
      <c:layout/>
      <c:overlay val="0"/>
      <c:spPr>
        <a:noFill/>
        <a:ln w="0">
          <a:noFill/>
          <a:prstDash val="solid"/>
        </a:ln>
      </c:spPr>
    </c:title>
    <c:autoTitleDeleted val="0"/>
    <c:plotArea>
      <c:layout/>
      <c:doughnutChart>
        <c:varyColors val="1"/>
        <c:ser>
          <c:idx val="0"/>
          <c:order val="0"/>
          <c:tx>
            <c:strRef>
              <c:f>Brand_Summary!$G$1</c:f>
              <c:strCache>
                <c:ptCount val="1"/>
                <c:pt idx="0">
                  <c:v>Total Reviews</c:v>
                </c:pt>
              </c:strCache>
            </c:strRef>
          </c:tx>
          <c:spPr>
            <a:solidFill>
              <a:srgbClr val="4F81BD"/>
            </a:solidFill>
            <a:ln w="0">
              <a:noFill/>
              <a:prstDash val="solid"/>
            </a:ln>
          </c:spPr>
          <c:dPt>
            <c:idx val="0"/>
            <c:bubble3D val="0"/>
            <c:spPr>
              <a:solidFill>
                <a:srgbClr val="4672A8"/>
              </a:solidFill>
              <a:ln w="0">
                <a:noFill/>
                <a:prstDash val="solid"/>
              </a:ln>
            </c:spPr>
          </c:dPt>
          <c:dPt>
            <c:idx val="1"/>
            <c:bubble3D val="0"/>
            <c:spPr>
              <a:solidFill>
                <a:srgbClr val="AB4744"/>
              </a:solidFill>
              <a:ln w="0">
                <a:noFill/>
                <a:prstDash val="solid"/>
              </a:ln>
            </c:spPr>
          </c:dPt>
          <c:dPt>
            <c:idx val="2"/>
            <c:bubble3D val="0"/>
            <c:spPr>
              <a:solidFill>
                <a:srgbClr val="8AA64F"/>
              </a:solidFill>
              <a:ln w="0">
                <a:noFill/>
                <a:prstDash val="solid"/>
              </a:ln>
            </c:spPr>
          </c:dPt>
          <c:dPt>
            <c:idx val="3"/>
            <c:bubble3D val="0"/>
            <c:spPr>
              <a:solidFill>
                <a:srgbClr val="725990"/>
              </a:solidFill>
              <a:ln w="0">
                <a:noFill/>
                <a:prstDash val="solid"/>
              </a:ln>
            </c:spPr>
          </c:dPt>
          <c:dPt>
            <c:idx val="4"/>
            <c:bubble3D val="0"/>
            <c:spPr>
              <a:solidFill>
                <a:srgbClr val="4299B0"/>
              </a:solidFill>
              <a:ln w="0">
                <a:noFill/>
                <a:prstDash val="solid"/>
              </a:ln>
            </c:spPr>
          </c:dPt>
          <c:dPt>
            <c:idx val="5"/>
            <c:bubble3D val="0"/>
            <c:spPr>
              <a:solidFill>
                <a:srgbClr val="DC853E"/>
              </a:solidFill>
              <a:ln w="0">
                <a:noFill/>
                <a:prstDash val="solid"/>
              </a:ln>
            </c:spPr>
          </c:dPt>
          <c:dPt>
            <c:idx val="6"/>
            <c:bubble3D val="0"/>
            <c:spPr>
              <a:solidFill>
                <a:srgbClr val="93A9CE"/>
              </a:solidFill>
              <a:ln w="0">
                <a:noFill/>
                <a:prstDash val="solid"/>
              </a:ln>
            </c:spPr>
          </c:dPt>
          <c:dPt>
            <c:idx val="7"/>
            <c:bubble3D val="0"/>
            <c:spPr>
              <a:solidFill>
                <a:srgbClr val="D09493"/>
              </a:solidFill>
              <a:ln w="0">
                <a:noFill/>
                <a:prstDash val="solid"/>
              </a:ln>
            </c:spPr>
          </c:dPt>
          <c:dPt>
            <c:idx val="8"/>
            <c:bubble3D val="0"/>
            <c:spPr>
              <a:solidFill>
                <a:srgbClr val="B8CD97"/>
              </a:solidFill>
              <a:ln w="0">
                <a:noFill/>
                <a:prstDash val="solid"/>
              </a:ln>
            </c:spPr>
          </c:dPt>
          <c:dPt>
            <c:idx val="9"/>
            <c:bubble3D val="0"/>
            <c:spPr>
              <a:solidFill>
                <a:srgbClr val="A99BBD"/>
              </a:solidFill>
              <a:ln w="0">
                <a:noFill/>
                <a:prstDash val="solid"/>
              </a:ln>
            </c:spPr>
          </c:dPt>
          <c:dLbls>
            <c:showLegendKey val="0"/>
            <c:showVal val="0"/>
            <c:showCatName val="0"/>
            <c:showSerName val="0"/>
            <c:showPercent val="1"/>
            <c:showBubbleSize val="1"/>
            <c:showLeaderLines val="1"/>
          </c:dLbls>
          <c:cat>
            <c:strRef>
              <c:f>Brand_Summary!$A$2:$A$11</c:f>
              <c:strCache>
                <c:ptCount val="10"/>
                <c:pt idx="0">
                  <c:v>boAt</c:v>
                </c:pt>
                <c:pt idx="1">
                  <c:v>Redmi</c:v>
                </c:pt>
                <c:pt idx="2">
                  <c:v>AmazonBasics</c:v>
                </c:pt>
                <c:pt idx="3">
                  <c:v>SanDisk</c:v>
                </c:pt>
                <c:pt idx="4">
                  <c:v>Amazon</c:v>
                </c:pt>
                <c:pt idx="5">
                  <c:v>TP-Link</c:v>
                </c:pt>
                <c:pt idx="6">
                  <c:v>Samsung</c:v>
                </c:pt>
                <c:pt idx="7">
                  <c:v>JBL</c:v>
                </c:pt>
                <c:pt idx="8">
                  <c:v>MI</c:v>
                </c:pt>
                <c:pt idx="9">
                  <c:v>Noise</c:v>
                </c:pt>
              </c:strCache>
            </c:strRef>
          </c:cat>
          <c:val>
            <c:numRef>
              <c:f>Brand_Summary!$G$2:$G$11</c:f>
              <c:numCache>
                <c:formatCode>#,##0</c:formatCode>
                <c:ptCount val="10"/>
                <c:pt idx="0">
                  <c:v>4445359</c:v>
                </c:pt>
                <c:pt idx="1">
                  <c:v>1878482</c:v>
                </c:pt>
                <c:pt idx="2">
                  <c:v>2034664</c:v>
                </c:pt>
                <c:pt idx="3">
                  <c:v>1426074</c:v>
                </c:pt>
                <c:pt idx="4">
                  <c:v>1207959</c:v>
                </c:pt>
                <c:pt idx="5">
                  <c:v>1354798</c:v>
                </c:pt>
                <c:pt idx="6">
                  <c:v>901882</c:v>
                </c:pt>
                <c:pt idx="7">
                  <c:v>891075</c:v>
                </c:pt>
                <c:pt idx="8">
                  <c:v>1069730</c:v>
                </c:pt>
                <c:pt idx="9">
                  <c:v>621421</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Top 15 Products by Review Volume</a:t>
            </a:r>
          </a:p>
        </c:rich>
      </c:tx>
      <c:layout/>
      <c:overlay val="0"/>
      <c:spPr>
        <a:noFill/>
        <a:ln w="0">
          <a:noFill/>
          <a:prstDash val="solid"/>
        </a:ln>
      </c:spPr>
    </c:title>
    <c:autoTitleDeleted val="0"/>
    <c:plotArea>
      <c:layout/>
      <c:barChart>
        <c:barDir val="bar"/>
        <c:grouping val="clustered"/>
        <c:varyColors val="0"/>
        <c:ser>
          <c:idx val="0"/>
          <c:order val="0"/>
          <c:tx>
            <c:strRef>
              <c:f>Top_Products!$E$3</c:f>
              <c:strCache>
                <c:ptCount val="1"/>
                <c:pt idx="0">
                  <c:v>426,973</c:v>
                </c:pt>
              </c:strCache>
            </c:strRef>
          </c:tx>
          <c:spPr>
            <a:solidFill>
              <a:srgbClr val="1F2A44"/>
            </a:solidFill>
            <a:ln w="0">
              <a:noFill/>
              <a:prstDash val="solid"/>
            </a:ln>
          </c:spPr>
          <c:invertIfNegative val="0"/>
          <c:dLbls>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dLbls>
          <c:cat>
            <c:strRef>
              <c:f>Top_Products!$G$3:$G$17</c:f>
              <c:strCache>
                <c:ptCount val="15"/>
                <c:pt idx="0">
                  <c:v>Amazon Basics High-Spe…</c:v>
                </c:pt>
                <c:pt idx="1">
                  <c:v>Amazon Basics High-Spe…</c:v>
                </c:pt>
                <c:pt idx="2">
                  <c:v>AmazonBasics Flexible …</c:v>
                </c:pt>
                <c:pt idx="3">
                  <c:v>AmazonBasics Flexible …</c:v>
                </c:pt>
                <c:pt idx="4">
                  <c:v>boAt Bassheads 100 in …</c:v>
                </c:pt>
                <c:pt idx="5">
                  <c:v>boAt Bassheads 100 in …</c:v>
                </c:pt>
                <c:pt idx="6">
                  <c:v>boAt BassHeads 100 in-…</c:v>
                </c:pt>
                <c:pt idx="7">
                  <c:v>Redmi 9A Sport (Coral …</c:v>
                </c:pt>
                <c:pt idx="8">
                  <c:v>Redmi 9 Activ (Carbon …</c:v>
                </c:pt>
                <c:pt idx="9">
                  <c:v>Redmi 9A Sport (Coral …</c:v>
                </c:pt>
                <c:pt idx="10">
                  <c:v>Redmi 9A Sport (Carbon…</c:v>
                </c:pt>
                <c:pt idx="11">
                  <c:v>boAt Bassheads 225 in …</c:v>
                </c:pt>
                <c:pt idx="12">
                  <c:v>Pigeon Polypropylene M…</c:v>
                </c:pt>
                <c:pt idx="13">
                  <c:v>SanDisk Cruzer Blade 3…</c:v>
                </c:pt>
                <c:pt idx="14">
                  <c:v>SanDisk Extreme SD UHS…</c:v>
                </c:pt>
              </c:strCache>
            </c:strRef>
          </c:cat>
          <c:val>
            <c:numRef>
              <c:f>Top_Products!$E$4:$E$18</c:f>
              <c:numCache>
                <c:formatCode>#,##0</c:formatCode>
                <c:ptCount val="15"/>
                <c:pt idx="0">
                  <c:v>426973</c:v>
                </c:pt>
                <c:pt idx="1">
                  <c:v>426973</c:v>
                </c:pt>
                <c:pt idx="2">
                  <c:v>426972</c:v>
                </c:pt>
                <c:pt idx="3">
                  <c:v>363713</c:v>
                </c:pt>
                <c:pt idx="4">
                  <c:v>363713</c:v>
                </c:pt>
                <c:pt idx="5">
                  <c:v>363711</c:v>
                </c:pt>
                <c:pt idx="6">
                  <c:v>313836</c:v>
                </c:pt>
                <c:pt idx="7">
                  <c:v>313836</c:v>
                </c:pt>
                <c:pt idx="8">
                  <c:v>313832</c:v>
                </c:pt>
                <c:pt idx="9">
                  <c:v>313832</c:v>
                </c:pt>
                <c:pt idx="10">
                  <c:v>273189</c:v>
                </c:pt>
                <c:pt idx="11">
                  <c:v>270563</c:v>
                </c:pt>
                <c:pt idx="12">
                  <c:v>253105</c:v>
                </c:pt>
                <c:pt idx="13">
                  <c:v>205052</c:v>
                </c:pt>
              </c:numCache>
            </c:numRef>
          </c:val>
        </c:ser>
        <c:dLbls>
          <c:showLegendKey val="0"/>
          <c:showVal val="0"/>
          <c:showCatName val="0"/>
          <c:showSerName val="0"/>
          <c:showPercent val="0"/>
          <c:showBubbleSize val="0"/>
        </c:dLbls>
        <c:gapWidth val="150"/>
        <c:axId val="270500608"/>
        <c:axId val="270502528"/>
      </c:barChart>
      <c:catAx>
        <c:axId val="270500608"/>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Rating Count</a:t>
                </a:r>
              </a:p>
            </c:rich>
          </c:tx>
          <c:layout/>
          <c:overlay val="0"/>
          <c:spPr>
            <a:noFill/>
            <a:ln w="0">
              <a:noFill/>
              <a:prstDash val="solid"/>
            </a:ln>
          </c:spPr>
        </c:title>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70502528"/>
        <c:crosses val="autoZero"/>
        <c:auto val="1"/>
        <c:lblAlgn val="ctr"/>
        <c:lblOffset val="100"/>
        <c:noMultiLvlLbl val="0"/>
      </c:catAx>
      <c:valAx>
        <c:axId val="270502528"/>
        <c:scaling>
          <c:orientation val="minMax"/>
        </c:scaling>
        <c:delete val="0"/>
        <c:axPos val="b"/>
        <c:majorGridlines>
          <c:spPr>
            <a:ln w="0">
              <a:solidFill>
                <a:srgbClr val="B3B3B3"/>
              </a:solidFill>
              <a:prstDash val="soli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Product (Rank)</a:t>
                </a:r>
              </a:p>
            </c:rich>
          </c:tx>
          <c:layout/>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70500608"/>
        <c:crosses val="autoZero"/>
        <c:crossBetween val="between"/>
      </c:valAx>
    </c:plotArea>
    <c:legend>
      <c:legendPos val="r"/>
      <c:layout/>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40680</xdr:rowOff>
    </xdr:from>
    <xdr:to>
      <xdr:col>8</xdr:col>
      <xdr:colOff>331560</xdr:colOff>
      <xdr:row>24</xdr:row>
      <xdr:rowOff>41040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7</xdr:row>
      <xdr:rowOff>40680</xdr:rowOff>
    </xdr:from>
    <xdr:to>
      <xdr:col>18</xdr:col>
      <xdr:colOff>331560</xdr:colOff>
      <xdr:row>24</xdr:row>
      <xdr:rowOff>41040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152400</xdr:colOff>
      <xdr:row>25</xdr:row>
      <xdr:rowOff>40680</xdr:rowOff>
    </xdr:from>
    <xdr:to>
      <xdr:col>7</xdr:col>
      <xdr:colOff>116970</xdr:colOff>
      <xdr:row>38</xdr:row>
      <xdr:rowOff>156207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24</xdr:row>
      <xdr:rowOff>40680</xdr:rowOff>
    </xdr:from>
    <xdr:to>
      <xdr:col>18</xdr:col>
      <xdr:colOff>331560</xdr:colOff>
      <xdr:row>41</xdr:row>
      <xdr:rowOff>41040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40680</xdr:rowOff>
    </xdr:from>
    <xdr:to>
      <xdr:col>8</xdr:col>
      <xdr:colOff>331560</xdr:colOff>
      <xdr:row>58</xdr:row>
      <xdr:rowOff>41040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41</xdr:row>
      <xdr:rowOff>40680</xdr:rowOff>
    </xdr:from>
    <xdr:to>
      <xdr:col>18</xdr:col>
      <xdr:colOff>331560</xdr:colOff>
      <xdr:row>58</xdr:row>
      <xdr:rowOff>41040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58</xdr:row>
      <xdr:rowOff>40680</xdr:rowOff>
    </xdr:from>
    <xdr:to>
      <xdr:col>8</xdr:col>
      <xdr:colOff>331560</xdr:colOff>
      <xdr:row>75</xdr:row>
      <xdr:rowOff>41040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0</xdr:colOff>
      <xdr:row>58</xdr:row>
      <xdr:rowOff>40680</xdr:rowOff>
    </xdr:from>
    <xdr:to>
      <xdr:col>18</xdr:col>
      <xdr:colOff>331560</xdr:colOff>
      <xdr:row>75</xdr:row>
      <xdr:rowOff>41040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C18"/>
  <sheetViews>
    <sheetView showGridLines="0" zoomScaleNormal="100" workbookViewId="0"/>
  </sheetViews>
  <sheetFormatPr defaultColWidth="8.7109375" defaultRowHeight="15" x14ac:dyDescent="0.25"/>
  <cols>
    <col min="1" max="1" width="3" style="1" customWidth="1"/>
    <col min="2" max="2" width="38" style="1" customWidth="1"/>
    <col min="3" max="3" width="70" style="1" customWidth="1"/>
  </cols>
  <sheetData>
    <row r="2" spans="2:3" ht="24" customHeight="1" x14ac:dyDescent="0.4">
      <c r="B2" s="2" t="s">
        <v>0</v>
      </c>
    </row>
    <row r="3" spans="2:3" ht="15" customHeight="1" x14ac:dyDescent="0.25">
      <c r="B3" s="3" t="s">
        <v>1</v>
      </c>
    </row>
    <row r="6" spans="2:3" ht="31.5" customHeight="1" x14ac:dyDescent="0.25">
      <c r="B6" s="4" t="s">
        <v>2</v>
      </c>
      <c r="C6" s="5" t="s">
        <v>3</v>
      </c>
    </row>
    <row r="8" spans="2:3" ht="31.5" customHeight="1" x14ac:dyDescent="0.25">
      <c r="B8" s="4" t="s">
        <v>4</v>
      </c>
      <c r="C8" s="5" t="s">
        <v>5</v>
      </c>
    </row>
    <row r="10" spans="2:3" ht="31.5" customHeight="1" x14ac:dyDescent="0.25">
      <c r="B10" s="4" t="s">
        <v>6</v>
      </c>
      <c r="C10" s="5" t="s">
        <v>7</v>
      </c>
    </row>
    <row r="12" spans="2:3" ht="31.5" customHeight="1" x14ac:dyDescent="0.25">
      <c r="B12" s="4" t="s">
        <v>8</v>
      </c>
      <c r="C12" s="5" t="s">
        <v>9</v>
      </c>
    </row>
    <row r="14" spans="2:3" ht="31.5" customHeight="1" x14ac:dyDescent="0.25">
      <c r="B14" s="4" t="s">
        <v>10</v>
      </c>
      <c r="C14" s="5" t="s">
        <v>11</v>
      </c>
    </row>
    <row r="16" spans="2:3" ht="31.5" customHeight="1" x14ac:dyDescent="0.25">
      <c r="B16" s="4" t="s">
        <v>12</v>
      </c>
      <c r="C16" s="5" t="s">
        <v>13</v>
      </c>
    </row>
    <row r="18" spans="2:3" ht="31.5" customHeight="1" x14ac:dyDescent="0.25">
      <c r="B18" s="4" t="s">
        <v>14</v>
      </c>
      <c r="C18" s="5" t="s">
        <v>15</v>
      </c>
    </row>
  </sheetData>
  <pageMargins left="0.3" right="0.3" top="0.4" bottom="0.4"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66"/>
  <sheetViews>
    <sheetView showGridLines="0" zoomScaleNormal="100" workbookViewId="0">
      <pane ySplit="1" topLeftCell="A2" activePane="bottomLeft" state="frozen"/>
      <selection pane="bottomLeft"/>
    </sheetView>
  </sheetViews>
  <sheetFormatPr defaultColWidth="8.7109375" defaultRowHeight="15" x14ac:dyDescent="0.25"/>
  <cols>
    <col min="1" max="1" width="55" style="1" customWidth="1"/>
    <col min="2" max="2" width="45" style="1" customWidth="1"/>
    <col min="3" max="3" width="18" style="1" customWidth="1"/>
    <col min="4" max="4" width="16" style="1" customWidth="1"/>
    <col min="5" max="5" width="14" style="1" customWidth="1"/>
    <col min="6" max="6" width="12" style="1" customWidth="1"/>
    <col min="7" max="7" width="16" style="1" customWidth="1"/>
  </cols>
  <sheetData>
    <row r="1" spans="1:7" ht="15" customHeight="1" x14ac:dyDescent="0.25">
      <c r="A1" s="6" t="s">
        <v>16</v>
      </c>
      <c r="B1" s="6" t="s">
        <v>17</v>
      </c>
      <c r="C1" s="6" t="s">
        <v>18</v>
      </c>
      <c r="D1" s="6" t="s">
        <v>19</v>
      </c>
      <c r="E1" s="6" t="s">
        <v>20</v>
      </c>
      <c r="F1" s="6" t="s">
        <v>21</v>
      </c>
      <c r="G1" s="6" t="s">
        <v>22</v>
      </c>
    </row>
    <row r="2" spans="1:7" ht="15" customHeight="1" x14ac:dyDescent="0.25">
      <c r="A2" s="7" t="s">
        <v>23</v>
      </c>
      <c r="B2" s="7" t="s">
        <v>24</v>
      </c>
      <c r="C2" s="8" t="s">
        <v>25</v>
      </c>
      <c r="D2" s="8" t="s">
        <v>26</v>
      </c>
      <c r="E2" s="8" t="s">
        <v>27</v>
      </c>
      <c r="F2" s="8" t="s">
        <v>28</v>
      </c>
      <c r="G2" s="8" t="s">
        <v>29</v>
      </c>
    </row>
    <row r="3" spans="1:7" ht="15" customHeight="1" x14ac:dyDescent="0.25">
      <c r="A3" s="7" t="s">
        <v>30</v>
      </c>
      <c r="B3" s="7" t="s">
        <v>24</v>
      </c>
      <c r="C3" s="8" t="s">
        <v>31</v>
      </c>
      <c r="D3" s="8" t="s">
        <v>32</v>
      </c>
      <c r="E3" s="8" t="s">
        <v>33</v>
      </c>
      <c r="F3" s="8" t="s">
        <v>34</v>
      </c>
      <c r="G3" s="8" t="s">
        <v>35</v>
      </c>
    </row>
    <row r="4" spans="1:7" ht="15" customHeight="1" x14ac:dyDescent="0.25">
      <c r="A4" s="7" t="s">
        <v>36</v>
      </c>
      <c r="B4" s="7" t="s">
        <v>24</v>
      </c>
      <c r="C4" s="8" t="s">
        <v>31</v>
      </c>
      <c r="D4" s="8" t="s">
        <v>37</v>
      </c>
      <c r="E4" s="8" t="s">
        <v>38</v>
      </c>
      <c r="F4" s="8" t="s">
        <v>39</v>
      </c>
      <c r="G4" s="8" t="s">
        <v>40</v>
      </c>
    </row>
    <row r="5" spans="1:7" ht="15" customHeight="1" x14ac:dyDescent="0.25">
      <c r="A5" s="7" t="s">
        <v>41</v>
      </c>
      <c r="B5" s="7" t="s">
        <v>24</v>
      </c>
      <c r="C5" s="8" t="s">
        <v>42</v>
      </c>
      <c r="D5" s="8" t="s">
        <v>43</v>
      </c>
      <c r="E5" s="8" t="s">
        <v>44</v>
      </c>
      <c r="F5" s="8" t="s">
        <v>28</v>
      </c>
      <c r="G5" s="8" t="s">
        <v>45</v>
      </c>
    </row>
    <row r="6" spans="1:7" ht="15" customHeight="1" x14ac:dyDescent="0.25">
      <c r="A6" s="7" t="s">
        <v>46</v>
      </c>
      <c r="B6" s="7" t="s">
        <v>24</v>
      </c>
      <c r="C6" s="8" t="s">
        <v>47</v>
      </c>
      <c r="D6" s="8" t="s">
        <v>25</v>
      </c>
      <c r="E6" s="8" t="s">
        <v>48</v>
      </c>
      <c r="F6" s="8" t="s">
        <v>28</v>
      </c>
      <c r="G6" s="8" t="s">
        <v>49</v>
      </c>
    </row>
    <row r="7" spans="1:7" ht="15" customHeight="1" x14ac:dyDescent="0.25">
      <c r="A7" s="7" t="s">
        <v>50</v>
      </c>
      <c r="B7" s="7" t="s">
        <v>24</v>
      </c>
      <c r="C7" s="8" t="s">
        <v>51</v>
      </c>
      <c r="D7" s="8" t="s">
        <v>52</v>
      </c>
      <c r="E7" s="8" t="s">
        <v>53</v>
      </c>
      <c r="F7" s="8" t="s">
        <v>39</v>
      </c>
      <c r="G7" s="8" t="s">
        <v>54</v>
      </c>
    </row>
    <row r="8" spans="1:7" ht="15" customHeight="1" x14ac:dyDescent="0.25">
      <c r="A8" s="7" t="s">
        <v>55</v>
      </c>
      <c r="B8" s="7" t="s">
        <v>24</v>
      </c>
      <c r="C8" s="8" t="s">
        <v>56</v>
      </c>
      <c r="D8" s="8" t="s">
        <v>57</v>
      </c>
      <c r="E8" s="8" t="s">
        <v>58</v>
      </c>
      <c r="F8" s="8" t="s">
        <v>59</v>
      </c>
      <c r="G8" s="8" t="s">
        <v>60</v>
      </c>
    </row>
    <row r="9" spans="1:7" ht="15" customHeight="1" x14ac:dyDescent="0.25">
      <c r="A9" s="7" t="s">
        <v>61</v>
      </c>
      <c r="B9" s="7" t="s">
        <v>24</v>
      </c>
      <c r="C9" s="8" t="s">
        <v>62</v>
      </c>
      <c r="D9" s="8" t="s">
        <v>63</v>
      </c>
      <c r="E9" s="8" t="s">
        <v>64</v>
      </c>
      <c r="F9" s="8" t="s">
        <v>65</v>
      </c>
      <c r="G9" s="8" t="s">
        <v>66</v>
      </c>
    </row>
    <row r="10" spans="1:7" ht="15" customHeight="1" x14ac:dyDescent="0.25">
      <c r="A10" s="7" t="s">
        <v>67</v>
      </c>
      <c r="B10" s="7" t="s">
        <v>68</v>
      </c>
      <c r="C10" s="8" t="s">
        <v>57</v>
      </c>
      <c r="D10" s="8" t="s">
        <v>69</v>
      </c>
      <c r="E10" s="8" t="s">
        <v>70</v>
      </c>
      <c r="F10" s="8" t="s">
        <v>28</v>
      </c>
      <c r="G10" s="8" t="s">
        <v>71</v>
      </c>
    </row>
    <row r="11" spans="1:7" ht="15" customHeight="1" x14ac:dyDescent="0.25">
      <c r="A11" s="7" t="s">
        <v>72</v>
      </c>
      <c r="B11" s="7" t="s">
        <v>24</v>
      </c>
      <c r="C11" s="8" t="s">
        <v>31</v>
      </c>
      <c r="D11" s="8" t="s">
        <v>63</v>
      </c>
      <c r="E11" s="8" t="s">
        <v>73</v>
      </c>
      <c r="F11" s="8" t="s">
        <v>34</v>
      </c>
      <c r="G11" s="8" t="s">
        <v>35</v>
      </c>
    </row>
    <row r="12" spans="1:7" ht="15" customHeight="1" x14ac:dyDescent="0.25">
      <c r="A12" s="7" t="s">
        <v>74</v>
      </c>
      <c r="B12" s="7" t="s">
        <v>24</v>
      </c>
      <c r="C12" s="8" t="s">
        <v>47</v>
      </c>
      <c r="D12" s="8" t="s">
        <v>75</v>
      </c>
      <c r="E12" s="8" t="s">
        <v>76</v>
      </c>
      <c r="F12" s="8" t="s">
        <v>65</v>
      </c>
      <c r="G12" s="8" t="s">
        <v>77</v>
      </c>
    </row>
    <row r="13" spans="1:7" ht="15" customHeight="1" x14ac:dyDescent="0.25">
      <c r="A13" s="7" t="s">
        <v>78</v>
      </c>
      <c r="B13" s="7" t="s">
        <v>24</v>
      </c>
      <c r="C13" s="8" t="s">
        <v>63</v>
      </c>
      <c r="D13" s="8" t="s">
        <v>79</v>
      </c>
      <c r="E13" s="8" t="s">
        <v>80</v>
      </c>
      <c r="F13" s="8" t="s">
        <v>28</v>
      </c>
      <c r="G13" s="8" t="s">
        <v>45</v>
      </c>
    </row>
    <row r="14" spans="1:7" ht="15" customHeight="1" x14ac:dyDescent="0.25">
      <c r="A14" s="7" t="s">
        <v>81</v>
      </c>
      <c r="B14" s="7" t="s">
        <v>82</v>
      </c>
      <c r="C14" s="8" t="s">
        <v>83</v>
      </c>
      <c r="D14" s="8" t="s">
        <v>84</v>
      </c>
      <c r="E14" s="8" t="s">
        <v>85</v>
      </c>
      <c r="F14" s="8" t="s">
        <v>86</v>
      </c>
      <c r="G14" s="8" t="s">
        <v>87</v>
      </c>
    </row>
    <row r="15" spans="1:7" ht="15" customHeight="1" x14ac:dyDescent="0.25">
      <c r="A15" s="7" t="s">
        <v>88</v>
      </c>
      <c r="B15" s="7" t="s">
        <v>24</v>
      </c>
      <c r="C15" s="8" t="s">
        <v>89</v>
      </c>
      <c r="D15" s="8" t="s">
        <v>90</v>
      </c>
      <c r="E15" s="8" t="s">
        <v>48</v>
      </c>
      <c r="F15" s="8" t="s">
        <v>28</v>
      </c>
      <c r="G15" s="8" t="s">
        <v>91</v>
      </c>
    </row>
    <row r="16" spans="1:7" ht="15" customHeight="1" x14ac:dyDescent="0.25">
      <c r="A16" s="7" t="s">
        <v>92</v>
      </c>
      <c r="B16" s="7" t="s">
        <v>24</v>
      </c>
      <c r="C16" s="8" t="s">
        <v>93</v>
      </c>
      <c r="D16" s="8" t="s">
        <v>25</v>
      </c>
      <c r="E16" s="8" t="s">
        <v>94</v>
      </c>
      <c r="F16" s="8" t="s">
        <v>59</v>
      </c>
      <c r="G16" s="8" t="s">
        <v>95</v>
      </c>
    </row>
    <row r="17" spans="1:7" ht="15" customHeight="1" x14ac:dyDescent="0.25">
      <c r="A17" s="7" t="s">
        <v>96</v>
      </c>
      <c r="B17" s="7" t="s">
        <v>24</v>
      </c>
      <c r="C17" s="8" t="s">
        <v>32</v>
      </c>
      <c r="D17" s="8" t="s">
        <v>25</v>
      </c>
      <c r="E17" s="8" t="s">
        <v>97</v>
      </c>
      <c r="F17" s="8" t="s">
        <v>86</v>
      </c>
      <c r="G17" s="8" t="s">
        <v>98</v>
      </c>
    </row>
    <row r="18" spans="1:7" ht="15" customHeight="1" x14ac:dyDescent="0.25">
      <c r="A18" s="7" t="s">
        <v>99</v>
      </c>
      <c r="B18" s="7" t="s">
        <v>100</v>
      </c>
      <c r="C18" s="8" t="s">
        <v>101</v>
      </c>
      <c r="D18" s="8" t="s">
        <v>102</v>
      </c>
      <c r="E18" s="8" t="s">
        <v>103</v>
      </c>
      <c r="F18" s="8" t="s">
        <v>28</v>
      </c>
      <c r="G18" s="8" t="s">
        <v>104</v>
      </c>
    </row>
    <row r="19" spans="1:7" ht="15" customHeight="1" x14ac:dyDescent="0.25">
      <c r="A19" s="7" t="s">
        <v>105</v>
      </c>
      <c r="B19" s="7" t="s">
        <v>24</v>
      </c>
      <c r="C19" s="8" t="s">
        <v>106</v>
      </c>
      <c r="D19" s="8" t="s">
        <v>25</v>
      </c>
      <c r="E19" s="8" t="s">
        <v>107</v>
      </c>
      <c r="F19" s="8" t="s">
        <v>34</v>
      </c>
      <c r="G19" s="8" t="s">
        <v>35</v>
      </c>
    </row>
    <row r="20" spans="1:7" ht="15" customHeight="1" x14ac:dyDescent="0.25">
      <c r="A20" s="7" t="s">
        <v>108</v>
      </c>
      <c r="B20" s="7" t="s">
        <v>24</v>
      </c>
      <c r="C20" s="8" t="s">
        <v>31</v>
      </c>
      <c r="D20" s="8" t="s">
        <v>57</v>
      </c>
      <c r="E20" s="8" t="s">
        <v>94</v>
      </c>
      <c r="F20" s="8" t="s">
        <v>59</v>
      </c>
      <c r="G20" s="8" t="s">
        <v>109</v>
      </c>
    </row>
    <row r="21" spans="1:7" ht="15" customHeight="1" x14ac:dyDescent="0.25">
      <c r="A21" s="7" t="s">
        <v>110</v>
      </c>
      <c r="B21" s="7" t="s">
        <v>100</v>
      </c>
      <c r="C21" s="8" t="s">
        <v>111</v>
      </c>
      <c r="D21" s="8" t="s">
        <v>112</v>
      </c>
      <c r="E21" s="8" t="s">
        <v>113</v>
      </c>
      <c r="F21" s="8" t="s">
        <v>65</v>
      </c>
      <c r="G21" s="8" t="s">
        <v>114</v>
      </c>
    </row>
    <row r="22" spans="1:7" ht="15" customHeight="1" x14ac:dyDescent="0.25">
      <c r="A22" s="7" t="s">
        <v>115</v>
      </c>
      <c r="B22" s="7" t="s">
        <v>24</v>
      </c>
      <c r="C22" s="8" t="s">
        <v>116</v>
      </c>
      <c r="D22" s="8" t="s">
        <v>117</v>
      </c>
      <c r="E22" s="8" t="s">
        <v>118</v>
      </c>
      <c r="F22" s="8" t="s">
        <v>119</v>
      </c>
      <c r="G22" s="8" t="s">
        <v>120</v>
      </c>
    </row>
    <row r="23" spans="1:7" ht="15" customHeight="1" x14ac:dyDescent="0.25">
      <c r="A23" s="7" t="s">
        <v>121</v>
      </c>
      <c r="B23" s="7" t="s">
        <v>82</v>
      </c>
      <c r="C23" s="8" t="s">
        <v>122</v>
      </c>
      <c r="D23" s="8" t="s">
        <v>57</v>
      </c>
      <c r="E23" s="8" t="s">
        <v>103</v>
      </c>
      <c r="F23" s="8" t="s">
        <v>123</v>
      </c>
      <c r="G23" s="8" t="s">
        <v>124</v>
      </c>
    </row>
    <row r="24" spans="1:7" ht="15" customHeight="1" x14ac:dyDescent="0.25">
      <c r="A24" s="7" t="s">
        <v>125</v>
      </c>
      <c r="B24" s="7" t="s">
        <v>100</v>
      </c>
      <c r="C24" s="8" t="s">
        <v>111</v>
      </c>
      <c r="D24" s="8" t="s">
        <v>126</v>
      </c>
      <c r="E24" s="8" t="s">
        <v>127</v>
      </c>
      <c r="F24" s="8" t="s">
        <v>65</v>
      </c>
      <c r="G24" s="8" t="s">
        <v>128</v>
      </c>
    </row>
    <row r="25" spans="1:7" ht="15" customHeight="1" x14ac:dyDescent="0.25">
      <c r="A25" s="7" t="s">
        <v>129</v>
      </c>
      <c r="B25" s="7" t="s">
        <v>24</v>
      </c>
      <c r="C25" s="8" t="s">
        <v>130</v>
      </c>
      <c r="D25" s="8" t="s">
        <v>31</v>
      </c>
      <c r="E25" s="8" t="s">
        <v>131</v>
      </c>
      <c r="F25" s="8" t="s">
        <v>34</v>
      </c>
      <c r="G25" s="8" t="s">
        <v>132</v>
      </c>
    </row>
    <row r="26" spans="1:7" ht="15" customHeight="1" x14ac:dyDescent="0.25">
      <c r="A26" s="7" t="s">
        <v>133</v>
      </c>
      <c r="B26" s="7" t="s">
        <v>100</v>
      </c>
      <c r="C26" s="8" t="s">
        <v>134</v>
      </c>
      <c r="D26" s="8" t="s">
        <v>135</v>
      </c>
      <c r="E26" s="8" t="s">
        <v>136</v>
      </c>
      <c r="F26" s="8" t="s">
        <v>65</v>
      </c>
      <c r="G26" s="8" t="s">
        <v>137</v>
      </c>
    </row>
    <row r="27" spans="1:7" ht="15" customHeight="1" x14ac:dyDescent="0.25">
      <c r="A27" s="7" t="s">
        <v>138</v>
      </c>
      <c r="B27" s="7" t="s">
        <v>82</v>
      </c>
      <c r="C27" s="8" t="s">
        <v>31</v>
      </c>
      <c r="D27" s="8" t="s">
        <v>43</v>
      </c>
      <c r="E27" s="8" t="s">
        <v>139</v>
      </c>
      <c r="F27" s="8" t="s">
        <v>28</v>
      </c>
      <c r="G27" s="8" t="s">
        <v>140</v>
      </c>
    </row>
    <row r="28" spans="1:7" ht="15" customHeight="1" x14ac:dyDescent="0.25">
      <c r="A28" s="7" t="s">
        <v>141</v>
      </c>
      <c r="B28" s="7" t="s">
        <v>100</v>
      </c>
      <c r="C28" s="8" t="s">
        <v>142</v>
      </c>
      <c r="D28" s="8" t="s">
        <v>143</v>
      </c>
      <c r="E28" s="8" t="s">
        <v>144</v>
      </c>
      <c r="F28" s="8" t="s">
        <v>28</v>
      </c>
      <c r="G28" s="8" t="s">
        <v>145</v>
      </c>
    </row>
    <row r="29" spans="1:7" ht="15" customHeight="1" x14ac:dyDescent="0.25">
      <c r="A29" s="7" t="s">
        <v>146</v>
      </c>
      <c r="B29" s="7" t="s">
        <v>24</v>
      </c>
      <c r="C29" s="8" t="s">
        <v>63</v>
      </c>
      <c r="D29" s="8" t="s">
        <v>25</v>
      </c>
      <c r="E29" s="8" t="s">
        <v>144</v>
      </c>
      <c r="F29" s="8" t="s">
        <v>34</v>
      </c>
      <c r="G29" s="8" t="s">
        <v>147</v>
      </c>
    </row>
    <row r="30" spans="1:7" ht="15" customHeight="1" x14ac:dyDescent="0.25">
      <c r="A30" s="7" t="s">
        <v>148</v>
      </c>
      <c r="B30" s="7" t="s">
        <v>24</v>
      </c>
      <c r="C30" s="8" t="s">
        <v>116</v>
      </c>
      <c r="D30" s="8" t="s">
        <v>149</v>
      </c>
      <c r="E30" s="8" t="s">
        <v>150</v>
      </c>
      <c r="F30" s="8" t="s">
        <v>86</v>
      </c>
      <c r="G30" s="8" t="s">
        <v>151</v>
      </c>
    </row>
    <row r="31" spans="1:7" ht="15" customHeight="1" x14ac:dyDescent="0.25">
      <c r="A31" s="7" t="s">
        <v>152</v>
      </c>
      <c r="B31" s="7" t="s">
        <v>24</v>
      </c>
      <c r="C31" s="8" t="s">
        <v>63</v>
      </c>
      <c r="D31" s="8" t="s">
        <v>69</v>
      </c>
      <c r="E31" s="8" t="s">
        <v>131</v>
      </c>
      <c r="F31" s="8" t="s">
        <v>65</v>
      </c>
      <c r="G31" s="8" t="s">
        <v>153</v>
      </c>
    </row>
    <row r="32" spans="1:7" ht="15" customHeight="1" x14ac:dyDescent="0.25">
      <c r="A32" s="7" t="s">
        <v>154</v>
      </c>
      <c r="B32" s="7" t="s">
        <v>24</v>
      </c>
      <c r="C32" s="8" t="s">
        <v>31</v>
      </c>
      <c r="D32" s="8" t="s">
        <v>155</v>
      </c>
      <c r="E32" s="8" t="s">
        <v>156</v>
      </c>
      <c r="F32" s="8" t="s">
        <v>119</v>
      </c>
      <c r="G32" s="8" t="s">
        <v>157</v>
      </c>
    </row>
    <row r="33" spans="1:7" ht="15" customHeight="1" x14ac:dyDescent="0.25">
      <c r="A33" s="7" t="s">
        <v>158</v>
      </c>
      <c r="B33" s="7" t="s">
        <v>24</v>
      </c>
      <c r="C33" s="8" t="s">
        <v>159</v>
      </c>
      <c r="D33" s="8" t="s">
        <v>57</v>
      </c>
      <c r="E33" s="8" t="s">
        <v>27</v>
      </c>
      <c r="F33" s="8" t="s">
        <v>34</v>
      </c>
      <c r="G33" s="8" t="s">
        <v>160</v>
      </c>
    </row>
    <row r="34" spans="1:7" ht="15" customHeight="1" x14ac:dyDescent="0.25">
      <c r="A34" s="7" t="s">
        <v>161</v>
      </c>
      <c r="B34" s="7" t="s">
        <v>24</v>
      </c>
      <c r="C34" s="8" t="s">
        <v>162</v>
      </c>
      <c r="D34" s="8" t="s">
        <v>26</v>
      </c>
      <c r="E34" s="8" t="s">
        <v>58</v>
      </c>
      <c r="F34" s="8" t="s">
        <v>65</v>
      </c>
      <c r="G34" s="8" t="s">
        <v>163</v>
      </c>
    </row>
    <row r="35" spans="1:7" ht="15" customHeight="1" x14ac:dyDescent="0.25">
      <c r="A35" s="7" t="s">
        <v>164</v>
      </c>
      <c r="B35" s="7" t="s">
        <v>24</v>
      </c>
      <c r="C35" s="8" t="s">
        <v>165</v>
      </c>
      <c r="D35" s="8" t="s">
        <v>165</v>
      </c>
      <c r="E35" s="8" t="s">
        <v>166</v>
      </c>
      <c r="F35" s="8" t="s">
        <v>65</v>
      </c>
      <c r="G35" s="8" t="s">
        <v>167</v>
      </c>
    </row>
    <row r="36" spans="1:7" ht="15" customHeight="1" x14ac:dyDescent="0.25">
      <c r="A36" s="7" t="s">
        <v>168</v>
      </c>
      <c r="B36" s="7" t="s">
        <v>24</v>
      </c>
      <c r="C36" s="8" t="s">
        <v>31</v>
      </c>
      <c r="D36" s="8" t="s">
        <v>69</v>
      </c>
      <c r="E36" s="8" t="s">
        <v>169</v>
      </c>
      <c r="F36" s="8" t="s">
        <v>39</v>
      </c>
      <c r="G36" s="8" t="s">
        <v>170</v>
      </c>
    </row>
    <row r="37" spans="1:7" ht="15" customHeight="1" x14ac:dyDescent="0.25">
      <c r="A37" s="7" t="s">
        <v>171</v>
      </c>
      <c r="B37" s="7" t="s">
        <v>24</v>
      </c>
      <c r="C37" s="8" t="s">
        <v>172</v>
      </c>
      <c r="D37" s="8" t="s">
        <v>173</v>
      </c>
      <c r="E37" s="8" t="s">
        <v>53</v>
      </c>
      <c r="F37" s="8" t="s">
        <v>39</v>
      </c>
      <c r="G37" s="8" t="s">
        <v>54</v>
      </c>
    </row>
    <row r="38" spans="1:7" ht="15" customHeight="1" x14ac:dyDescent="0.25">
      <c r="A38" s="7" t="s">
        <v>174</v>
      </c>
      <c r="B38" s="7" t="s">
        <v>24</v>
      </c>
      <c r="C38" s="8" t="s">
        <v>90</v>
      </c>
      <c r="D38" s="8" t="s">
        <v>175</v>
      </c>
      <c r="E38" s="8" t="s">
        <v>44</v>
      </c>
      <c r="F38" s="8" t="s">
        <v>86</v>
      </c>
      <c r="G38" s="8" t="s">
        <v>176</v>
      </c>
    </row>
    <row r="39" spans="1:7" ht="15" customHeight="1" x14ac:dyDescent="0.25">
      <c r="A39" s="7" t="s">
        <v>177</v>
      </c>
      <c r="B39" s="7" t="s">
        <v>24</v>
      </c>
      <c r="C39" s="8" t="s">
        <v>31</v>
      </c>
      <c r="D39" s="8" t="s">
        <v>69</v>
      </c>
      <c r="E39" s="8" t="s">
        <v>169</v>
      </c>
      <c r="F39" s="8" t="s">
        <v>34</v>
      </c>
      <c r="G39" s="8" t="s">
        <v>178</v>
      </c>
    </row>
    <row r="40" spans="1:7" ht="15" customHeight="1" x14ac:dyDescent="0.25">
      <c r="A40" s="7" t="s">
        <v>179</v>
      </c>
      <c r="B40" s="7" t="s">
        <v>100</v>
      </c>
      <c r="C40" s="8" t="s">
        <v>180</v>
      </c>
      <c r="D40" s="8" t="s">
        <v>181</v>
      </c>
      <c r="E40" s="8" t="s">
        <v>182</v>
      </c>
      <c r="F40" s="8" t="s">
        <v>28</v>
      </c>
      <c r="G40" s="8" t="s">
        <v>183</v>
      </c>
    </row>
    <row r="41" spans="1:7" ht="15" customHeight="1" x14ac:dyDescent="0.25">
      <c r="A41" s="7" t="s">
        <v>184</v>
      </c>
      <c r="B41" s="7" t="s">
        <v>24</v>
      </c>
      <c r="C41" s="8" t="s">
        <v>116</v>
      </c>
      <c r="D41" s="8" t="s">
        <v>149</v>
      </c>
      <c r="E41" s="8" t="s">
        <v>150</v>
      </c>
      <c r="F41" s="8" t="s">
        <v>28</v>
      </c>
      <c r="G41" s="8" t="s">
        <v>185</v>
      </c>
    </row>
    <row r="42" spans="1:7" ht="15" customHeight="1" x14ac:dyDescent="0.25">
      <c r="A42" s="7" t="s">
        <v>186</v>
      </c>
      <c r="B42" s="7" t="s">
        <v>24</v>
      </c>
      <c r="C42" s="8" t="s">
        <v>187</v>
      </c>
      <c r="D42" s="8" t="s">
        <v>188</v>
      </c>
      <c r="E42" s="8" t="s">
        <v>131</v>
      </c>
      <c r="F42" s="8" t="s">
        <v>119</v>
      </c>
      <c r="G42" s="8" t="s">
        <v>189</v>
      </c>
    </row>
    <row r="43" spans="1:7" ht="15" customHeight="1" x14ac:dyDescent="0.25">
      <c r="A43" s="7" t="s">
        <v>190</v>
      </c>
      <c r="B43" s="7" t="s">
        <v>100</v>
      </c>
      <c r="C43" s="8" t="s">
        <v>143</v>
      </c>
      <c r="D43" s="8" t="s">
        <v>191</v>
      </c>
      <c r="E43" s="8" t="s">
        <v>33</v>
      </c>
      <c r="F43" s="8" t="s">
        <v>65</v>
      </c>
      <c r="G43" s="8" t="s">
        <v>192</v>
      </c>
    </row>
    <row r="44" spans="1:7" ht="15" customHeight="1" x14ac:dyDescent="0.25">
      <c r="A44" s="7" t="s">
        <v>193</v>
      </c>
      <c r="B44" s="7" t="s">
        <v>24</v>
      </c>
      <c r="C44" s="8" t="s">
        <v>25</v>
      </c>
      <c r="D44" s="8" t="s">
        <v>26</v>
      </c>
      <c r="E44" s="8" t="s">
        <v>27</v>
      </c>
      <c r="F44" s="8" t="s">
        <v>28</v>
      </c>
      <c r="G44" s="8" t="s">
        <v>29</v>
      </c>
    </row>
    <row r="45" spans="1:7" ht="15" customHeight="1" x14ac:dyDescent="0.25">
      <c r="A45" s="7" t="s">
        <v>194</v>
      </c>
      <c r="B45" s="7" t="s">
        <v>68</v>
      </c>
      <c r="C45" s="8" t="s">
        <v>69</v>
      </c>
      <c r="D45" s="8" t="s">
        <v>195</v>
      </c>
      <c r="E45" s="8" t="s">
        <v>107</v>
      </c>
      <c r="F45" s="8" t="s">
        <v>65</v>
      </c>
      <c r="G45" s="8" t="s">
        <v>196</v>
      </c>
    </row>
    <row r="46" spans="1:7" ht="15" customHeight="1" x14ac:dyDescent="0.25">
      <c r="A46" s="7" t="s">
        <v>197</v>
      </c>
      <c r="B46" s="7" t="s">
        <v>24</v>
      </c>
      <c r="C46" s="8" t="s">
        <v>130</v>
      </c>
      <c r="D46" s="8" t="s">
        <v>31</v>
      </c>
      <c r="E46" s="8" t="s">
        <v>131</v>
      </c>
      <c r="F46" s="8" t="s">
        <v>34</v>
      </c>
      <c r="G46" s="8" t="s">
        <v>132</v>
      </c>
    </row>
    <row r="47" spans="1:7" ht="15" customHeight="1" x14ac:dyDescent="0.25">
      <c r="A47" s="7" t="s">
        <v>198</v>
      </c>
      <c r="B47" s="7" t="s">
        <v>24</v>
      </c>
      <c r="C47" s="8" t="s">
        <v>199</v>
      </c>
      <c r="D47" s="8" t="s">
        <v>69</v>
      </c>
      <c r="E47" s="8" t="s">
        <v>200</v>
      </c>
      <c r="F47" s="8" t="s">
        <v>201</v>
      </c>
      <c r="G47" s="8" t="s">
        <v>202</v>
      </c>
    </row>
    <row r="48" spans="1:7" ht="15" customHeight="1" x14ac:dyDescent="0.25">
      <c r="A48" s="7" t="s">
        <v>203</v>
      </c>
      <c r="B48" s="7" t="s">
        <v>68</v>
      </c>
      <c r="C48" s="8" t="s">
        <v>204</v>
      </c>
      <c r="D48" s="8" t="s">
        <v>205</v>
      </c>
      <c r="E48" s="8" t="s">
        <v>206</v>
      </c>
      <c r="F48" s="8" t="s">
        <v>59</v>
      </c>
      <c r="G48" s="8" t="s">
        <v>207</v>
      </c>
    </row>
    <row r="49" spans="1:7" ht="15" customHeight="1" x14ac:dyDescent="0.25">
      <c r="A49" s="7" t="s">
        <v>208</v>
      </c>
      <c r="B49" s="7" t="s">
        <v>82</v>
      </c>
      <c r="C49" s="8" t="s">
        <v>209</v>
      </c>
      <c r="D49" s="8" t="s">
        <v>210</v>
      </c>
      <c r="E49" s="8" t="s">
        <v>211</v>
      </c>
      <c r="F49" s="8" t="s">
        <v>86</v>
      </c>
      <c r="G49" s="8" t="s">
        <v>87</v>
      </c>
    </row>
    <row r="50" spans="1:7" ht="15" customHeight="1" x14ac:dyDescent="0.25">
      <c r="A50" s="7" t="s">
        <v>212</v>
      </c>
      <c r="B50" s="7" t="s">
        <v>213</v>
      </c>
      <c r="C50" s="8" t="s">
        <v>25</v>
      </c>
      <c r="D50" s="8" t="s">
        <v>69</v>
      </c>
      <c r="E50" s="8" t="s">
        <v>94</v>
      </c>
      <c r="F50" s="8" t="s">
        <v>214</v>
      </c>
      <c r="G50" s="8" t="s">
        <v>215</v>
      </c>
    </row>
    <row r="51" spans="1:7" ht="15" customHeight="1" x14ac:dyDescent="0.25">
      <c r="A51" s="7" t="s">
        <v>216</v>
      </c>
      <c r="B51" s="7" t="s">
        <v>24</v>
      </c>
      <c r="C51" s="8" t="s">
        <v>31</v>
      </c>
      <c r="D51" s="8" t="s">
        <v>217</v>
      </c>
      <c r="E51" s="8" t="s">
        <v>70</v>
      </c>
      <c r="F51" s="8" t="s">
        <v>28</v>
      </c>
      <c r="G51" s="8" t="s">
        <v>218</v>
      </c>
    </row>
    <row r="52" spans="1:7" ht="15" customHeight="1" x14ac:dyDescent="0.25">
      <c r="A52" s="7" t="s">
        <v>219</v>
      </c>
      <c r="B52" s="7" t="s">
        <v>68</v>
      </c>
      <c r="C52" s="8" t="s">
        <v>220</v>
      </c>
      <c r="D52" s="8" t="s">
        <v>221</v>
      </c>
      <c r="E52" s="8" t="s">
        <v>222</v>
      </c>
      <c r="F52" s="8" t="s">
        <v>86</v>
      </c>
      <c r="G52" s="8" t="s">
        <v>223</v>
      </c>
    </row>
    <row r="53" spans="1:7" ht="15" customHeight="1" x14ac:dyDescent="0.25">
      <c r="A53" s="7" t="s">
        <v>224</v>
      </c>
      <c r="B53" s="7" t="s">
        <v>24</v>
      </c>
      <c r="C53" s="8" t="s">
        <v>159</v>
      </c>
      <c r="D53" s="8" t="s">
        <v>225</v>
      </c>
      <c r="E53" s="8" t="s">
        <v>27</v>
      </c>
      <c r="F53" s="8" t="s">
        <v>28</v>
      </c>
      <c r="G53" s="8" t="s">
        <v>218</v>
      </c>
    </row>
    <row r="54" spans="1:7" ht="15" customHeight="1" x14ac:dyDescent="0.25">
      <c r="A54" s="7" t="s">
        <v>226</v>
      </c>
      <c r="B54" s="7" t="s">
        <v>24</v>
      </c>
      <c r="C54" s="8" t="s">
        <v>79</v>
      </c>
      <c r="D54" s="8" t="s">
        <v>227</v>
      </c>
      <c r="E54" s="8" t="s">
        <v>228</v>
      </c>
      <c r="F54" s="8" t="s">
        <v>65</v>
      </c>
      <c r="G54" s="8" t="s">
        <v>229</v>
      </c>
    </row>
    <row r="55" spans="1:7" ht="15" customHeight="1" x14ac:dyDescent="0.25">
      <c r="A55" s="7" t="s">
        <v>230</v>
      </c>
      <c r="B55" s="7" t="s">
        <v>231</v>
      </c>
      <c r="C55" s="8" t="s">
        <v>232</v>
      </c>
      <c r="D55" s="8" t="s">
        <v>233</v>
      </c>
      <c r="E55" s="8" t="s">
        <v>118</v>
      </c>
      <c r="F55" s="8" t="s">
        <v>28</v>
      </c>
      <c r="G55" s="8" t="s">
        <v>234</v>
      </c>
    </row>
    <row r="56" spans="1:7" ht="15" customHeight="1" x14ac:dyDescent="0.25">
      <c r="A56" s="7" t="s">
        <v>235</v>
      </c>
      <c r="B56" s="7" t="s">
        <v>24</v>
      </c>
      <c r="C56" s="8" t="s">
        <v>31</v>
      </c>
      <c r="D56" s="8" t="s">
        <v>32</v>
      </c>
      <c r="E56" s="8" t="s">
        <v>33</v>
      </c>
      <c r="F56" s="8" t="s">
        <v>59</v>
      </c>
      <c r="G56" s="8" t="s">
        <v>236</v>
      </c>
    </row>
    <row r="57" spans="1:7" ht="15" customHeight="1" x14ac:dyDescent="0.25">
      <c r="A57" s="7" t="s">
        <v>237</v>
      </c>
      <c r="B57" s="7" t="s">
        <v>213</v>
      </c>
      <c r="C57" s="8" t="s">
        <v>238</v>
      </c>
      <c r="D57" s="8" t="s">
        <v>57</v>
      </c>
      <c r="E57" s="8" t="s">
        <v>239</v>
      </c>
      <c r="F57" s="8" t="s">
        <v>123</v>
      </c>
      <c r="G57" s="8" t="s">
        <v>240</v>
      </c>
    </row>
    <row r="58" spans="1:7" ht="15" customHeight="1" x14ac:dyDescent="0.25">
      <c r="A58" s="7" t="s">
        <v>241</v>
      </c>
      <c r="B58" s="7" t="s">
        <v>68</v>
      </c>
      <c r="C58" s="8" t="s">
        <v>242</v>
      </c>
      <c r="D58" s="8" t="s">
        <v>243</v>
      </c>
      <c r="E58" s="8" t="s">
        <v>239</v>
      </c>
      <c r="F58" s="8" t="s">
        <v>28</v>
      </c>
      <c r="G58" s="8" t="s">
        <v>71</v>
      </c>
    </row>
    <row r="59" spans="1:7" ht="15" customHeight="1" x14ac:dyDescent="0.25">
      <c r="A59" s="7" t="s">
        <v>244</v>
      </c>
      <c r="B59" s="7" t="s">
        <v>100</v>
      </c>
      <c r="C59" s="8" t="s">
        <v>245</v>
      </c>
      <c r="D59" s="8" t="s">
        <v>246</v>
      </c>
      <c r="E59" s="8" t="s">
        <v>247</v>
      </c>
      <c r="F59" s="8" t="s">
        <v>28</v>
      </c>
      <c r="G59" s="8" t="s">
        <v>145</v>
      </c>
    </row>
    <row r="60" spans="1:7" ht="15" customHeight="1" x14ac:dyDescent="0.25">
      <c r="A60" s="7" t="s">
        <v>248</v>
      </c>
      <c r="B60" s="7" t="s">
        <v>24</v>
      </c>
      <c r="C60" s="8" t="s">
        <v>249</v>
      </c>
      <c r="D60" s="8" t="s">
        <v>250</v>
      </c>
      <c r="E60" s="8" t="s">
        <v>251</v>
      </c>
      <c r="F60" s="8" t="s">
        <v>28</v>
      </c>
      <c r="G60" s="8" t="s">
        <v>252</v>
      </c>
    </row>
    <row r="61" spans="1:7" ht="15" customHeight="1" x14ac:dyDescent="0.25">
      <c r="A61" s="7" t="s">
        <v>253</v>
      </c>
      <c r="B61" s="7" t="s">
        <v>24</v>
      </c>
      <c r="C61" s="8" t="s">
        <v>47</v>
      </c>
      <c r="D61" s="8" t="s">
        <v>32</v>
      </c>
      <c r="E61" s="8" t="s">
        <v>254</v>
      </c>
      <c r="F61" s="8" t="s">
        <v>65</v>
      </c>
      <c r="G61" s="8" t="s">
        <v>255</v>
      </c>
    </row>
    <row r="62" spans="1:7" ht="15" customHeight="1" x14ac:dyDescent="0.25">
      <c r="A62" s="7" t="s">
        <v>256</v>
      </c>
      <c r="B62" s="7" t="s">
        <v>213</v>
      </c>
      <c r="C62" s="8" t="s">
        <v>159</v>
      </c>
      <c r="D62" s="8" t="s">
        <v>79</v>
      </c>
      <c r="E62" s="8" t="s">
        <v>257</v>
      </c>
      <c r="F62" s="8" t="s">
        <v>123</v>
      </c>
      <c r="G62" s="8" t="s">
        <v>258</v>
      </c>
    </row>
    <row r="63" spans="1:7" ht="15" customHeight="1" x14ac:dyDescent="0.25">
      <c r="A63" s="7" t="s">
        <v>259</v>
      </c>
      <c r="B63" s="7" t="s">
        <v>100</v>
      </c>
      <c r="C63" s="8" t="s">
        <v>260</v>
      </c>
      <c r="D63" s="8" t="s">
        <v>261</v>
      </c>
      <c r="E63" s="8" t="s">
        <v>262</v>
      </c>
      <c r="F63" s="8" t="s">
        <v>65</v>
      </c>
      <c r="G63" s="8" t="s">
        <v>263</v>
      </c>
    </row>
    <row r="64" spans="1:7" ht="15" customHeight="1" x14ac:dyDescent="0.25">
      <c r="A64" s="7" t="s">
        <v>264</v>
      </c>
      <c r="B64" s="7" t="s">
        <v>24</v>
      </c>
      <c r="C64" s="8" t="s">
        <v>265</v>
      </c>
      <c r="D64" s="8" t="s">
        <v>69</v>
      </c>
      <c r="E64" s="8" t="s">
        <v>266</v>
      </c>
      <c r="F64" s="8" t="s">
        <v>34</v>
      </c>
      <c r="G64" s="8" t="s">
        <v>267</v>
      </c>
    </row>
    <row r="65" spans="1:7" ht="15" customHeight="1" x14ac:dyDescent="0.25">
      <c r="A65" s="7" t="s">
        <v>268</v>
      </c>
      <c r="B65" s="7" t="s">
        <v>24</v>
      </c>
      <c r="C65" s="8" t="s">
        <v>42</v>
      </c>
      <c r="D65" s="8" t="s">
        <v>269</v>
      </c>
      <c r="E65" s="8" t="s">
        <v>48</v>
      </c>
      <c r="F65" s="8" t="s">
        <v>28</v>
      </c>
      <c r="G65" s="8" t="s">
        <v>270</v>
      </c>
    </row>
    <row r="66" spans="1:7" ht="15" customHeight="1" x14ac:dyDescent="0.25">
      <c r="A66" s="7" t="s">
        <v>271</v>
      </c>
      <c r="B66" s="7" t="s">
        <v>100</v>
      </c>
      <c r="C66" s="8" t="s">
        <v>101</v>
      </c>
      <c r="D66" s="8" t="s">
        <v>102</v>
      </c>
      <c r="E66" s="8" t="s">
        <v>103</v>
      </c>
      <c r="F66" s="8" t="s">
        <v>28</v>
      </c>
      <c r="G66" s="8" t="s">
        <v>272</v>
      </c>
    </row>
    <row r="67" spans="1:7" ht="15" customHeight="1" x14ac:dyDescent="0.25">
      <c r="A67" s="7" t="s">
        <v>273</v>
      </c>
      <c r="B67" s="7" t="s">
        <v>82</v>
      </c>
      <c r="C67" s="8" t="s">
        <v>209</v>
      </c>
      <c r="D67" s="8" t="s">
        <v>274</v>
      </c>
      <c r="E67" s="8" t="s">
        <v>257</v>
      </c>
      <c r="F67" s="8" t="s">
        <v>86</v>
      </c>
      <c r="G67" s="8" t="s">
        <v>87</v>
      </c>
    </row>
    <row r="68" spans="1:7" ht="15" customHeight="1" x14ac:dyDescent="0.25">
      <c r="A68" s="7" t="s">
        <v>275</v>
      </c>
      <c r="B68" s="7" t="s">
        <v>24</v>
      </c>
      <c r="C68" s="8" t="s">
        <v>276</v>
      </c>
      <c r="D68" s="8" t="s">
        <v>43</v>
      </c>
      <c r="E68" s="8" t="s">
        <v>228</v>
      </c>
      <c r="F68" s="8" t="s">
        <v>59</v>
      </c>
      <c r="G68" s="8" t="s">
        <v>277</v>
      </c>
    </row>
    <row r="69" spans="1:7" ht="15" customHeight="1" x14ac:dyDescent="0.25">
      <c r="A69" s="7" t="s">
        <v>278</v>
      </c>
      <c r="B69" s="7" t="s">
        <v>231</v>
      </c>
      <c r="C69" s="8" t="s">
        <v>279</v>
      </c>
      <c r="D69" s="8" t="s">
        <v>280</v>
      </c>
      <c r="E69" s="8" t="s">
        <v>281</v>
      </c>
      <c r="F69" s="8" t="s">
        <v>65</v>
      </c>
      <c r="G69" s="8" t="s">
        <v>282</v>
      </c>
    </row>
    <row r="70" spans="1:7" ht="15" customHeight="1" x14ac:dyDescent="0.25">
      <c r="A70" s="7" t="s">
        <v>283</v>
      </c>
      <c r="B70" s="7" t="s">
        <v>284</v>
      </c>
      <c r="C70" s="8" t="s">
        <v>195</v>
      </c>
      <c r="D70" s="8" t="s">
        <v>285</v>
      </c>
      <c r="E70" s="8" t="s">
        <v>281</v>
      </c>
      <c r="F70" s="8" t="s">
        <v>28</v>
      </c>
      <c r="G70" s="8" t="s">
        <v>286</v>
      </c>
    </row>
    <row r="71" spans="1:7" ht="15" customHeight="1" x14ac:dyDescent="0.25">
      <c r="A71" s="7" t="s">
        <v>287</v>
      </c>
      <c r="B71" s="7" t="s">
        <v>24</v>
      </c>
      <c r="C71" s="8" t="s">
        <v>83</v>
      </c>
      <c r="D71" s="8" t="s">
        <v>84</v>
      </c>
      <c r="E71" s="8" t="s">
        <v>85</v>
      </c>
      <c r="F71" s="8" t="s">
        <v>65</v>
      </c>
      <c r="G71" s="8" t="s">
        <v>288</v>
      </c>
    </row>
    <row r="72" spans="1:7" ht="15" customHeight="1" x14ac:dyDescent="0.25">
      <c r="A72" s="7" t="s">
        <v>289</v>
      </c>
      <c r="B72" s="7" t="s">
        <v>24</v>
      </c>
      <c r="C72" s="8" t="s">
        <v>32</v>
      </c>
      <c r="D72" s="8" t="s">
        <v>90</v>
      </c>
      <c r="E72" s="8" t="s">
        <v>48</v>
      </c>
      <c r="F72" s="8" t="s">
        <v>119</v>
      </c>
      <c r="G72" s="8" t="s">
        <v>290</v>
      </c>
    </row>
    <row r="73" spans="1:7" ht="15" customHeight="1" x14ac:dyDescent="0.25">
      <c r="A73" s="7" t="s">
        <v>291</v>
      </c>
      <c r="B73" s="7" t="s">
        <v>24</v>
      </c>
      <c r="C73" s="8" t="s">
        <v>32</v>
      </c>
      <c r="D73" s="8" t="s">
        <v>165</v>
      </c>
      <c r="E73" s="8" t="s">
        <v>136</v>
      </c>
      <c r="F73" s="8" t="s">
        <v>59</v>
      </c>
      <c r="G73" s="8" t="s">
        <v>292</v>
      </c>
    </row>
    <row r="74" spans="1:7" ht="15" customHeight="1" x14ac:dyDescent="0.25">
      <c r="A74" s="7" t="s">
        <v>293</v>
      </c>
      <c r="B74" s="7" t="s">
        <v>100</v>
      </c>
      <c r="C74" s="8" t="s">
        <v>294</v>
      </c>
      <c r="D74" s="8" t="s">
        <v>295</v>
      </c>
      <c r="E74" s="8" t="s">
        <v>296</v>
      </c>
      <c r="F74" s="8" t="s">
        <v>28</v>
      </c>
      <c r="G74" s="8" t="s">
        <v>272</v>
      </c>
    </row>
    <row r="75" spans="1:7" ht="15" customHeight="1" x14ac:dyDescent="0.25">
      <c r="A75" s="7" t="s">
        <v>297</v>
      </c>
      <c r="B75" s="7" t="s">
        <v>24</v>
      </c>
      <c r="C75" s="8" t="s">
        <v>298</v>
      </c>
      <c r="D75" s="8" t="s">
        <v>57</v>
      </c>
      <c r="E75" s="8" t="s">
        <v>251</v>
      </c>
      <c r="F75" s="8" t="s">
        <v>34</v>
      </c>
      <c r="G75" s="8" t="s">
        <v>299</v>
      </c>
    </row>
    <row r="76" spans="1:7" ht="15" customHeight="1" x14ac:dyDescent="0.25">
      <c r="A76" s="7" t="s">
        <v>300</v>
      </c>
      <c r="B76" s="7" t="s">
        <v>24</v>
      </c>
      <c r="C76" s="8" t="s">
        <v>25</v>
      </c>
      <c r="D76" s="8" t="s">
        <v>69</v>
      </c>
      <c r="E76" s="8" t="s">
        <v>94</v>
      </c>
      <c r="F76" s="8" t="s">
        <v>59</v>
      </c>
      <c r="G76" s="8" t="s">
        <v>301</v>
      </c>
    </row>
    <row r="77" spans="1:7" ht="15" customHeight="1" x14ac:dyDescent="0.25">
      <c r="A77" s="7" t="s">
        <v>302</v>
      </c>
      <c r="B77" s="7" t="s">
        <v>24</v>
      </c>
      <c r="C77" s="8" t="s">
        <v>31</v>
      </c>
      <c r="D77" s="8" t="s">
        <v>57</v>
      </c>
      <c r="E77" s="8" t="s">
        <v>94</v>
      </c>
      <c r="F77" s="8" t="s">
        <v>59</v>
      </c>
      <c r="G77" s="8" t="s">
        <v>303</v>
      </c>
    </row>
    <row r="78" spans="1:7" ht="15" customHeight="1" x14ac:dyDescent="0.25">
      <c r="A78" s="7" t="s">
        <v>304</v>
      </c>
      <c r="B78" s="7" t="s">
        <v>24</v>
      </c>
      <c r="C78" s="8" t="s">
        <v>159</v>
      </c>
      <c r="D78" s="8" t="s">
        <v>25</v>
      </c>
      <c r="E78" s="8" t="s">
        <v>76</v>
      </c>
      <c r="F78" s="8" t="s">
        <v>34</v>
      </c>
      <c r="G78" s="8" t="s">
        <v>305</v>
      </c>
    </row>
    <row r="79" spans="1:7" ht="15" customHeight="1" x14ac:dyDescent="0.25">
      <c r="A79" s="7" t="s">
        <v>306</v>
      </c>
      <c r="B79" s="7" t="s">
        <v>100</v>
      </c>
      <c r="C79" s="8" t="s">
        <v>307</v>
      </c>
      <c r="D79" s="8" t="s">
        <v>308</v>
      </c>
      <c r="E79" s="8" t="s">
        <v>58</v>
      </c>
      <c r="F79" s="8" t="s">
        <v>59</v>
      </c>
      <c r="G79" s="8" t="s">
        <v>309</v>
      </c>
    </row>
    <row r="80" spans="1:7" ht="15" customHeight="1" x14ac:dyDescent="0.25">
      <c r="A80" s="7" t="s">
        <v>310</v>
      </c>
      <c r="B80" s="7" t="s">
        <v>24</v>
      </c>
      <c r="C80" s="8" t="s">
        <v>187</v>
      </c>
      <c r="D80" s="8" t="s">
        <v>57</v>
      </c>
      <c r="E80" s="8" t="s">
        <v>206</v>
      </c>
      <c r="F80" s="8" t="s">
        <v>39</v>
      </c>
      <c r="G80" s="8" t="s">
        <v>311</v>
      </c>
    </row>
    <row r="81" spans="1:7" ht="15" customHeight="1" x14ac:dyDescent="0.25">
      <c r="A81" s="7" t="s">
        <v>312</v>
      </c>
      <c r="B81" s="7" t="s">
        <v>213</v>
      </c>
      <c r="C81" s="8" t="s">
        <v>313</v>
      </c>
      <c r="D81" s="8" t="s">
        <v>314</v>
      </c>
      <c r="E81" s="8" t="s">
        <v>27</v>
      </c>
      <c r="F81" s="8" t="s">
        <v>34</v>
      </c>
      <c r="G81" s="8" t="s">
        <v>315</v>
      </c>
    </row>
    <row r="82" spans="1:7" ht="15" customHeight="1" x14ac:dyDescent="0.25">
      <c r="A82" s="7" t="s">
        <v>316</v>
      </c>
      <c r="B82" s="7" t="s">
        <v>24</v>
      </c>
      <c r="C82" s="8" t="s">
        <v>25</v>
      </c>
      <c r="D82" s="8" t="s">
        <v>26</v>
      </c>
      <c r="E82" s="8" t="s">
        <v>27</v>
      </c>
      <c r="F82" s="8" t="s">
        <v>28</v>
      </c>
      <c r="G82" s="8" t="s">
        <v>29</v>
      </c>
    </row>
    <row r="83" spans="1:7" ht="15" customHeight="1" x14ac:dyDescent="0.25">
      <c r="A83" s="7" t="s">
        <v>317</v>
      </c>
      <c r="B83" s="7" t="s">
        <v>24</v>
      </c>
      <c r="C83" s="8" t="s">
        <v>265</v>
      </c>
      <c r="D83" s="8" t="s">
        <v>106</v>
      </c>
      <c r="E83" s="8" t="s">
        <v>103</v>
      </c>
      <c r="F83" s="8" t="s">
        <v>34</v>
      </c>
      <c r="G83" s="8" t="s">
        <v>132</v>
      </c>
    </row>
    <row r="84" spans="1:7" ht="15" customHeight="1" x14ac:dyDescent="0.25">
      <c r="A84" s="7" t="s">
        <v>318</v>
      </c>
      <c r="B84" s="7" t="s">
        <v>100</v>
      </c>
      <c r="C84" s="8" t="s">
        <v>319</v>
      </c>
      <c r="D84" s="8" t="s">
        <v>320</v>
      </c>
      <c r="E84" s="8" t="s">
        <v>228</v>
      </c>
      <c r="F84" s="8" t="s">
        <v>321</v>
      </c>
      <c r="G84" s="8" t="s">
        <v>322</v>
      </c>
    </row>
    <row r="85" spans="1:7" ht="15" customHeight="1" x14ac:dyDescent="0.25">
      <c r="A85" s="7" t="s">
        <v>323</v>
      </c>
      <c r="B85" s="7" t="s">
        <v>24</v>
      </c>
      <c r="C85" s="8" t="s">
        <v>63</v>
      </c>
      <c r="D85" s="8" t="s">
        <v>79</v>
      </c>
      <c r="E85" s="8" t="s">
        <v>80</v>
      </c>
      <c r="F85" s="8" t="s">
        <v>86</v>
      </c>
      <c r="G85" s="8" t="s">
        <v>324</v>
      </c>
    </row>
    <row r="86" spans="1:7" ht="15" customHeight="1" x14ac:dyDescent="0.25">
      <c r="A86" s="7" t="s">
        <v>325</v>
      </c>
      <c r="B86" s="7" t="s">
        <v>24</v>
      </c>
      <c r="C86" s="8" t="s">
        <v>326</v>
      </c>
      <c r="D86" s="8" t="s">
        <v>327</v>
      </c>
      <c r="E86" s="8" t="s">
        <v>328</v>
      </c>
      <c r="F86" s="8" t="s">
        <v>28</v>
      </c>
      <c r="G86" s="8" t="s">
        <v>329</v>
      </c>
    </row>
    <row r="87" spans="1:7" ht="15" customHeight="1" x14ac:dyDescent="0.25">
      <c r="A87" s="7" t="s">
        <v>330</v>
      </c>
      <c r="B87" s="7" t="s">
        <v>100</v>
      </c>
      <c r="C87" s="8" t="s">
        <v>331</v>
      </c>
      <c r="D87" s="8" t="s">
        <v>332</v>
      </c>
      <c r="E87" s="8" t="s">
        <v>144</v>
      </c>
      <c r="F87" s="8" t="s">
        <v>28</v>
      </c>
      <c r="G87" s="8" t="s">
        <v>183</v>
      </c>
    </row>
    <row r="88" spans="1:7" ht="15" customHeight="1" x14ac:dyDescent="0.25">
      <c r="A88" s="7" t="s">
        <v>333</v>
      </c>
      <c r="B88" s="7" t="s">
        <v>100</v>
      </c>
      <c r="C88" s="8" t="s">
        <v>334</v>
      </c>
      <c r="D88" s="8" t="s">
        <v>335</v>
      </c>
      <c r="E88" s="8" t="s">
        <v>336</v>
      </c>
      <c r="F88" s="8" t="s">
        <v>65</v>
      </c>
      <c r="G88" s="8" t="s">
        <v>137</v>
      </c>
    </row>
    <row r="89" spans="1:7" ht="15" customHeight="1" x14ac:dyDescent="0.25">
      <c r="A89" s="7" t="s">
        <v>337</v>
      </c>
      <c r="B89" s="7" t="s">
        <v>100</v>
      </c>
      <c r="C89" s="8" t="s">
        <v>308</v>
      </c>
      <c r="D89" s="8" t="s">
        <v>338</v>
      </c>
      <c r="E89" s="8" t="s">
        <v>127</v>
      </c>
      <c r="F89" s="8" t="s">
        <v>65</v>
      </c>
      <c r="G89" s="8" t="s">
        <v>263</v>
      </c>
    </row>
    <row r="90" spans="1:7" ht="15" customHeight="1" x14ac:dyDescent="0.25">
      <c r="A90" s="7" t="s">
        <v>339</v>
      </c>
      <c r="B90" s="7" t="s">
        <v>24</v>
      </c>
      <c r="C90" s="8" t="s">
        <v>31</v>
      </c>
      <c r="D90" s="8" t="s">
        <v>69</v>
      </c>
      <c r="E90" s="8" t="s">
        <v>169</v>
      </c>
      <c r="F90" s="8" t="s">
        <v>119</v>
      </c>
      <c r="G90" s="8" t="s">
        <v>340</v>
      </c>
    </row>
    <row r="91" spans="1:7" ht="15" customHeight="1" x14ac:dyDescent="0.25">
      <c r="A91" s="7" t="s">
        <v>341</v>
      </c>
      <c r="B91" s="7" t="s">
        <v>24</v>
      </c>
      <c r="C91" s="8" t="s">
        <v>242</v>
      </c>
      <c r="D91" s="8" t="s">
        <v>149</v>
      </c>
      <c r="E91" s="8" t="s">
        <v>342</v>
      </c>
      <c r="F91" s="8" t="s">
        <v>28</v>
      </c>
      <c r="G91" s="8" t="s">
        <v>29</v>
      </c>
    </row>
    <row r="92" spans="1:7" ht="15" customHeight="1" x14ac:dyDescent="0.25">
      <c r="A92" s="7" t="s">
        <v>343</v>
      </c>
      <c r="B92" s="7" t="s">
        <v>68</v>
      </c>
      <c r="C92" s="8" t="s">
        <v>344</v>
      </c>
      <c r="D92" s="8" t="s">
        <v>345</v>
      </c>
      <c r="E92" s="8" t="s">
        <v>346</v>
      </c>
      <c r="F92" s="8" t="s">
        <v>214</v>
      </c>
      <c r="G92" s="8" t="s">
        <v>347</v>
      </c>
    </row>
    <row r="93" spans="1:7" ht="15" customHeight="1" x14ac:dyDescent="0.25">
      <c r="A93" s="7" t="s">
        <v>348</v>
      </c>
      <c r="B93" s="7" t="s">
        <v>100</v>
      </c>
      <c r="C93" s="8" t="s">
        <v>102</v>
      </c>
      <c r="D93" s="8" t="s">
        <v>349</v>
      </c>
      <c r="E93" s="8" t="s">
        <v>350</v>
      </c>
      <c r="F93" s="8" t="s">
        <v>28</v>
      </c>
      <c r="G93" s="8" t="s">
        <v>145</v>
      </c>
    </row>
    <row r="94" spans="1:7" ht="15" customHeight="1" x14ac:dyDescent="0.25">
      <c r="A94" s="7" t="s">
        <v>351</v>
      </c>
      <c r="B94" s="7" t="s">
        <v>24</v>
      </c>
      <c r="C94" s="8" t="s">
        <v>63</v>
      </c>
      <c r="D94" s="8" t="s">
        <v>43</v>
      </c>
      <c r="E94" s="8" t="s">
        <v>352</v>
      </c>
      <c r="F94" s="8" t="s">
        <v>28</v>
      </c>
      <c r="G94" s="8" t="s">
        <v>45</v>
      </c>
    </row>
    <row r="95" spans="1:7" ht="15" customHeight="1" x14ac:dyDescent="0.25">
      <c r="A95" s="7" t="s">
        <v>353</v>
      </c>
      <c r="B95" s="7" t="s">
        <v>24</v>
      </c>
      <c r="C95" s="8" t="s">
        <v>31</v>
      </c>
      <c r="D95" s="8" t="s">
        <v>69</v>
      </c>
      <c r="E95" s="8" t="s">
        <v>169</v>
      </c>
      <c r="F95" s="8" t="s">
        <v>59</v>
      </c>
      <c r="G95" s="8" t="s">
        <v>354</v>
      </c>
    </row>
    <row r="96" spans="1:7" ht="15" customHeight="1" x14ac:dyDescent="0.25">
      <c r="A96" s="7" t="s">
        <v>355</v>
      </c>
      <c r="B96" s="7" t="s">
        <v>100</v>
      </c>
      <c r="C96" s="8" t="s">
        <v>356</v>
      </c>
      <c r="D96" s="8" t="s">
        <v>335</v>
      </c>
      <c r="E96" s="8" t="s">
        <v>239</v>
      </c>
      <c r="F96" s="8" t="s">
        <v>28</v>
      </c>
      <c r="G96" s="8" t="s">
        <v>357</v>
      </c>
    </row>
    <row r="97" spans="1:7" ht="15" customHeight="1" x14ac:dyDescent="0.25">
      <c r="A97" s="7" t="s">
        <v>358</v>
      </c>
      <c r="B97" s="7" t="s">
        <v>68</v>
      </c>
      <c r="C97" s="8" t="s">
        <v>359</v>
      </c>
      <c r="D97" s="8" t="s">
        <v>32</v>
      </c>
      <c r="E97" s="8" t="s">
        <v>360</v>
      </c>
      <c r="F97" s="8" t="s">
        <v>123</v>
      </c>
      <c r="G97" s="8" t="s">
        <v>361</v>
      </c>
    </row>
    <row r="98" spans="1:7" ht="15" customHeight="1" x14ac:dyDescent="0.25">
      <c r="A98" s="7" t="s">
        <v>362</v>
      </c>
      <c r="B98" s="7" t="s">
        <v>213</v>
      </c>
      <c r="C98" s="8" t="s">
        <v>106</v>
      </c>
      <c r="D98" s="8" t="s">
        <v>79</v>
      </c>
      <c r="E98" s="8" t="s">
        <v>85</v>
      </c>
      <c r="F98" s="8" t="s">
        <v>363</v>
      </c>
      <c r="G98" s="8" t="s">
        <v>364</v>
      </c>
    </row>
    <row r="99" spans="1:7" ht="15" customHeight="1" x14ac:dyDescent="0.25">
      <c r="A99" s="7" t="s">
        <v>365</v>
      </c>
      <c r="B99" s="7" t="s">
        <v>24</v>
      </c>
      <c r="C99" s="8" t="s">
        <v>366</v>
      </c>
      <c r="D99" s="8" t="s">
        <v>69</v>
      </c>
      <c r="E99" s="8" t="s">
        <v>58</v>
      </c>
      <c r="F99" s="8" t="s">
        <v>123</v>
      </c>
      <c r="G99" s="8" t="s">
        <v>367</v>
      </c>
    </row>
    <row r="100" spans="1:7" ht="15" customHeight="1" x14ac:dyDescent="0.25">
      <c r="A100" s="7" t="s">
        <v>368</v>
      </c>
      <c r="B100" s="7" t="s">
        <v>68</v>
      </c>
      <c r="C100" s="8" t="s">
        <v>26</v>
      </c>
      <c r="D100" s="8" t="s">
        <v>37</v>
      </c>
      <c r="E100" s="8" t="s">
        <v>136</v>
      </c>
      <c r="F100" s="8" t="s">
        <v>119</v>
      </c>
      <c r="G100" s="8" t="s">
        <v>369</v>
      </c>
    </row>
    <row r="101" spans="1:7" ht="15" customHeight="1" x14ac:dyDescent="0.25">
      <c r="A101" s="7" t="s">
        <v>370</v>
      </c>
      <c r="B101" s="7" t="s">
        <v>24</v>
      </c>
      <c r="C101" s="8" t="s">
        <v>371</v>
      </c>
      <c r="D101" s="8" t="s">
        <v>250</v>
      </c>
      <c r="E101" s="8" t="s">
        <v>372</v>
      </c>
      <c r="F101" s="8" t="s">
        <v>59</v>
      </c>
      <c r="G101" s="8" t="s">
        <v>373</v>
      </c>
    </row>
    <row r="102" spans="1:7" ht="15" customHeight="1" x14ac:dyDescent="0.25">
      <c r="A102" s="7" t="s">
        <v>374</v>
      </c>
      <c r="B102" s="7" t="s">
        <v>213</v>
      </c>
      <c r="C102" s="8" t="s">
        <v>32</v>
      </c>
      <c r="D102" s="8" t="s">
        <v>250</v>
      </c>
      <c r="E102" s="8" t="s">
        <v>251</v>
      </c>
      <c r="F102" s="8" t="s">
        <v>65</v>
      </c>
      <c r="G102" s="8" t="s">
        <v>375</v>
      </c>
    </row>
    <row r="103" spans="1:7" ht="15" customHeight="1" x14ac:dyDescent="0.25">
      <c r="A103" s="7" t="s">
        <v>376</v>
      </c>
      <c r="B103" s="7" t="s">
        <v>24</v>
      </c>
      <c r="C103" s="8" t="s">
        <v>377</v>
      </c>
      <c r="D103" s="8" t="s">
        <v>378</v>
      </c>
      <c r="E103" s="8" t="s">
        <v>44</v>
      </c>
      <c r="F103" s="8" t="s">
        <v>65</v>
      </c>
      <c r="G103" s="8" t="s">
        <v>379</v>
      </c>
    </row>
    <row r="104" spans="1:7" ht="15" customHeight="1" x14ac:dyDescent="0.25">
      <c r="A104" s="7" t="s">
        <v>380</v>
      </c>
      <c r="B104" s="7" t="s">
        <v>213</v>
      </c>
      <c r="C104" s="8" t="s">
        <v>63</v>
      </c>
      <c r="D104" s="8" t="s">
        <v>90</v>
      </c>
      <c r="E104" s="8" t="s">
        <v>200</v>
      </c>
      <c r="F104" s="8" t="s">
        <v>34</v>
      </c>
      <c r="G104" s="8" t="s">
        <v>381</v>
      </c>
    </row>
    <row r="105" spans="1:7" ht="15" customHeight="1" x14ac:dyDescent="0.25">
      <c r="A105" s="7" t="s">
        <v>382</v>
      </c>
      <c r="B105" s="7" t="s">
        <v>100</v>
      </c>
      <c r="C105" s="8" t="s">
        <v>246</v>
      </c>
      <c r="D105" s="8" t="s">
        <v>331</v>
      </c>
      <c r="E105" s="8" t="s">
        <v>247</v>
      </c>
      <c r="F105" s="8" t="s">
        <v>28</v>
      </c>
      <c r="G105" s="8" t="s">
        <v>104</v>
      </c>
    </row>
    <row r="106" spans="1:7" ht="15" customHeight="1" x14ac:dyDescent="0.25">
      <c r="A106" s="7" t="s">
        <v>383</v>
      </c>
      <c r="B106" s="7" t="s">
        <v>24</v>
      </c>
      <c r="C106" s="8" t="s">
        <v>32</v>
      </c>
      <c r="D106" s="8" t="s">
        <v>69</v>
      </c>
      <c r="E106" s="8" t="s">
        <v>58</v>
      </c>
      <c r="F106" s="8" t="s">
        <v>28</v>
      </c>
      <c r="G106" s="8" t="s">
        <v>384</v>
      </c>
    </row>
    <row r="107" spans="1:7" ht="15" customHeight="1" x14ac:dyDescent="0.25">
      <c r="A107" s="7" t="s">
        <v>385</v>
      </c>
      <c r="B107" s="7" t="s">
        <v>24</v>
      </c>
      <c r="C107" s="8" t="s">
        <v>25</v>
      </c>
      <c r="D107" s="8" t="s">
        <v>69</v>
      </c>
      <c r="E107" s="8" t="s">
        <v>94</v>
      </c>
      <c r="F107" s="8" t="s">
        <v>65</v>
      </c>
      <c r="G107" s="8" t="s">
        <v>386</v>
      </c>
    </row>
    <row r="108" spans="1:7" ht="15" customHeight="1" x14ac:dyDescent="0.25">
      <c r="A108" s="7" t="s">
        <v>387</v>
      </c>
      <c r="B108" s="7" t="s">
        <v>24</v>
      </c>
      <c r="C108" s="8" t="s">
        <v>388</v>
      </c>
      <c r="D108" s="8" t="s">
        <v>327</v>
      </c>
      <c r="E108" s="8" t="s">
        <v>58</v>
      </c>
      <c r="F108" s="8" t="s">
        <v>28</v>
      </c>
      <c r="G108" s="8" t="s">
        <v>29</v>
      </c>
    </row>
    <row r="109" spans="1:7" ht="15" customHeight="1" x14ac:dyDescent="0.25">
      <c r="A109" s="7" t="s">
        <v>389</v>
      </c>
      <c r="B109" s="7" t="s">
        <v>24</v>
      </c>
      <c r="C109" s="8" t="s">
        <v>63</v>
      </c>
      <c r="D109" s="8" t="s">
        <v>69</v>
      </c>
      <c r="E109" s="8" t="s">
        <v>131</v>
      </c>
      <c r="F109" s="8" t="s">
        <v>65</v>
      </c>
      <c r="G109" s="8" t="s">
        <v>390</v>
      </c>
    </row>
    <row r="110" spans="1:7" ht="15" customHeight="1" x14ac:dyDescent="0.25">
      <c r="A110" s="7" t="s">
        <v>391</v>
      </c>
      <c r="B110" s="7" t="s">
        <v>100</v>
      </c>
      <c r="C110" s="8" t="s">
        <v>392</v>
      </c>
      <c r="D110" s="8" t="s">
        <v>393</v>
      </c>
      <c r="E110" s="8" t="s">
        <v>136</v>
      </c>
      <c r="F110" s="8" t="s">
        <v>65</v>
      </c>
      <c r="G110" s="8" t="s">
        <v>394</v>
      </c>
    </row>
    <row r="111" spans="1:7" ht="15" customHeight="1" x14ac:dyDescent="0.25">
      <c r="A111" s="7" t="s">
        <v>395</v>
      </c>
      <c r="B111" s="7" t="s">
        <v>24</v>
      </c>
      <c r="C111" s="8" t="s">
        <v>172</v>
      </c>
      <c r="D111" s="8" t="s">
        <v>345</v>
      </c>
      <c r="E111" s="8" t="s">
        <v>396</v>
      </c>
      <c r="F111" s="8" t="s">
        <v>39</v>
      </c>
      <c r="G111" s="8" t="s">
        <v>54</v>
      </c>
    </row>
    <row r="112" spans="1:7" ht="15" customHeight="1" x14ac:dyDescent="0.25">
      <c r="A112" s="7" t="s">
        <v>397</v>
      </c>
      <c r="B112" s="7" t="s">
        <v>231</v>
      </c>
      <c r="C112" s="8" t="s">
        <v>398</v>
      </c>
      <c r="D112" s="8" t="s">
        <v>399</v>
      </c>
      <c r="E112" s="8" t="s">
        <v>80</v>
      </c>
      <c r="F112" s="8" t="s">
        <v>59</v>
      </c>
      <c r="G112" s="8" t="s">
        <v>400</v>
      </c>
    </row>
    <row r="113" spans="1:7" ht="15" customHeight="1" x14ac:dyDescent="0.25">
      <c r="A113" s="7" t="s">
        <v>401</v>
      </c>
      <c r="B113" s="7" t="s">
        <v>24</v>
      </c>
      <c r="C113" s="8" t="s">
        <v>402</v>
      </c>
      <c r="D113" s="8" t="s">
        <v>69</v>
      </c>
      <c r="E113" s="8" t="s">
        <v>156</v>
      </c>
      <c r="F113" s="8" t="s">
        <v>65</v>
      </c>
      <c r="G113" s="8" t="s">
        <v>153</v>
      </c>
    </row>
    <row r="114" spans="1:7" ht="15" customHeight="1" x14ac:dyDescent="0.25">
      <c r="A114" s="7" t="s">
        <v>403</v>
      </c>
      <c r="B114" s="7" t="s">
        <v>100</v>
      </c>
      <c r="C114" s="8" t="s">
        <v>404</v>
      </c>
      <c r="D114" s="8" t="s">
        <v>405</v>
      </c>
      <c r="E114" s="8" t="s">
        <v>73</v>
      </c>
      <c r="F114" s="8" t="s">
        <v>65</v>
      </c>
      <c r="G114" s="8" t="s">
        <v>406</v>
      </c>
    </row>
    <row r="115" spans="1:7" ht="15" customHeight="1" x14ac:dyDescent="0.25">
      <c r="A115" s="7" t="s">
        <v>407</v>
      </c>
      <c r="B115" s="7" t="s">
        <v>24</v>
      </c>
      <c r="C115" s="8" t="s">
        <v>25</v>
      </c>
      <c r="D115" s="8" t="s">
        <v>69</v>
      </c>
      <c r="E115" s="8" t="s">
        <v>94</v>
      </c>
      <c r="F115" s="8" t="s">
        <v>59</v>
      </c>
      <c r="G115" s="8" t="s">
        <v>301</v>
      </c>
    </row>
    <row r="116" spans="1:7" ht="15" customHeight="1" x14ac:dyDescent="0.25">
      <c r="A116" s="7" t="s">
        <v>408</v>
      </c>
      <c r="B116" s="7" t="s">
        <v>213</v>
      </c>
      <c r="C116" s="8" t="s">
        <v>25</v>
      </c>
      <c r="D116" s="8" t="s">
        <v>149</v>
      </c>
      <c r="E116" s="8" t="s">
        <v>169</v>
      </c>
      <c r="F116" s="8" t="s">
        <v>119</v>
      </c>
      <c r="G116" s="8" t="s">
        <v>409</v>
      </c>
    </row>
    <row r="117" spans="1:7" ht="15" customHeight="1" x14ac:dyDescent="0.25">
      <c r="A117" s="7" t="s">
        <v>410</v>
      </c>
      <c r="B117" s="7" t="s">
        <v>24</v>
      </c>
      <c r="C117" s="8" t="s">
        <v>411</v>
      </c>
      <c r="D117" s="8" t="s">
        <v>25</v>
      </c>
      <c r="E117" s="8" t="s">
        <v>281</v>
      </c>
      <c r="F117" s="8" t="s">
        <v>59</v>
      </c>
      <c r="G117" s="8" t="s">
        <v>412</v>
      </c>
    </row>
    <row r="118" spans="1:7" ht="15" customHeight="1" x14ac:dyDescent="0.25">
      <c r="A118" s="7" t="s">
        <v>413</v>
      </c>
      <c r="B118" s="7" t="s">
        <v>213</v>
      </c>
      <c r="C118" s="8" t="s">
        <v>327</v>
      </c>
      <c r="D118" s="8" t="s">
        <v>149</v>
      </c>
      <c r="E118" s="8" t="s">
        <v>211</v>
      </c>
      <c r="F118" s="8" t="s">
        <v>214</v>
      </c>
      <c r="G118" s="8" t="s">
        <v>414</v>
      </c>
    </row>
    <row r="119" spans="1:7" ht="15" customHeight="1" x14ac:dyDescent="0.25">
      <c r="A119" s="7" t="s">
        <v>415</v>
      </c>
      <c r="B119" s="7" t="s">
        <v>24</v>
      </c>
      <c r="C119" s="8" t="s">
        <v>416</v>
      </c>
      <c r="D119" s="8" t="s">
        <v>69</v>
      </c>
      <c r="E119" s="8" t="s">
        <v>58</v>
      </c>
      <c r="F119" s="8" t="s">
        <v>417</v>
      </c>
      <c r="G119" s="8" t="s">
        <v>418</v>
      </c>
    </row>
    <row r="120" spans="1:7" ht="15" customHeight="1" x14ac:dyDescent="0.25">
      <c r="A120" s="7" t="s">
        <v>419</v>
      </c>
      <c r="B120" s="7" t="s">
        <v>24</v>
      </c>
      <c r="C120" s="8" t="s">
        <v>51</v>
      </c>
      <c r="D120" s="8" t="s">
        <v>69</v>
      </c>
      <c r="E120" s="8" t="s">
        <v>53</v>
      </c>
      <c r="F120" s="8" t="s">
        <v>34</v>
      </c>
      <c r="G120" s="8" t="s">
        <v>267</v>
      </c>
    </row>
    <row r="121" spans="1:7" ht="15" customHeight="1" x14ac:dyDescent="0.25">
      <c r="A121" s="7" t="s">
        <v>420</v>
      </c>
      <c r="B121" s="7" t="s">
        <v>24</v>
      </c>
      <c r="C121" s="8" t="s">
        <v>421</v>
      </c>
      <c r="D121" s="8" t="s">
        <v>90</v>
      </c>
      <c r="E121" s="8" t="s">
        <v>328</v>
      </c>
      <c r="F121" s="8" t="s">
        <v>363</v>
      </c>
      <c r="G121" s="8" t="s">
        <v>422</v>
      </c>
    </row>
    <row r="122" spans="1:7" ht="15" customHeight="1" x14ac:dyDescent="0.25">
      <c r="A122" s="7" t="s">
        <v>423</v>
      </c>
      <c r="B122" s="7" t="s">
        <v>24</v>
      </c>
      <c r="C122" s="8" t="s">
        <v>195</v>
      </c>
      <c r="D122" s="8" t="s">
        <v>149</v>
      </c>
      <c r="E122" s="8" t="s">
        <v>424</v>
      </c>
      <c r="F122" s="8" t="s">
        <v>86</v>
      </c>
      <c r="G122" s="8" t="s">
        <v>425</v>
      </c>
    </row>
    <row r="123" spans="1:7" ht="15" customHeight="1" x14ac:dyDescent="0.25">
      <c r="A123" s="7" t="s">
        <v>426</v>
      </c>
      <c r="B123" s="7" t="s">
        <v>213</v>
      </c>
      <c r="C123" s="8" t="s">
        <v>250</v>
      </c>
      <c r="D123" s="8" t="s">
        <v>314</v>
      </c>
      <c r="E123" s="8" t="s">
        <v>80</v>
      </c>
      <c r="F123" s="8" t="s">
        <v>123</v>
      </c>
      <c r="G123" s="8" t="s">
        <v>427</v>
      </c>
    </row>
    <row r="124" spans="1:7" ht="15" customHeight="1" x14ac:dyDescent="0.25">
      <c r="A124" s="7" t="s">
        <v>428</v>
      </c>
      <c r="B124" s="7" t="s">
        <v>100</v>
      </c>
      <c r="C124" s="8" t="s">
        <v>429</v>
      </c>
      <c r="D124" s="8" t="s">
        <v>245</v>
      </c>
      <c r="E124" s="8" t="s">
        <v>281</v>
      </c>
      <c r="F124" s="8" t="s">
        <v>65</v>
      </c>
      <c r="G124" s="8" t="s">
        <v>430</v>
      </c>
    </row>
    <row r="125" spans="1:7" ht="15" customHeight="1" x14ac:dyDescent="0.25">
      <c r="A125" s="7" t="s">
        <v>431</v>
      </c>
      <c r="B125" s="7" t="s">
        <v>100</v>
      </c>
      <c r="C125" s="8" t="s">
        <v>432</v>
      </c>
      <c r="D125" s="8" t="s">
        <v>433</v>
      </c>
      <c r="E125" s="8" t="s">
        <v>44</v>
      </c>
      <c r="F125" s="8" t="s">
        <v>59</v>
      </c>
      <c r="G125" s="8" t="s">
        <v>434</v>
      </c>
    </row>
    <row r="126" spans="1:7" ht="15" customHeight="1" x14ac:dyDescent="0.25">
      <c r="A126" s="7" t="s">
        <v>435</v>
      </c>
      <c r="B126" s="7" t="s">
        <v>100</v>
      </c>
      <c r="C126" s="8" t="s">
        <v>180</v>
      </c>
      <c r="D126" s="8" t="s">
        <v>436</v>
      </c>
      <c r="E126" s="8" t="s">
        <v>247</v>
      </c>
      <c r="F126" s="8" t="s">
        <v>28</v>
      </c>
      <c r="G126" s="8" t="s">
        <v>272</v>
      </c>
    </row>
    <row r="127" spans="1:7" ht="15" customHeight="1" x14ac:dyDescent="0.25">
      <c r="A127" s="7" t="s">
        <v>437</v>
      </c>
      <c r="B127" s="7" t="s">
        <v>82</v>
      </c>
      <c r="C127" s="8" t="s">
        <v>79</v>
      </c>
      <c r="D127" s="8" t="s">
        <v>438</v>
      </c>
      <c r="E127" s="8" t="s">
        <v>44</v>
      </c>
      <c r="F127" s="8" t="s">
        <v>59</v>
      </c>
      <c r="G127" s="8" t="s">
        <v>439</v>
      </c>
    </row>
    <row r="128" spans="1:7" ht="15" customHeight="1" x14ac:dyDescent="0.25">
      <c r="A128" s="7" t="s">
        <v>440</v>
      </c>
      <c r="B128" s="7" t="s">
        <v>82</v>
      </c>
      <c r="C128" s="8" t="s">
        <v>62</v>
      </c>
      <c r="D128" s="8" t="s">
        <v>441</v>
      </c>
      <c r="E128" s="8" t="s">
        <v>228</v>
      </c>
      <c r="F128" s="8" t="s">
        <v>65</v>
      </c>
      <c r="G128" s="8" t="s">
        <v>442</v>
      </c>
    </row>
    <row r="129" spans="1:7" ht="15" customHeight="1" x14ac:dyDescent="0.25">
      <c r="A129" s="7" t="s">
        <v>443</v>
      </c>
      <c r="B129" s="7" t="s">
        <v>100</v>
      </c>
      <c r="C129" s="8" t="s">
        <v>444</v>
      </c>
      <c r="D129" s="8" t="s">
        <v>445</v>
      </c>
      <c r="E129" s="8" t="s">
        <v>27</v>
      </c>
      <c r="F129" s="8" t="s">
        <v>28</v>
      </c>
      <c r="G129" s="8" t="s">
        <v>446</v>
      </c>
    </row>
    <row r="130" spans="1:7" ht="15" customHeight="1" x14ac:dyDescent="0.25">
      <c r="A130" s="7" t="s">
        <v>447</v>
      </c>
      <c r="B130" s="7" t="s">
        <v>213</v>
      </c>
      <c r="C130" s="8" t="s">
        <v>32</v>
      </c>
      <c r="D130" s="8" t="s">
        <v>165</v>
      </c>
      <c r="E130" s="8" t="s">
        <v>136</v>
      </c>
      <c r="F130" s="8" t="s">
        <v>28</v>
      </c>
      <c r="G130" s="8" t="s">
        <v>448</v>
      </c>
    </row>
    <row r="131" spans="1:7" ht="15" customHeight="1" x14ac:dyDescent="0.25">
      <c r="A131" s="7" t="s">
        <v>449</v>
      </c>
      <c r="B131" s="7" t="s">
        <v>450</v>
      </c>
      <c r="C131" s="8" t="s">
        <v>451</v>
      </c>
      <c r="D131" s="8" t="s">
        <v>452</v>
      </c>
      <c r="E131" s="8" t="s">
        <v>453</v>
      </c>
      <c r="F131" s="8" t="s">
        <v>86</v>
      </c>
      <c r="G131" s="8" t="s">
        <v>454</v>
      </c>
    </row>
    <row r="132" spans="1:7" ht="15" customHeight="1" x14ac:dyDescent="0.25">
      <c r="A132" s="7" t="s">
        <v>455</v>
      </c>
      <c r="B132" s="7" t="s">
        <v>100</v>
      </c>
      <c r="C132" s="8" t="s">
        <v>456</v>
      </c>
      <c r="D132" s="8" t="s">
        <v>457</v>
      </c>
      <c r="E132" s="8" t="s">
        <v>262</v>
      </c>
      <c r="F132" s="8" t="s">
        <v>65</v>
      </c>
      <c r="G132" s="8" t="s">
        <v>137</v>
      </c>
    </row>
    <row r="133" spans="1:7" ht="15" customHeight="1" x14ac:dyDescent="0.25">
      <c r="A133" s="7" t="s">
        <v>458</v>
      </c>
      <c r="B133" s="7" t="s">
        <v>24</v>
      </c>
      <c r="C133" s="8" t="s">
        <v>25</v>
      </c>
      <c r="D133" s="8" t="s">
        <v>69</v>
      </c>
      <c r="E133" s="8" t="s">
        <v>94</v>
      </c>
      <c r="F133" s="8" t="s">
        <v>65</v>
      </c>
      <c r="G133" s="8" t="s">
        <v>386</v>
      </c>
    </row>
    <row r="134" spans="1:7" ht="15" customHeight="1" x14ac:dyDescent="0.25">
      <c r="A134" s="7" t="s">
        <v>459</v>
      </c>
      <c r="B134" s="7" t="s">
        <v>460</v>
      </c>
      <c r="C134" s="8" t="s">
        <v>32</v>
      </c>
      <c r="D134" s="8" t="s">
        <v>327</v>
      </c>
      <c r="E134" s="8" t="s">
        <v>156</v>
      </c>
      <c r="F134" s="8" t="s">
        <v>34</v>
      </c>
      <c r="G134" s="8" t="s">
        <v>461</v>
      </c>
    </row>
    <row r="135" spans="1:7" ht="15" customHeight="1" x14ac:dyDescent="0.25">
      <c r="A135" s="7" t="s">
        <v>462</v>
      </c>
      <c r="B135" s="7" t="s">
        <v>24</v>
      </c>
      <c r="C135" s="8" t="s">
        <v>159</v>
      </c>
      <c r="D135" s="8" t="s">
        <v>63</v>
      </c>
      <c r="E135" s="8" t="s">
        <v>463</v>
      </c>
      <c r="F135" s="8" t="s">
        <v>39</v>
      </c>
      <c r="G135" s="8" t="s">
        <v>464</v>
      </c>
    </row>
    <row r="136" spans="1:7" ht="15" customHeight="1" x14ac:dyDescent="0.25">
      <c r="A136" s="7" t="s">
        <v>465</v>
      </c>
      <c r="B136" s="7" t="s">
        <v>24</v>
      </c>
      <c r="C136" s="8" t="s">
        <v>466</v>
      </c>
      <c r="D136" s="8" t="s">
        <v>467</v>
      </c>
      <c r="E136" s="8" t="s">
        <v>239</v>
      </c>
      <c r="F136" s="8" t="s">
        <v>28</v>
      </c>
      <c r="G136" s="8" t="s">
        <v>468</v>
      </c>
    </row>
    <row r="137" spans="1:7" ht="15" customHeight="1" x14ac:dyDescent="0.25">
      <c r="A137" s="7" t="s">
        <v>469</v>
      </c>
      <c r="B137" s="7" t="s">
        <v>100</v>
      </c>
      <c r="C137" s="8" t="s">
        <v>308</v>
      </c>
      <c r="D137" s="8" t="s">
        <v>470</v>
      </c>
      <c r="E137" s="8" t="s">
        <v>107</v>
      </c>
      <c r="F137" s="8" t="s">
        <v>65</v>
      </c>
      <c r="G137" s="8" t="s">
        <v>471</v>
      </c>
    </row>
    <row r="138" spans="1:7" ht="15" customHeight="1" x14ac:dyDescent="0.25">
      <c r="A138" s="7" t="s">
        <v>472</v>
      </c>
      <c r="B138" s="7" t="s">
        <v>24</v>
      </c>
      <c r="C138" s="8" t="s">
        <v>106</v>
      </c>
      <c r="D138" s="8" t="s">
        <v>473</v>
      </c>
      <c r="E138" s="8" t="s">
        <v>156</v>
      </c>
      <c r="F138" s="8" t="s">
        <v>39</v>
      </c>
      <c r="G138" s="8" t="s">
        <v>170</v>
      </c>
    </row>
    <row r="139" spans="1:7" ht="15" customHeight="1" x14ac:dyDescent="0.25">
      <c r="A139" s="7" t="s">
        <v>474</v>
      </c>
      <c r="B139" s="7" t="s">
        <v>82</v>
      </c>
      <c r="C139" s="8" t="s">
        <v>69</v>
      </c>
      <c r="D139" s="8" t="s">
        <v>475</v>
      </c>
      <c r="E139" s="8" t="s">
        <v>206</v>
      </c>
      <c r="F139" s="8" t="s">
        <v>476</v>
      </c>
      <c r="G139" s="8" t="s">
        <v>477</v>
      </c>
    </row>
    <row r="140" spans="1:7" ht="15" customHeight="1" x14ac:dyDescent="0.25">
      <c r="A140" s="7" t="s">
        <v>478</v>
      </c>
      <c r="B140" s="7" t="s">
        <v>213</v>
      </c>
      <c r="C140" s="8" t="s">
        <v>25</v>
      </c>
      <c r="D140" s="8" t="s">
        <v>25</v>
      </c>
      <c r="E140" s="8" t="s">
        <v>166</v>
      </c>
      <c r="F140" s="8" t="s">
        <v>39</v>
      </c>
      <c r="G140" s="8" t="s">
        <v>425</v>
      </c>
    </row>
    <row r="141" spans="1:7" ht="15" customHeight="1" x14ac:dyDescent="0.25">
      <c r="A141" s="7" t="s">
        <v>479</v>
      </c>
      <c r="B141" s="7" t="s">
        <v>24</v>
      </c>
      <c r="C141" s="8" t="s">
        <v>32</v>
      </c>
      <c r="D141" s="8" t="s">
        <v>43</v>
      </c>
      <c r="E141" s="8" t="s">
        <v>70</v>
      </c>
      <c r="F141" s="8" t="s">
        <v>65</v>
      </c>
      <c r="G141" s="8" t="s">
        <v>153</v>
      </c>
    </row>
    <row r="142" spans="1:7" ht="15" customHeight="1" x14ac:dyDescent="0.25">
      <c r="A142" s="7" t="s">
        <v>480</v>
      </c>
      <c r="B142" s="7" t="s">
        <v>24</v>
      </c>
      <c r="C142" s="8" t="s">
        <v>25</v>
      </c>
      <c r="D142" s="8" t="s">
        <v>26</v>
      </c>
      <c r="E142" s="8" t="s">
        <v>27</v>
      </c>
      <c r="F142" s="8" t="s">
        <v>59</v>
      </c>
      <c r="G142" s="8" t="s">
        <v>481</v>
      </c>
    </row>
    <row r="143" spans="1:7" ht="15" customHeight="1" x14ac:dyDescent="0.25">
      <c r="A143" s="7" t="s">
        <v>482</v>
      </c>
      <c r="B143" s="7" t="s">
        <v>68</v>
      </c>
      <c r="C143" s="8" t="s">
        <v>483</v>
      </c>
      <c r="D143" s="8" t="s">
        <v>285</v>
      </c>
      <c r="E143" s="8" t="s">
        <v>33</v>
      </c>
      <c r="F143" s="8" t="s">
        <v>86</v>
      </c>
      <c r="G143" s="8" t="s">
        <v>223</v>
      </c>
    </row>
    <row r="144" spans="1:7" ht="15" customHeight="1" x14ac:dyDescent="0.25">
      <c r="A144" s="7" t="s">
        <v>484</v>
      </c>
      <c r="B144" s="7" t="s">
        <v>213</v>
      </c>
      <c r="C144" s="8" t="s">
        <v>485</v>
      </c>
      <c r="D144" s="8" t="s">
        <v>26</v>
      </c>
      <c r="E144" s="8" t="s">
        <v>463</v>
      </c>
      <c r="F144" s="8" t="s">
        <v>486</v>
      </c>
      <c r="G144" s="8" t="s">
        <v>487</v>
      </c>
    </row>
    <row r="145" spans="1:7" ht="15" customHeight="1" x14ac:dyDescent="0.25">
      <c r="A145" s="7" t="s">
        <v>488</v>
      </c>
      <c r="B145" s="7" t="s">
        <v>68</v>
      </c>
      <c r="C145" s="8" t="s">
        <v>489</v>
      </c>
      <c r="D145" s="8" t="s">
        <v>490</v>
      </c>
      <c r="E145" s="8" t="s">
        <v>103</v>
      </c>
      <c r="F145" s="8" t="s">
        <v>28</v>
      </c>
      <c r="G145" s="8" t="s">
        <v>491</v>
      </c>
    </row>
    <row r="146" spans="1:7" ht="15" customHeight="1" x14ac:dyDescent="0.25">
      <c r="A146" s="7" t="s">
        <v>492</v>
      </c>
      <c r="B146" s="7" t="s">
        <v>100</v>
      </c>
      <c r="C146" s="8" t="s">
        <v>444</v>
      </c>
      <c r="D146" s="8" t="s">
        <v>233</v>
      </c>
      <c r="E146" s="8" t="s">
        <v>64</v>
      </c>
      <c r="F146" s="8" t="s">
        <v>28</v>
      </c>
      <c r="G146" s="8" t="s">
        <v>493</v>
      </c>
    </row>
    <row r="147" spans="1:7" ht="15" customHeight="1" x14ac:dyDescent="0.25">
      <c r="A147" s="7" t="s">
        <v>494</v>
      </c>
      <c r="B147" s="7" t="s">
        <v>213</v>
      </c>
      <c r="C147" s="8" t="s">
        <v>495</v>
      </c>
      <c r="D147" s="8" t="s">
        <v>57</v>
      </c>
      <c r="E147" s="8" t="s">
        <v>48</v>
      </c>
      <c r="F147" s="8" t="s">
        <v>123</v>
      </c>
      <c r="G147" s="8" t="s">
        <v>496</v>
      </c>
    </row>
    <row r="148" spans="1:7" ht="15" customHeight="1" x14ac:dyDescent="0.25">
      <c r="A148" s="7" t="s">
        <v>497</v>
      </c>
      <c r="B148" s="7" t="s">
        <v>24</v>
      </c>
      <c r="C148" s="8" t="s">
        <v>69</v>
      </c>
      <c r="D148" s="8" t="s">
        <v>227</v>
      </c>
      <c r="E148" s="8" t="s">
        <v>372</v>
      </c>
      <c r="F148" s="8" t="s">
        <v>119</v>
      </c>
      <c r="G148" s="8" t="s">
        <v>498</v>
      </c>
    </row>
    <row r="149" spans="1:7" ht="15" customHeight="1" x14ac:dyDescent="0.25">
      <c r="A149" s="7" t="s">
        <v>499</v>
      </c>
      <c r="B149" s="7" t="s">
        <v>24</v>
      </c>
      <c r="C149" s="8" t="s">
        <v>57</v>
      </c>
      <c r="D149" s="8" t="s">
        <v>90</v>
      </c>
      <c r="E149" s="8" t="s">
        <v>103</v>
      </c>
      <c r="F149" s="8" t="s">
        <v>28</v>
      </c>
      <c r="G149" s="8" t="s">
        <v>500</v>
      </c>
    </row>
    <row r="150" spans="1:7" ht="15" customHeight="1" x14ac:dyDescent="0.25">
      <c r="A150" s="7" t="s">
        <v>501</v>
      </c>
      <c r="B150" s="7" t="s">
        <v>502</v>
      </c>
      <c r="C150" s="8" t="s">
        <v>503</v>
      </c>
      <c r="D150" s="8" t="s">
        <v>165</v>
      </c>
      <c r="E150" s="8" t="s">
        <v>262</v>
      </c>
      <c r="F150" s="8" t="s">
        <v>28</v>
      </c>
      <c r="G150" s="8" t="s">
        <v>504</v>
      </c>
    </row>
    <row r="151" spans="1:7" ht="15" customHeight="1" x14ac:dyDescent="0.25">
      <c r="A151" s="7" t="s">
        <v>505</v>
      </c>
      <c r="B151" s="7" t="s">
        <v>24</v>
      </c>
      <c r="C151" s="8" t="s">
        <v>506</v>
      </c>
      <c r="D151" s="8" t="s">
        <v>43</v>
      </c>
      <c r="E151" s="8" t="s">
        <v>281</v>
      </c>
      <c r="F151" s="8" t="s">
        <v>28</v>
      </c>
      <c r="G151" s="8" t="s">
        <v>507</v>
      </c>
    </row>
    <row r="152" spans="1:7" ht="15" customHeight="1" x14ac:dyDescent="0.25">
      <c r="A152" s="7" t="s">
        <v>508</v>
      </c>
      <c r="B152" s="7" t="s">
        <v>100</v>
      </c>
      <c r="C152" s="8" t="s">
        <v>509</v>
      </c>
      <c r="D152" s="8" t="s">
        <v>393</v>
      </c>
      <c r="E152" s="8" t="s">
        <v>239</v>
      </c>
      <c r="F152" s="8" t="s">
        <v>59</v>
      </c>
      <c r="G152" s="8" t="s">
        <v>510</v>
      </c>
    </row>
    <row r="153" spans="1:7" ht="15" customHeight="1" x14ac:dyDescent="0.25">
      <c r="A153" s="7" t="s">
        <v>511</v>
      </c>
      <c r="B153" s="7" t="s">
        <v>24</v>
      </c>
      <c r="C153" s="8" t="s">
        <v>75</v>
      </c>
      <c r="D153" s="8" t="s">
        <v>26</v>
      </c>
      <c r="E153" s="8" t="s">
        <v>85</v>
      </c>
      <c r="F153" s="8" t="s">
        <v>65</v>
      </c>
      <c r="G153" s="8" t="s">
        <v>163</v>
      </c>
    </row>
    <row r="154" spans="1:7" ht="15" customHeight="1" x14ac:dyDescent="0.25">
      <c r="A154" s="7" t="s">
        <v>512</v>
      </c>
      <c r="B154" s="7" t="s">
        <v>100</v>
      </c>
      <c r="C154" s="8" t="s">
        <v>513</v>
      </c>
      <c r="D154" s="8" t="s">
        <v>514</v>
      </c>
      <c r="E154" s="8" t="s">
        <v>515</v>
      </c>
      <c r="F154" s="8" t="s">
        <v>65</v>
      </c>
      <c r="G154" s="8" t="s">
        <v>128</v>
      </c>
    </row>
    <row r="155" spans="1:7" ht="15" customHeight="1" x14ac:dyDescent="0.25">
      <c r="A155" s="7" t="s">
        <v>516</v>
      </c>
      <c r="B155" s="7" t="s">
        <v>24</v>
      </c>
      <c r="C155" s="8" t="s">
        <v>57</v>
      </c>
      <c r="D155" s="8" t="s">
        <v>327</v>
      </c>
      <c r="E155" s="8" t="s">
        <v>228</v>
      </c>
      <c r="F155" s="8" t="s">
        <v>65</v>
      </c>
      <c r="G155" s="8" t="s">
        <v>66</v>
      </c>
    </row>
    <row r="156" spans="1:7" ht="15" customHeight="1" x14ac:dyDescent="0.25">
      <c r="A156" s="7" t="s">
        <v>517</v>
      </c>
      <c r="B156" s="7" t="s">
        <v>68</v>
      </c>
      <c r="C156" s="8" t="s">
        <v>106</v>
      </c>
      <c r="D156" s="8" t="s">
        <v>25</v>
      </c>
      <c r="E156" s="8" t="s">
        <v>107</v>
      </c>
      <c r="F156" s="8" t="s">
        <v>321</v>
      </c>
      <c r="G156" s="8" t="s">
        <v>518</v>
      </c>
    </row>
    <row r="157" spans="1:7" ht="15" customHeight="1" x14ac:dyDescent="0.25">
      <c r="A157" s="7" t="s">
        <v>519</v>
      </c>
      <c r="B157" s="7" t="s">
        <v>213</v>
      </c>
      <c r="C157" s="8" t="s">
        <v>25</v>
      </c>
      <c r="D157" s="8" t="s">
        <v>79</v>
      </c>
      <c r="E157" s="8" t="s">
        <v>70</v>
      </c>
      <c r="F157" s="8" t="s">
        <v>65</v>
      </c>
      <c r="G157" s="8" t="s">
        <v>520</v>
      </c>
    </row>
    <row r="158" spans="1:7" ht="15" customHeight="1" x14ac:dyDescent="0.25">
      <c r="A158" s="7" t="s">
        <v>521</v>
      </c>
      <c r="B158" s="7" t="s">
        <v>24</v>
      </c>
      <c r="C158" s="8" t="s">
        <v>250</v>
      </c>
      <c r="D158" s="8" t="s">
        <v>149</v>
      </c>
      <c r="E158" s="8" t="s">
        <v>144</v>
      </c>
      <c r="F158" s="8" t="s">
        <v>86</v>
      </c>
      <c r="G158" s="8" t="s">
        <v>425</v>
      </c>
    </row>
    <row r="159" spans="1:7" ht="15" customHeight="1" x14ac:dyDescent="0.25">
      <c r="A159" s="7" t="s">
        <v>522</v>
      </c>
      <c r="B159" s="7" t="s">
        <v>523</v>
      </c>
      <c r="C159" s="8" t="s">
        <v>524</v>
      </c>
      <c r="D159" s="8" t="s">
        <v>404</v>
      </c>
      <c r="E159" s="8" t="s">
        <v>127</v>
      </c>
      <c r="F159" s="8" t="s">
        <v>39</v>
      </c>
      <c r="G159" s="8" t="s">
        <v>525</v>
      </c>
    </row>
    <row r="160" spans="1:7" ht="15" customHeight="1" x14ac:dyDescent="0.25">
      <c r="A160" s="7" t="s">
        <v>526</v>
      </c>
      <c r="B160" s="7" t="s">
        <v>82</v>
      </c>
      <c r="C160" s="8" t="s">
        <v>527</v>
      </c>
      <c r="D160" s="8" t="s">
        <v>250</v>
      </c>
      <c r="E160" s="8" t="s">
        <v>206</v>
      </c>
      <c r="F160" s="8" t="s">
        <v>59</v>
      </c>
      <c r="G160" s="8" t="s">
        <v>528</v>
      </c>
    </row>
    <row r="161" spans="1:7" ht="15" customHeight="1" x14ac:dyDescent="0.25">
      <c r="A161" s="7" t="s">
        <v>529</v>
      </c>
      <c r="B161" s="7" t="s">
        <v>213</v>
      </c>
      <c r="C161" s="8" t="s">
        <v>25</v>
      </c>
      <c r="D161" s="8" t="s">
        <v>90</v>
      </c>
      <c r="E161" s="8" t="s">
        <v>254</v>
      </c>
      <c r="F161" s="8" t="s">
        <v>39</v>
      </c>
      <c r="G161" s="8" t="s">
        <v>530</v>
      </c>
    </row>
    <row r="162" spans="1:7" ht="15" customHeight="1" x14ac:dyDescent="0.25">
      <c r="A162" s="7" t="s">
        <v>531</v>
      </c>
      <c r="B162" s="7" t="s">
        <v>502</v>
      </c>
      <c r="C162" s="8" t="s">
        <v>532</v>
      </c>
      <c r="D162" s="8" t="s">
        <v>533</v>
      </c>
      <c r="E162" s="8" t="s">
        <v>336</v>
      </c>
      <c r="F162" s="8" t="s">
        <v>34</v>
      </c>
      <c r="G162" s="8" t="s">
        <v>534</v>
      </c>
    </row>
    <row r="163" spans="1:7" ht="15" customHeight="1" x14ac:dyDescent="0.25">
      <c r="A163" s="7" t="s">
        <v>535</v>
      </c>
      <c r="B163" s="7" t="s">
        <v>24</v>
      </c>
      <c r="C163" s="8" t="s">
        <v>75</v>
      </c>
      <c r="D163" s="8" t="s">
        <v>69</v>
      </c>
      <c r="E163" s="8" t="s">
        <v>346</v>
      </c>
      <c r="F163" s="8" t="s">
        <v>65</v>
      </c>
      <c r="G163" s="8" t="s">
        <v>536</v>
      </c>
    </row>
    <row r="164" spans="1:7" ht="15" customHeight="1" x14ac:dyDescent="0.25">
      <c r="A164" s="7" t="s">
        <v>537</v>
      </c>
      <c r="B164" s="7" t="s">
        <v>24</v>
      </c>
      <c r="C164" s="8" t="s">
        <v>51</v>
      </c>
      <c r="D164" s="8" t="s">
        <v>57</v>
      </c>
      <c r="E164" s="8" t="s">
        <v>131</v>
      </c>
      <c r="F164" s="8" t="s">
        <v>34</v>
      </c>
      <c r="G164" s="8" t="s">
        <v>299</v>
      </c>
    </row>
    <row r="165" spans="1:7" ht="15" customHeight="1" x14ac:dyDescent="0.25">
      <c r="A165" s="7" t="s">
        <v>538</v>
      </c>
      <c r="B165" s="7" t="s">
        <v>24</v>
      </c>
      <c r="C165" s="8" t="s">
        <v>51</v>
      </c>
      <c r="D165" s="8" t="s">
        <v>25</v>
      </c>
      <c r="E165" s="8" t="s">
        <v>80</v>
      </c>
      <c r="F165" s="8" t="s">
        <v>39</v>
      </c>
      <c r="G165" s="8" t="s">
        <v>539</v>
      </c>
    </row>
    <row r="166" spans="1:7" ht="15" customHeight="1" x14ac:dyDescent="0.25">
      <c r="A166" s="7" t="s">
        <v>540</v>
      </c>
      <c r="B166" s="7" t="s">
        <v>24</v>
      </c>
      <c r="C166" s="8" t="s">
        <v>165</v>
      </c>
      <c r="D166" s="8" t="s">
        <v>377</v>
      </c>
      <c r="E166" s="8" t="s">
        <v>541</v>
      </c>
      <c r="F166" s="8" t="s">
        <v>119</v>
      </c>
      <c r="G166" s="8" t="s">
        <v>542</v>
      </c>
    </row>
    <row r="167" spans="1:7" ht="15" customHeight="1" x14ac:dyDescent="0.25">
      <c r="A167" s="7" t="s">
        <v>543</v>
      </c>
      <c r="B167" s="7" t="s">
        <v>213</v>
      </c>
      <c r="C167" s="8" t="s">
        <v>63</v>
      </c>
      <c r="D167" s="8" t="s">
        <v>220</v>
      </c>
      <c r="E167" s="8" t="s">
        <v>328</v>
      </c>
      <c r="F167" s="8" t="s">
        <v>39</v>
      </c>
      <c r="G167" s="8" t="s">
        <v>544</v>
      </c>
    </row>
    <row r="168" spans="1:7" ht="15" customHeight="1" x14ac:dyDescent="0.25">
      <c r="A168" s="7" t="s">
        <v>545</v>
      </c>
      <c r="B168" s="7" t="s">
        <v>24</v>
      </c>
      <c r="C168" s="8" t="s">
        <v>25</v>
      </c>
      <c r="D168" s="8" t="s">
        <v>327</v>
      </c>
      <c r="E168" s="8" t="s">
        <v>85</v>
      </c>
      <c r="F168" s="8" t="s">
        <v>28</v>
      </c>
      <c r="G168" s="8" t="s">
        <v>384</v>
      </c>
    </row>
    <row r="169" spans="1:7" ht="15" customHeight="1" x14ac:dyDescent="0.25">
      <c r="A169" s="7" t="s">
        <v>546</v>
      </c>
      <c r="B169" s="7" t="s">
        <v>213</v>
      </c>
      <c r="C169" s="8" t="s">
        <v>75</v>
      </c>
      <c r="D169" s="8" t="s">
        <v>149</v>
      </c>
      <c r="E169" s="8" t="s">
        <v>547</v>
      </c>
      <c r="F169" s="8" t="s">
        <v>34</v>
      </c>
      <c r="G169" s="8" t="s">
        <v>548</v>
      </c>
    </row>
    <row r="170" spans="1:7" ht="15" customHeight="1" x14ac:dyDescent="0.25">
      <c r="A170" s="7" t="s">
        <v>549</v>
      </c>
      <c r="B170" s="7" t="s">
        <v>100</v>
      </c>
      <c r="C170" s="8" t="s">
        <v>550</v>
      </c>
      <c r="D170" s="8" t="s">
        <v>551</v>
      </c>
      <c r="E170" s="8" t="s">
        <v>118</v>
      </c>
      <c r="F170" s="8" t="s">
        <v>65</v>
      </c>
      <c r="G170" s="8" t="s">
        <v>552</v>
      </c>
    </row>
    <row r="171" spans="1:7" ht="15" customHeight="1" x14ac:dyDescent="0.25">
      <c r="A171" s="7" t="s">
        <v>553</v>
      </c>
      <c r="B171" s="7" t="s">
        <v>24</v>
      </c>
      <c r="C171" s="8" t="s">
        <v>106</v>
      </c>
      <c r="D171" s="8" t="s">
        <v>25</v>
      </c>
      <c r="E171" s="8" t="s">
        <v>107</v>
      </c>
      <c r="F171" s="8" t="s">
        <v>34</v>
      </c>
      <c r="G171" s="8" t="s">
        <v>554</v>
      </c>
    </row>
    <row r="172" spans="1:7" ht="15" customHeight="1" x14ac:dyDescent="0.25">
      <c r="A172" s="7" t="s">
        <v>555</v>
      </c>
      <c r="B172" s="7" t="s">
        <v>68</v>
      </c>
      <c r="C172" s="8" t="s">
        <v>243</v>
      </c>
      <c r="D172" s="8" t="s">
        <v>556</v>
      </c>
      <c r="E172" s="8" t="s">
        <v>103</v>
      </c>
      <c r="F172" s="8" t="s">
        <v>86</v>
      </c>
      <c r="G172" s="8" t="s">
        <v>557</v>
      </c>
    </row>
    <row r="173" spans="1:7" ht="15" customHeight="1" x14ac:dyDescent="0.25">
      <c r="A173" s="7" t="s">
        <v>558</v>
      </c>
      <c r="B173" s="7" t="s">
        <v>100</v>
      </c>
      <c r="C173" s="8" t="s">
        <v>180</v>
      </c>
      <c r="D173" s="8" t="s">
        <v>559</v>
      </c>
      <c r="E173" s="8" t="s">
        <v>262</v>
      </c>
      <c r="F173" s="8" t="s">
        <v>65</v>
      </c>
      <c r="G173" s="8" t="s">
        <v>137</v>
      </c>
    </row>
    <row r="174" spans="1:7" ht="15" customHeight="1" x14ac:dyDescent="0.25">
      <c r="A174" s="7" t="s">
        <v>560</v>
      </c>
      <c r="B174" s="7" t="s">
        <v>24</v>
      </c>
      <c r="C174" s="8" t="s">
        <v>51</v>
      </c>
      <c r="D174" s="8" t="s">
        <v>25</v>
      </c>
      <c r="E174" s="8" t="s">
        <v>80</v>
      </c>
      <c r="F174" s="8" t="s">
        <v>34</v>
      </c>
      <c r="G174" s="8" t="s">
        <v>305</v>
      </c>
    </row>
    <row r="175" spans="1:7" ht="15" customHeight="1" x14ac:dyDescent="0.25">
      <c r="A175" s="7" t="s">
        <v>561</v>
      </c>
      <c r="B175" s="7" t="s">
        <v>24</v>
      </c>
      <c r="C175" s="8" t="s">
        <v>326</v>
      </c>
      <c r="D175" s="8" t="s">
        <v>69</v>
      </c>
      <c r="E175" s="8" t="s">
        <v>200</v>
      </c>
      <c r="F175" s="8" t="s">
        <v>65</v>
      </c>
      <c r="G175" s="8" t="s">
        <v>562</v>
      </c>
    </row>
    <row r="176" spans="1:7" ht="15" customHeight="1" x14ac:dyDescent="0.25">
      <c r="A176" s="7" t="s">
        <v>563</v>
      </c>
      <c r="B176" s="7" t="s">
        <v>24</v>
      </c>
      <c r="C176" s="8" t="s">
        <v>25</v>
      </c>
      <c r="D176" s="8" t="s">
        <v>149</v>
      </c>
      <c r="E176" s="8" t="s">
        <v>169</v>
      </c>
      <c r="F176" s="8" t="s">
        <v>564</v>
      </c>
      <c r="G176" s="8" t="s">
        <v>565</v>
      </c>
    </row>
    <row r="177" spans="1:7" ht="15" customHeight="1" x14ac:dyDescent="0.25">
      <c r="A177" s="7" t="s">
        <v>566</v>
      </c>
      <c r="B177" s="7" t="s">
        <v>68</v>
      </c>
      <c r="C177" s="8" t="s">
        <v>31</v>
      </c>
      <c r="D177" s="8" t="s">
        <v>57</v>
      </c>
      <c r="E177" s="8" t="s">
        <v>94</v>
      </c>
      <c r="F177" s="8" t="s">
        <v>123</v>
      </c>
      <c r="G177" s="8" t="s">
        <v>567</v>
      </c>
    </row>
    <row r="178" spans="1:7" ht="15" customHeight="1" x14ac:dyDescent="0.25">
      <c r="A178" s="7" t="s">
        <v>568</v>
      </c>
      <c r="B178" s="7" t="s">
        <v>24</v>
      </c>
      <c r="C178" s="8" t="s">
        <v>569</v>
      </c>
      <c r="D178" s="8" t="s">
        <v>63</v>
      </c>
      <c r="E178" s="8" t="s">
        <v>570</v>
      </c>
      <c r="F178" s="8" t="s">
        <v>34</v>
      </c>
      <c r="G178" s="8" t="s">
        <v>132</v>
      </c>
    </row>
    <row r="179" spans="1:7" ht="15" customHeight="1" x14ac:dyDescent="0.25">
      <c r="A179" s="7" t="s">
        <v>571</v>
      </c>
      <c r="B179" s="7" t="s">
        <v>24</v>
      </c>
      <c r="C179" s="8" t="s">
        <v>25</v>
      </c>
      <c r="D179" s="8" t="s">
        <v>26</v>
      </c>
      <c r="E179" s="8" t="s">
        <v>27</v>
      </c>
      <c r="F179" s="8" t="s">
        <v>59</v>
      </c>
      <c r="G179" s="8" t="s">
        <v>481</v>
      </c>
    </row>
    <row r="180" spans="1:7" ht="15" customHeight="1" x14ac:dyDescent="0.25">
      <c r="A180" s="7" t="s">
        <v>572</v>
      </c>
      <c r="B180" s="7" t="s">
        <v>24</v>
      </c>
      <c r="C180" s="8" t="s">
        <v>573</v>
      </c>
      <c r="D180" s="8" t="s">
        <v>31</v>
      </c>
      <c r="E180" s="8" t="s">
        <v>570</v>
      </c>
      <c r="F180" s="8" t="s">
        <v>34</v>
      </c>
      <c r="G180" s="8" t="s">
        <v>132</v>
      </c>
    </row>
    <row r="181" spans="1:7" ht="15" customHeight="1" x14ac:dyDescent="0.25">
      <c r="A181" s="7" t="s">
        <v>574</v>
      </c>
      <c r="B181" s="7" t="s">
        <v>213</v>
      </c>
      <c r="C181" s="8" t="s">
        <v>79</v>
      </c>
      <c r="D181" s="8" t="s">
        <v>149</v>
      </c>
      <c r="E181" s="8" t="s">
        <v>94</v>
      </c>
      <c r="F181" s="8" t="s">
        <v>201</v>
      </c>
      <c r="G181" s="8" t="s">
        <v>178</v>
      </c>
    </row>
    <row r="182" spans="1:7" ht="15" customHeight="1" x14ac:dyDescent="0.25">
      <c r="A182" s="7" t="s">
        <v>575</v>
      </c>
      <c r="B182" s="7" t="s">
        <v>213</v>
      </c>
      <c r="C182" s="8" t="s">
        <v>576</v>
      </c>
      <c r="D182" s="8" t="s">
        <v>57</v>
      </c>
      <c r="E182" s="8" t="s">
        <v>453</v>
      </c>
      <c r="F182" s="8" t="s">
        <v>363</v>
      </c>
      <c r="G182" s="8" t="s">
        <v>577</v>
      </c>
    </row>
    <row r="183" spans="1:7" ht="15" customHeight="1" x14ac:dyDescent="0.25">
      <c r="A183" s="7" t="s">
        <v>578</v>
      </c>
      <c r="B183" s="7" t="s">
        <v>24</v>
      </c>
      <c r="C183" s="8" t="s">
        <v>63</v>
      </c>
      <c r="D183" s="8" t="s">
        <v>43</v>
      </c>
      <c r="E183" s="8" t="s">
        <v>352</v>
      </c>
      <c r="F183" s="8" t="s">
        <v>59</v>
      </c>
      <c r="G183" s="8" t="s">
        <v>579</v>
      </c>
    </row>
    <row r="184" spans="1:7" ht="15" customHeight="1" x14ac:dyDescent="0.25">
      <c r="A184" s="7" t="s">
        <v>580</v>
      </c>
      <c r="B184" s="7" t="s">
        <v>24</v>
      </c>
      <c r="C184" s="8" t="s">
        <v>377</v>
      </c>
      <c r="D184" s="8" t="s">
        <v>69</v>
      </c>
      <c r="E184" s="8" t="s">
        <v>581</v>
      </c>
      <c r="F184" s="8" t="s">
        <v>59</v>
      </c>
      <c r="G184" s="8" t="s">
        <v>582</v>
      </c>
    </row>
    <row r="185" spans="1:7" ht="15" customHeight="1" x14ac:dyDescent="0.25">
      <c r="A185" s="7" t="s">
        <v>583</v>
      </c>
      <c r="B185" s="7" t="s">
        <v>24</v>
      </c>
      <c r="C185" s="8" t="s">
        <v>584</v>
      </c>
      <c r="D185" s="8" t="s">
        <v>149</v>
      </c>
      <c r="E185" s="8" t="s">
        <v>44</v>
      </c>
      <c r="F185" s="8" t="s">
        <v>86</v>
      </c>
      <c r="G185" s="8" t="s">
        <v>176</v>
      </c>
    </row>
    <row r="186" spans="1:7" ht="15" customHeight="1" x14ac:dyDescent="0.25">
      <c r="A186" s="7" t="s">
        <v>585</v>
      </c>
      <c r="B186" s="7" t="s">
        <v>24</v>
      </c>
      <c r="C186" s="8" t="s">
        <v>57</v>
      </c>
      <c r="D186" s="8" t="s">
        <v>452</v>
      </c>
      <c r="E186" s="8" t="s">
        <v>206</v>
      </c>
      <c r="F186" s="8" t="s">
        <v>65</v>
      </c>
      <c r="G186" s="8" t="s">
        <v>586</v>
      </c>
    </row>
    <row r="187" spans="1:7" ht="15" customHeight="1" x14ac:dyDescent="0.25">
      <c r="A187" s="7" t="s">
        <v>587</v>
      </c>
      <c r="B187" s="7" t="s">
        <v>24</v>
      </c>
      <c r="C187" s="8" t="s">
        <v>63</v>
      </c>
      <c r="D187" s="8" t="s">
        <v>588</v>
      </c>
      <c r="E187" s="8" t="s">
        <v>107</v>
      </c>
      <c r="F187" s="8" t="s">
        <v>65</v>
      </c>
      <c r="G187" s="8" t="s">
        <v>589</v>
      </c>
    </row>
    <row r="188" spans="1:7" ht="15" customHeight="1" x14ac:dyDescent="0.25">
      <c r="A188" s="7" t="s">
        <v>590</v>
      </c>
      <c r="B188" s="7" t="s">
        <v>24</v>
      </c>
      <c r="C188" s="8" t="s">
        <v>584</v>
      </c>
      <c r="D188" s="8" t="s">
        <v>149</v>
      </c>
      <c r="E188" s="8" t="s">
        <v>44</v>
      </c>
      <c r="F188" s="8" t="s">
        <v>86</v>
      </c>
      <c r="G188" s="8" t="s">
        <v>176</v>
      </c>
    </row>
    <row r="189" spans="1:7" ht="15" customHeight="1" x14ac:dyDescent="0.25">
      <c r="A189" s="7" t="s">
        <v>591</v>
      </c>
      <c r="B189" s="7" t="s">
        <v>24</v>
      </c>
      <c r="C189" s="8" t="s">
        <v>592</v>
      </c>
      <c r="D189" s="8" t="s">
        <v>26</v>
      </c>
      <c r="E189" s="8" t="s">
        <v>346</v>
      </c>
      <c r="F189" s="8" t="s">
        <v>65</v>
      </c>
      <c r="G189" s="8" t="s">
        <v>386</v>
      </c>
    </row>
    <row r="190" spans="1:7" ht="15" customHeight="1" x14ac:dyDescent="0.25">
      <c r="A190" s="7" t="s">
        <v>593</v>
      </c>
      <c r="B190" s="7" t="s">
        <v>100</v>
      </c>
      <c r="C190" s="8" t="s">
        <v>594</v>
      </c>
      <c r="D190" s="8" t="s">
        <v>356</v>
      </c>
      <c r="E190" s="8" t="s">
        <v>44</v>
      </c>
      <c r="F190" s="8" t="s">
        <v>39</v>
      </c>
      <c r="G190" s="8" t="s">
        <v>595</v>
      </c>
    </row>
    <row r="191" spans="1:7" ht="15" customHeight="1" x14ac:dyDescent="0.25">
      <c r="A191" s="7" t="s">
        <v>596</v>
      </c>
      <c r="B191" s="7" t="s">
        <v>502</v>
      </c>
      <c r="C191" s="8" t="s">
        <v>597</v>
      </c>
      <c r="D191" s="8" t="s">
        <v>149</v>
      </c>
      <c r="E191" s="8" t="s">
        <v>598</v>
      </c>
      <c r="F191" s="8" t="s">
        <v>28</v>
      </c>
      <c r="G191" s="8" t="s">
        <v>504</v>
      </c>
    </row>
    <row r="192" spans="1:7" ht="15" customHeight="1" x14ac:dyDescent="0.25">
      <c r="A192" s="7" t="s">
        <v>599</v>
      </c>
      <c r="B192" s="7" t="s">
        <v>231</v>
      </c>
      <c r="C192" s="8" t="s">
        <v>600</v>
      </c>
      <c r="D192" s="8" t="s">
        <v>601</v>
      </c>
      <c r="E192" s="8" t="s">
        <v>602</v>
      </c>
      <c r="F192" s="8" t="s">
        <v>28</v>
      </c>
      <c r="G192" s="8" t="s">
        <v>234</v>
      </c>
    </row>
    <row r="193" spans="1:7" ht="15" customHeight="1" x14ac:dyDescent="0.25">
      <c r="A193" s="7" t="s">
        <v>603</v>
      </c>
      <c r="B193" s="7" t="s">
        <v>24</v>
      </c>
      <c r="C193" s="8" t="s">
        <v>604</v>
      </c>
      <c r="D193" s="8" t="s">
        <v>149</v>
      </c>
      <c r="E193" s="8" t="s">
        <v>58</v>
      </c>
      <c r="F193" s="8" t="s">
        <v>59</v>
      </c>
      <c r="G193" s="8" t="s">
        <v>605</v>
      </c>
    </row>
    <row r="194" spans="1:7" ht="15" customHeight="1" x14ac:dyDescent="0.25">
      <c r="A194" s="7" t="s">
        <v>606</v>
      </c>
      <c r="B194" s="7" t="s">
        <v>100</v>
      </c>
      <c r="C194" s="8" t="s">
        <v>559</v>
      </c>
      <c r="D194" s="8" t="s">
        <v>607</v>
      </c>
      <c r="E194" s="8" t="s">
        <v>336</v>
      </c>
      <c r="F194" s="8" t="s">
        <v>65</v>
      </c>
      <c r="G194" s="8" t="s">
        <v>263</v>
      </c>
    </row>
    <row r="195" spans="1:7" ht="15" customHeight="1" x14ac:dyDescent="0.25">
      <c r="A195" s="7" t="s">
        <v>608</v>
      </c>
      <c r="B195" s="7" t="s">
        <v>213</v>
      </c>
      <c r="C195" s="8" t="s">
        <v>63</v>
      </c>
      <c r="D195" s="8" t="s">
        <v>220</v>
      </c>
      <c r="E195" s="8" t="s">
        <v>328</v>
      </c>
      <c r="F195" s="8" t="s">
        <v>123</v>
      </c>
      <c r="G195" s="8" t="s">
        <v>609</v>
      </c>
    </row>
    <row r="196" spans="1:7" ht="15" customHeight="1" x14ac:dyDescent="0.25">
      <c r="A196" s="7" t="s">
        <v>610</v>
      </c>
      <c r="B196" s="7" t="s">
        <v>24</v>
      </c>
      <c r="C196" s="8" t="s">
        <v>611</v>
      </c>
      <c r="D196" s="8" t="s">
        <v>165</v>
      </c>
      <c r="E196" s="8" t="s">
        <v>281</v>
      </c>
      <c r="F196" s="8" t="s">
        <v>59</v>
      </c>
      <c r="G196" s="8" t="s">
        <v>612</v>
      </c>
    </row>
    <row r="197" spans="1:7" ht="15" customHeight="1" x14ac:dyDescent="0.25">
      <c r="A197" s="7" t="s">
        <v>613</v>
      </c>
      <c r="B197" s="7" t="s">
        <v>24</v>
      </c>
      <c r="C197" s="8" t="s">
        <v>265</v>
      </c>
      <c r="D197" s="8" t="s">
        <v>614</v>
      </c>
      <c r="E197" s="8" t="s">
        <v>328</v>
      </c>
      <c r="F197" s="8" t="s">
        <v>39</v>
      </c>
      <c r="G197" s="8" t="s">
        <v>615</v>
      </c>
    </row>
    <row r="198" spans="1:7" ht="15" customHeight="1" x14ac:dyDescent="0.25">
      <c r="A198" s="7" t="s">
        <v>616</v>
      </c>
      <c r="B198" s="7" t="s">
        <v>24</v>
      </c>
      <c r="C198" s="8" t="s">
        <v>617</v>
      </c>
      <c r="D198" s="8" t="s">
        <v>106</v>
      </c>
      <c r="E198" s="8" t="s">
        <v>602</v>
      </c>
      <c r="F198" s="8" t="s">
        <v>34</v>
      </c>
      <c r="G198" s="8" t="s">
        <v>132</v>
      </c>
    </row>
    <row r="199" spans="1:7" ht="15" customHeight="1" x14ac:dyDescent="0.25">
      <c r="A199" s="7" t="s">
        <v>618</v>
      </c>
      <c r="B199" s="7" t="s">
        <v>100</v>
      </c>
      <c r="C199" s="8" t="s">
        <v>102</v>
      </c>
      <c r="D199" s="8" t="s">
        <v>619</v>
      </c>
      <c r="E199" s="8" t="s">
        <v>262</v>
      </c>
      <c r="F199" s="8" t="s">
        <v>28</v>
      </c>
      <c r="G199" s="8" t="s">
        <v>104</v>
      </c>
    </row>
    <row r="200" spans="1:7" ht="15" customHeight="1" x14ac:dyDescent="0.25">
      <c r="A200" s="7" t="s">
        <v>620</v>
      </c>
      <c r="B200" s="7" t="s">
        <v>24</v>
      </c>
      <c r="C200" s="8" t="s">
        <v>69</v>
      </c>
      <c r="D200" s="8" t="s">
        <v>483</v>
      </c>
      <c r="E200" s="8" t="s">
        <v>127</v>
      </c>
      <c r="F200" s="8" t="s">
        <v>86</v>
      </c>
      <c r="G200" s="8" t="s">
        <v>621</v>
      </c>
    </row>
    <row r="201" spans="1:7" ht="15" customHeight="1" x14ac:dyDescent="0.25">
      <c r="A201" s="7" t="s">
        <v>622</v>
      </c>
      <c r="B201" s="7" t="s">
        <v>24</v>
      </c>
      <c r="C201" s="8" t="s">
        <v>623</v>
      </c>
      <c r="D201" s="8" t="s">
        <v>57</v>
      </c>
      <c r="E201" s="8" t="s">
        <v>76</v>
      </c>
      <c r="F201" s="8" t="s">
        <v>59</v>
      </c>
      <c r="G201" s="8" t="s">
        <v>624</v>
      </c>
    </row>
    <row r="202" spans="1:7" ht="15" customHeight="1" x14ac:dyDescent="0.25">
      <c r="A202" s="7" t="s">
        <v>625</v>
      </c>
      <c r="B202" s="7" t="s">
        <v>213</v>
      </c>
      <c r="C202" s="8" t="s">
        <v>626</v>
      </c>
      <c r="D202" s="8" t="s">
        <v>285</v>
      </c>
      <c r="E202" s="8" t="s">
        <v>627</v>
      </c>
      <c r="F202" s="8" t="s">
        <v>65</v>
      </c>
      <c r="G202" s="8" t="s">
        <v>628</v>
      </c>
    </row>
    <row r="203" spans="1:7" ht="15" customHeight="1" x14ac:dyDescent="0.25">
      <c r="A203" s="7" t="s">
        <v>629</v>
      </c>
      <c r="B203" s="7" t="s">
        <v>24</v>
      </c>
      <c r="C203" s="8" t="s">
        <v>630</v>
      </c>
      <c r="D203" s="8" t="s">
        <v>43</v>
      </c>
      <c r="E203" s="8" t="s">
        <v>80</v>
      </c>
      <c r="F203" s="8" t="s">
        <v>363</v>
      </c>
      <c r="G203" s="8" t="s">
        <v>631</v>
      </c>
    </row>
    <row r="204" spans="1:7" ht="15" customHeight="1" x14ac:dyDescent="0.25">
      <c r="A204" s="7" t="s">
        <v>632</v>
      </c>
      <c r="B204" s="7" t="s">
        <v>213</v>
      </c>
      <c r="C204" s="8" t="s">
        <v>633</v>
      </c>
      <c r="D204" s="8" t="s">
        <v>43</v>
      </c>
      <c r="E204" s="8" t="s">
        <v>346</v>
      </c>
      <c r="F204" s="8" t="s">
        <v>86</v>
      </c>
      <c r="G204" s="8" t="s">
        <v>634</v>
      </c>
    </row>
    <row r="205" spans="1:7" ht="15" customHeight="1" x14ac:dyDescent="0.25">
      <c r="A205" s="7" t="s">
        <v>635</v>
      </c>
      <c r="B205" s="7" t="s">
        <v>213</v>
      </c>
      <c r="C205" s="8" t="s">
        <v>32</v>
      </c>
      <c r="D205" s="8" t="s">
        <v>69</v>
      </c>
      <c r="E205" s="8" t="s">
        <v>58</v>
      </c>
      <c r="F205" s="8" t="s">
        <v>34</v>
      </c>
      <c r="G205" s="8" t="s">
        <v>636</v>
      </c>
    </row>
    <row r="206" spans="1:7" ht="15" customHeight="1" x14ac:dyDescent="0.25">
      <c r="A206" s="7" t="s">
        <v>637</v>
      </c>
      <c r="B206" s="7" t="s">
        <v>82</v>
      </c>
      <c r="C206" s="8" t="s">
        <v>638</v>
      </c>
      <c r="D206" s="8" t="s">
        <v>165</v>
      </c>
      <c r="E206" s="8" t="s">
        <v>350</v>
      </c>
      <c r="F206" s="8" t="s">
        <v>86</v>
      </c>
      <c r="G206" s="8" t="s">
        <v>639</v>
      </c>
    </row>
    <row r="207" spans="1:7" ht="15" customHeight="1" x14ac:dyDescent="0.25">
      <c r="A207" s="7" t="s">
        <v>640</v>
      </c>
      <c r="B207" s="7" t="s">
        <v>24</v>
      </c>
      <c r="C207" s="8" t="s">
        <v>388</v>
      </c>
      <c r="D207" s="8" t="s">
        <v>165</v>
      </c>
      <c r="E207" s="8" t="s">
        <v>144</v>
      </c>
      <c r="F207" s="8" t="s">
        <v>34</v>
      </c>
      <c r="G207" s="8" t="s">
        <v>641</v>
      </c>
    </row>
    <row r="208" spans="1:7" ht="15" customHeight="1" x14ac:dyDescent="0.25">
      <c r="A208" s="7" t="s">
        <v>642</v>
      </c>
      <c r="B208" s="7" t="s">
        <v>100</v>
      </c>
      <c r="C208" s="8" t="s">
        <v>643</v>
      </c>
      <c r="D208" s="8" t="s">
        <v>644</v>
      </c>
      <c r="E208" s="8" t="s">
        <v>80</v>
      </c>
      <c r="F208" s="8" t="s">
        <v>28</v>
      </c>
      <c r="G208" s="8" t="s">
        <v>645</v>
      </c>
    </row>
    <row r="209" spans="1:7" ht="15" customHeight="1" x14ac:dyDescent="0.25">
      <c r="A209" s="7" t="s">
        <v>646</v>
      </c>
      <c r="B209" s="7" t="s">
        <v>24</v>
      </c>
      <c r="C209" s="8" t="s">
        <v>89</v>
      </c>
      <c r="D209" s="8" t="s">
        <v>165</v>
      </c>
      <c r="E209" s="8" t="s">
        <v>136</v>
      </c>
      <c r="F209" s="8" t="s">
        <v>39</v>
      </c>
      <c r="G209" s="8" t="s">
        <v>647</v>
      </c>
    </row>
    <row r="210" spans="1:7" ht="15" customHeight="1" x14ac:dyDescent="0.25">
      <c r="A210" s="7" t="s">
        <v>648</v>
      </c>
      <c r="B210" s="7" t="s">
        <v>24</v>
      </c>
      <c r="C210" s="8" t="s">
        <v>649</v>
      </c>
      <c r="D210" s="8" t="s">
        <v>69</v>
      </c>
      <c r="E210" s="8" t="s">
        <v>328</v>
      </c>
      <c r="F210" s="8" t="s">
        <v>123</v>
      </c>
      <c r="G210" s="8" t="s">
        <v>650</v>
      </c>
    </row>
    <row r="211" spans="1:7" ht="15" customHeight="1" x14ac:dyDescent="0.25">
      <c r="A211" s="7" t="s">
        <v>651</v>
      </c>
      <c r="B211" s="7" t="s">
        <v>213</v>
      </c>
      <c r="C211" s="8" t="s">
        <v>652</v>
      </c>
      <c r="D211" s="8" t="s">
        <v>165</v>
      </c>
      <c r="E211" s="8" t="s">
        <v>346</v>
      </c>
      <c r="F211" s="8" t="s">
        <v>214</v>
      </c>
      <c r="G211" s="8" t="s">
        <v>653</v>
      </c>
    </row>
    <row r="212" spans="1:7" ht="15" customHeight="1" x14ac:dyDescent="0.25">
      <c r="A212" s="7" t="s">
        <v>654</v>
      </c>
      <c r="B212" s="7" t="s">
        <v>523</v>
      </c>
      <c r="C212" s="8" t="s">
        <v>655</v>
      </c>
      <c r="D212" s="8" t="s">
        <v>656</v>
      </c>
      <c r="E212" s="8" t="s">
        <v>211</v>
      </c>
      <c r="F212" s="8" t="s">
        <v>34</v>
      </c>
      <c r="G212" s="8" t="s">
        <v>657</v>
      </c>
    </row>
    <row r="213" spans="1:7" ht="15" customHeight="1" x14ac:dyDescent="0.25">
      <c r="A213" s="7" t="s">
        <v>658</v>
      </c>
      <c r="B213" s="7" t="s">
        <v>213</v>
      </c>
      <c r="C213" s="8" t="s">
        <v>659</v>
      </c>
      <c r="D213" s="8" t="s">
        <v>165</v>
      </c>
      <c r="E213" s="8" t="s">
        <v>48</v>
      </c>
      <c r="F213" s="8" t="s">
        <v>417</v>
      </c>
      <c r="G213" s="8" t="s">
        <v>660</v>
      </c>
    </row>
    <row r="214" spans="1:7" ht="15" customHeight="1" x14ac:dyDescent="0.25">
      <c r="A214" s="7" t="s">
        <v>661</v>
      </c>
      <c r="B214" s="7" t="s">
        <v>24</v>
      </c>
      <c r="C214" s="8" t="s">
        <v>63</v>
      </c>
      <c r="D214" s="8" t="s">
        <v>345</v>
      </c>
      <c r="E214" s="8" t="s">
        <v>80</v>
      </c>
      <c r="F214" s="8" t="s">
        <v>119</v>
      </c>
      <c r="G214" s="8" t="s">
        <v>662</v>
      </c>
    </row>
    <row r="215" spans="1:7" ht="15" customHeight="1" x14ac:dyDescent="0.25">
      <c r="A215" s="7" t="s">
        <v>663</v>
      </c>
      <c r="B215" s="7" t="s">
        <v>24</v>
      </c>
      <c r="C215" s="8" t="s">
        <v>79</v>
      </c>
      <c r="D215" s="8" t="s">
        <v>149</v>
      </c>
      <c r="E215" s="8" t="s">
        <v>94</v>
      </c>
      <c r="F215" s="8" t="s">
        <v>28</v>
      </c>
      <c r="G215" s="8" t="s">
        <v>664</v>
      </c>
    </row>
    <row r="216" spans="1:7" ht="15" customHeight="1" x14ac:dyDescent="0.25">
      <c r="A216" s="7" t="s">
        <v>665</v>
      </c>
      <c r="B216" s="7" t="s">
        <v>213</v>
      </c>
      <c r="C216" s="8" t="s">
        <v>63</v>
      </c>
      <c r="D216" s="8" t="s">
        <v>69</v>
      </c>
      <c r="E216" s="8" t="s">
        <v>131</v>
      </c>
      <c r="F216" s="8" t="s">
        <v>363</v>
      </c>
      <c r="G216" s="8" t="s">
        <v>666</v>
      </c>
    </row>
    <row r="217" spans="1:7" ht="15" customHeight="1" x14ac:dyDescent="0.25">
      <c r="A217" s="7" t="s">
        <v>667</v>
      </c>
      <c r="B217" s="7" t="s">
        <v>231</v>
      </c>
      <c r="C217" s="8" t="s">
        <v>232</v>
      </c>
      <c r="D217" s="8" t="s">
        <v>668</v>
      </c>
      <c r="E217" s="8" t="s">
        <v>453</v>
      </c>
      <c r="F217" s="8" t="s">
        <v>363</v>
      </c>
      <c r="G217" s="8" t="s">
        <v>669</v>
      </c>
    </row>
    <row r="218" spans="1:7" ht="15" customHeight="1" x14ac:dyDescent="0.25">
      <c r="A218" s="7" t="s">
        <v>670</v>
      </c>
      <c r="B218" s="7" t="s">
        <v>100</v>
      </c>
      <c r="C218" s="8" t="s">
        <v>295</v>
      </c>
      <c r="D218" s="8" t="s">
        <v>671</v>
      </c>
      <c r="E218" s="8" t="s">
        <v>182</v>
      </c>
      <c r="F218" s="8" t="s">
        <v>59</v>
      </c>
      <c r="G218" s="8" t="s">
        <v>672</v>
      </c>
    </row>
    <row r="219" spans="1:7" ht="15" customHeight="1" x14ac:dyDescent="0.25">
      <c r="A219" s="7" t="s">
        <v>673</v>
      </c>
      <c r="B219" s="7" t="s">
        <v>82</v>
      </c>
      <c r="C219" s="8" t="s">
        <v>674</v>
      </c>
      <c r="D219" s="8" t="s">
        <v>69</v>
      </c>
      <c r="E219" s="8" t="s">
        <v>547</v>
      </c>
      <c r="F219" s="8" t="s">
        <v>65</v>
      </c>
      <c r="G219" s="8" t="s">
        <v>675</v>
      </c>
    </row>
    <row r="220" spans="1:7" ht="15" customHeight="1" x14ac:dyDescent="0.25">
      <c r="A220" s="7" t="s">
        <v>676</v>
      </c>
      <c r="B220" s="7" t="s">
        <v>677</v>
      </c>
      <c r="C220" s="8" t="s">
        <v>187</v>
      </c>
      <c r="D220" s="8" t="s">
        <v>678</v>
      </c>
      <c r="E220" s="8" t="s">
        <v>58</v>
      </c>
      <c r="F220" s="8" t="s">
        <v>86</v>
      </c>
      <c r="G220" s="8" t="s">
        <v>679</v>
      </c>
    </row>
    <row r="221" spans="1:7" ht="15" customHeight="1" x14ac:dyDescent="0.25">
      <c r="A221" s="7" t="s">
        <v>680</v>
      </c>
      <c r="B221" s="7" t="s">
        <v>24</v>
      </c>
      <c r="C221" s="8" t="s">
        <v>681</v>
      </c>
      <c r="D221" s="8" t="s">
        <v>682</v>
      </c>
      <c r="E221" s="8" t="s">
        <v>33</v>
      </c>
      <c r="F221" s="8" t="s">
        <v>39</v>
      </c>
      <c r="G221" s="8" t="s">
        <v>683</v>
      </c>
    </row>
    <row r="222" spans="1:7" ht="15" customHeight="1" x14ac:dyDescent="0.25">
      <c r="A222" s="7" t="s">
        <v>684</v>
      </c>
      <c r="B222" s="7" t="s">
        <v>24</v>
      </c>
      <c r="C222" s="8" t="s">
        <v>242</v>
      </c>
      <c r="D222" s="8" t="s">
        <v>149</v>
      </c>
      <c r="E222" s="8" t="s">
        <v>342</v>
      </c>
      <c r="F222" s="8" t="s">
        <v>28</v>
      </c>
      <c r="G222" s="8" t="s">
        <v>29</v>
      </c>
    </row>
    <row r="223" spans="1:7" ht="15" customHeight="1" x14ac:dyDescent="0.25">
      <c r="A223" s="7" t="s">
        <v>685</v>
      </c>
      <c r="B223" s="7" t="s">
        <v>213</v>
      </c>
      <c r="C223" s="8" t="s">
        <v>63</v>
      </c>
      <c r="D223" s="8" t="s">
        <v>90</v>
      </c>
      <c r="E223" s="8" t="s">
        <v>200</v>
      </c>
      <c r="F223" s="8" t="s">
        <v>363</v>
      </c>
      <c r="G223" s="8" t="s">
        <v>354</v>
      </c>
    </row>
    <row r="224" spans="1:7" ht="15" customHeight="1" x14ac:dyDescent="0.25">
      <c r="A224" s="7" t="s">
        <v>686</v>
      </c>
      <c r="B224" s="7" t="s">
        <v>284</v>
      </c>
      <c r="C224" s="8" t="s">
        <v>25</v>
      </c>
      <c r="D224" s="8" t="s">
        <v>79</v>
      </c>
      <c r="E224" s="8" t="s">
        <v>70</v>
      </c>
      <c r="F224" s="8" t="s">
        <v>59</v>
      </c>
      <c r="G224" s="8" t="s">
        <v>687</v>
      </c>
    </row>
    <row r="225" spans="1:7" ht="15" customHeight="1" x14ac:dyDescent="0.25">
      <c r="A225" s="7" t="s">
        <v>688</v>
      </c>
      <c r="B225" s="7" t="s">
        <v>24</v>
      </c>
      <c r="C225" s="8" t="s">
        <v>106</v>
      </c>
      <c r="D225" s="8" t="s">
        <v>57</v>
      </c>
      <c r="E225" s="8" t="s">
        <v>70</v>
      </c>
      <c r="F225" s="8" t="s">
        <v>59</v>
      </c>
      <c r="G225" s="8" t="s">
        <v>689</v>
      </c>
    </row>
    <row r="226" spans="1:7" ht="15" customHeight="1" x14ac:dyDescent="0.25">
      <c r="A226" s="7" t="s">
        <v>690</v>
      </c>
      <c r="B226" s="7" t="s">
        <v>691</v>
      </c>
      <c r="C226" s="8" t="s">
        <v>692</v>
      </c>
      <c r="D226" s="8" t="s">
        <v>693</v>
      </c>
      <c r="E226" s="8" t="s">
        <v>118</v>
      </c>
      <c r="F226" s="8" t="s">
        <v>65</v>
      </c>
      <c r="G226" s="8" t="s">
        <v>694</v>
      </c>
    </row>
    <row r="227" spans="1:7" ht="15" customHeight="1" x14ac:dyDescent="0.25">
      <c r="A227" s="7" t="s">
        <v>695</v>
      </c>
      <c r="B227" s="7" t="s">
        <v>213</v>
      </c>
      <c r="C227" s="8" t="s">
        <v>696</v>
      </c>
      <c r="D227" s="8" t="s">
        <v>57</v>
      </c>
      <c r="E227" s="8" t="s">
        <v>352</v>
      </c>
      <c r="F227" s="8" t="s">
        <v>123</v>
      </c>
      <c r="G227" s="8" t="s">
        <v>697</v>
      </c>
    </row>
    <row r="228" spans="1:7" ht="15" customHeight="1" x14ac:dyDescent="0.25">
      <c r="A228" s="7" t="s">
        <v>698</v>
      </c>
      <c r="B228" s="7" t="s">
        <v>213</v>
      </c>
      <c r="C228" s="8" t="s">
        <v>187</v>
      </c>
      <c r="D228" s="8" t="s">
        <v>57</v>
      </c>
      <c r="E228" s="8" t="s">
        <v>206</v>
      </c>
      <c r="F228" s="8" t="s">
        <v>34</v>
      </c>
      <c r="G228" s="8" t="s">
        <v>699</v>
      </c>
    </row>
    <row r="229" spans="1:7" ht="15" customHeight="1" x14ac:dyDescent="0.25">
      <c r="A229" s="7" t="s">
        <v>700</v>
      </c>
      <c r="B229" s="7" t="s">
        <v>82</v>
      </c>
      <c r="C229" s="8" t="s">
        <v>701</v>
      </c>
      <c r="D229" s="8" t="s">
        <v>702</v>
      </c>
      <c r="E229" s="8" t="s">
        <v>396</v>
      </c>
      <c r="F229" s="8" t="s">
        <v>28</v>
      </c>
      <c r="G229" s="8" t="s">
        <v>703</v>
      </c>
    </row>
    <row r="230" spans="1:7" ht="15" customHeight="1" x14ac:dyDescent="0.25">
      <c r="A230" s="7" t="s">
        <v>704</v>
      </c>
      <c r="B230" s="7" t="s">
        <v>24</v>
      </c>
      <c r="C230" s="8" t="s">
        <v>79</v>
      </c>
      <c r="D230" s="8" t="s">
        <v>705</v>
      </c>
      <c r="E230" s="8" t="s">
        <v>239</v>
      </c>
      <c r="F230" s="8" t="s">
        <v>59</v>
      </c>
      <c r="G230" s="8" t="s">
        <v>706</v>
      </c>
    </row>
    <row r="231" spans="1:7" ht="15" customHeight="1" x14ac:dyDescent="0.25">
      <c r="A231" s="7" t="s">
        <v>707</v>
      </c>
      <c r="B231" s="7" t="s">
        <v>24</v>
      </c>
      <c r="C231" s="8" t="s">
        <v>93</v>
      </c>
      <c r="D231" s="8" t="s">
        <v>441</v>
      </c>
      <c r="E231" s="8" t="s">
        <v>156</v>
      </c>
      <c r="F231" s="8" t="s">
        <v>65</v>
      </c>
      <c r="G231" s="8" t="s">
        <v>708</v>
      </c>
    </row>
    <row r="232" spans="1:7" ht="15" customHeight="1" x14ac:dyDescent="0.25">
      <c r="A232" s="7" t="s">
        <v>709</v>
      </c>
      <c r="B232" s="7" t="s">
        <v>710</v>
      </c>
      <c r="C232" s="8" t="s">
        <v>57</v>
      </c>
      <c r="D232" s="8" t="s">
        <v>711</v>
      </c>
      <c r="E232" s="8" t="s">
        <v>76</v>
      </c>
      <c r="F232" s="8" t="s">
        <v>86</v>
      </c>
      <c r="G232" s="8" t="s">
        <v>712</v>
      </c>
    </row>
    <row r="233" spans="1:7" ht="15" customHeight="1" x14ac:dyDescent="0.25">
      <c r="A233" s="7" t="s">
        <v>713</v>
      </c>
      <c r="B233" s="7" t="s">
        <v>100</v>
      </c>
      <c r="C233" s="8" t="s">
        <v>349</v>
      </c>
      <c r="D233" s="8" t="s">
        <v>714</v>
      </c>
      <c r="E233" s="8" t="s">
        <v>715</v>
      </c>
      <c r="F233" s="8" t="s">
        <v>65</v>
      </c>
      <c r="G233" s="8" t="s">
        <v>716</v>
      </c>
    </row>
    <row r="234" spans="1:7" ht="15" customHeight="1" x14ac:dyDescent="0.25">
      <c r="A234" s="7" t="s">
        <v>717</v>
      </c>
      <c r="B234" s="7" t="s">
        <v>100</v>
      </c>
      <c r="C234" s="8" t="s">
        <v>260</v>
      </c>
      <c r="D234" s="8" t="s">
        <v>718</v>
      </c>
      <c r="E234" s="8" t="s">
        <v>136</v>
      </c>
      <c r="F234" s="8" t="s">
        <v>65</v>
      </c>
      <c r="G234" s="8" t="s">
        <v>719</v>
      </c>
    </row>
    <row r="235" spans="1:7" ht="15" customHeight="1" x14ac:dyDescent="0.25">
      <c r="A235" s="7" t="s">
        <v>720</v>
      </c>
      <c r="B235" s="7" t="s">
        <v>213</v>
      </c>
      <c r="C235" s="8" t="s">
        <v>63</v>
      </c>
      <c r="D235" s="8" t="s">
        <v>220</v>
      </c>
      <c r="E235" s="8" t="s">
        <v>328</v>
      </c>
      <c r="F235" s="8" t="s">
        <v>417</v>
      </c>
      <c r="G235" s="8" t="s">
        <v>721</v>
      </c>
    </row>
    <row r="236" spans="1:7" ht="15" customHeight="1" x14ac:dyDescent="0.25">
      <c r="A236" s="7" t="s">
        <v>722</v>
      </c>
      <c r="B236" s="7" t="s">
        <v>24</v>
      </c>
      <c r="C236" s="8" t="s">
        <v>723</v>
      </c>
      <c r="D236" s="8" t="s">
        <v>614</v>
      </c>
      <c r="E236" s="8" t="s">
        <v>251</v>
      </c>
      <c r="F236" s="8" t="s">
        <v>39</v>
      </c>
      <c r="G236" s="8" t="s">
        <v>615</v>
      </c>
    </row>
    <row r="237" spans="1:7" ht="15" customHeight="1" x14ac:dyDescent="0.25">
      <c r="A237" s="7" t="s">
        <v>724</v>
      </c>
      <c r="B237" s="7" t="s">
        <v>24</v>
      </c>
      <c r="C237" s="8" t="s">
        <v>165</v>
      </c>
      <c r="D237" s="8" t="s">
        <v>377</v>
      </c>
      <c r="E237" s="8" t="s">
        <v>541</v>
      </c>
      <c r="F237" s="8" t="s">
        <v>119</v>
      </c>
      <c r="G237" s="8" t="s">
        <v>725</v>
      </c>
    </row>
    <row r="238" spans="1:7" ht="15" customHeight="1" x14ac:dyDescent="0.25">
      <c r="A238" s="7" t="s">
        <v>726</v>
      </c>
      <c r="B238" s="7" t="s">
        <v>213</v>
      </c>
      <c r="C238" s="8" t="s">
        <v>25</v>
      </c>
      <c r="D238" s="8" t="s">
        <v>90</v>
      </c>
      <c r="E238" s="8" t="s">
        <v>254</v>
      </c>
      <c r="F238" s="8" t="s">
        <v>321</v>
      </c>
      <c r="G238" s="8" t="s">
        <v>727</v>
      </c>
    </row>
    <row r="239" spans="1:7" ht="15" customHeight="1" x14ac:dyDescent="0.25">
      <c r="A239" s="7" t="s">
        <v>728</v>
      </c>
      <c r="B239" s="7" t="s">
        <v>24</v>
      </c>
      <c r="C239" s="8" t="s">
        <v>388</v>
      </c>
      <c r="D239" s="8" t="s">
        <v>26</v>
      </c>
      <c r="E239" s="8" t="s">
        <v>453</v>
      </c>
      <c r="F239" s="8" t="s">
        <v>34</v>
      </c>
      <c r="G239" s="8" t="s">
        <v>729</v>
      </c>
    </row>
    <row r="240" spans="1:7" ht="15" customHeight="1" x14ac:dyDescent="0.25">
      <c r="A240" s="7" t="s">
        <v>730</v>
      </c>
      <c r="B240" s="7" t="s">
        <v>24</v>
      </c>
      <c r="C240" s="8" t="s">
        <v>731</v>
      </c>
      <c r="D240" s="8" t="s">
        <v>79</v>
      </c>
      <c r="E240" s="8" t="s">
        <v>342</v>
      </c>
      <c r="F240" s="8" t="s">
        <v>34</v>
      </c>
      <c r="G240" s="8" t="s">
        <v>732</v>
      </c>
    </row>
    <row r="241" spans="1:7" ht="15" customHeight="1" x14ac:dyDescent="0.25">
      <c r="A241" s="7" t="s">
        <v>733</v>
      </c>
      <c r="B241" s="7" t="s">
        <v>734</v>
      </c>
      <c r="C241" s="8" t="s">
        <v>25</v>
      </c>
      <c r="D241" s="8" t="s">
        <v>735</v>
      </c>
      <c r="E241" s="8" t="s">
        <v>70</v>
      </c>
      <c r="F241" s="8" t="s">
        <v>86</v>
      </c>
      <c r="G241" s="8" t="s">
        <v>736</v>
      </c>
    </row>
    <row r="242" spans="1:7" ht="15" customHeight="1" x14ac:dyDescent="0.25">
      <c r="A242" s="7" t="s">
        <v>737</v>
      </c>
      <c r="B242" s="7" t="s">
        <v>24</v>
      </c>
      <c r="C242" s="8" t="s">
        <v>159</v>
      </c>
      <c r="D242" s="8" t="s">
        <v>25</v>
      </c>
      <c r="E242" s="8" t="s">
        <v>76</v>
      </c>
      <c r="F242" s="8" t="s">
        <v>34</v>
      </c>
      <c r="G242" s="8" t="s">
        <v>305</v>
      </c>
    </row>
    <row r="243" spans="1:7" ht="15" customHeight="1" x14ac:dyDescent="0.25">
      <c r="A243" s="7" t="s">
        <v>738</v>
      </c>
      <c r="B243" s="7" t="s">
        <v>24</v>
      </c>
      <c r="C243" s="8" t="s">
        <v>75</v>
      </c>
      <c r="D243" s="8" t="s">
        <v>69</v>
      </c>
      <c r="E243" s="8" t="s">
        <v>346</v>
      </c>
      <c r="F243" s="8" t="s">
        <v>65</v>
      </c>
      <c r="G243" s="8" t="s">
        <v>536</v>
      </c>
    </row>
    <row r="244" spans="1:7" ht="15" customHeight="1" x14ac:dyDescent="0.25">
      <c r="A244" s="7" t="s">
        <v>739</v>
      </c>
      <c r="B244" s="7" t="s">
        <v>284</v>
      </c>
      <c r="C244" s="8" t="s">
        <v>25</v>
      </c>
      <c r="D244" s="8" t="s">
        <v>69</v>
      </c>
      <c r="E244" s="8" t="s">
        <v>94</v>
      </c>
      <c r="F244" s="8" t="s">
        <v>34</v>
      </c>
      <c r="G244" s="8" t="s">
        <v>740</v>
      </c>
    </row>
    <row r="245" spans="1:7" ht="15" customHeight="1" x14ac:dyDescent="0.25">
      <c r="A245" s="7" t="s">
        <v>741</v>
      </c>
      <c r="B245" s="7" t="s">
        <v>213</v>
      </c>
      <c r="C245" s="8" t="s">
        <v>31</v>
      </c>
      <c r="D245" s="8" t="s">
        <v>25</v>
      </c>
      <c r="E245" s="8" t="s">
        <v>70</v>
      </c>
      <c r="F245" s="8" t="s">
        <v>28</v>
      </c>
      <c r="G245" s="8" t="s">
        <v>742</v>
      </c>
    </row>
    <row r="246" spans="1:7" ht="15" customHeight="1" x14ac:dyDescent="0.25">
      <c r="A246" s="7" t="s">
        <v>743</v>
      </c>
      <c r="B246" s="7" t="s">
        <v>213</v>
      </c>
      <c r="C246" s="8" t="s">
        <v>32</v>
      </c>
      <c r="D246" s="8" t="s">
        <v>149</v>
      </c>
      <c r="E246" s="8" t="s">
        <v>547</v>
      </c>
      <c r="F246" s="8" t="s">
        <v>363</v>
      </c>
      <c r="G246" s="8" t="s">
        <v>660</v>
      </c>
    </row>
    <row r="247" spans="1:7" ht="15" customHeight="1" x14ac:dyDescent="0.25">
      <c r="A247" s="7" t="s">
        <v>744</v>
      </c>
      <c r="B247" s="7" t="s">
        <v>24</v>
      </c>
      <c r="C247" s="8" t="s">
        <v>63</v>
      </c>
      <c r="D247" s="8" t="s">
        <v>745</v>
      </c>
      <c r="E247" s="8" t="s">
        <v>80</v>
      </c>
      <c r="F247" s="8" t="s">
        <v>86</v>
      </c>
      <c r="G247" s="8" t="s">
        <v>324</v>
      </c>
    </row>
    <row r="248" spans="1:7" ht="15" customHeight="1" x14ac:dyDescent="0.25">
      <c r="A248" s="7" t="s">
        <v>746</v>
      </c>
      <c r="B248" s="7" t="s">
        <v>24</v>
      </c>
      <c r="C248" s="8" t="s">
        <v>747</v>
      </c>
      <c r="D248" s="8" t="s">
        <v>345</v>
      </c>
      <c r="E248" s="8" t="s">
        <v>748</v>
      </c>
      <c r="F248" s="8" t="s">
        <v>39</v>
      </c>
      <c r="G248" s="8" t="s">
        <v>170</v>
      </c>
    </row>
    <row r="249" spans="1:7" ht="15" customHeight="1" x14ac:dyDescent="0.25">
      <c r="A249" s="7" t="s">
        <v>749</v>
      </c>
      <c r="B249" s="7" t="s">
        <v>24</v>
      </c>
      <c r="C249" s="8" t="s">
        <v>614</v>
      </c>
      <c r="D249" s="8" t="s">
        <v>750</v>
      </c>
      <c r="E249" s="8" t="s">
        <v>222</v>
      </c>
      <c r="F249" s="8" t="s">
        <v>28</v>
      </c>
      <c r="G249" s="8" t="s">
        <v>270</v>
      </c>
    </row>
    <row r="250" spans="1:7" ht="15" customHeight="1" x14ac:dyDescent="0.25">
      <c r="A250" s="7" t="s">
        <v>751</v>
      </c>
      <c r="B250" s="7" t="s">
        <v>24</v>
      </c>
      <c r="C250" s="8" t="s">
        <v>617</v>
      </c>
      <c r="D250" s="8" t="s">
        <v>52</v>
      </c>
      <c r="E250" s="8" t="s">
        <v>752</v>
      </c>
      <c r="F250" s="8" t="s">
        <v>39</v>
      </c>
      <c r="G250" s="8" t="s">
        <v>753</v>
      </c>
    </row>
    <row r="251" spans="1:7" ht="15" customHeight="1" x14ac:dyDescent="0.25">
      <c r="A251" s="7" t="s">
        <v>754</v>
      </c>
      <c r="B251" s="7" t="s">
        <v>100</v>
      </c>
      <c r="C251" s="8" t="s">
        <v>755</v>
      </c>
      <c r="D251" s="8" t="s">
        <v>756</v>
      </c>
      <c r="E251" s="8" t="s">
        <v>103</v>
      </c>
      <c r="F251" s="8" t="s">
        <v>757</v>
      </c>
      <c r="G251" s="8" t="s">
        <v>758</v>
      </c>
    </row>
    <row r="252" spans="1:7" ht="15" customHeight="1" x14ac:dyDescent="0.25">
      <c r="A252" s="7" t="s">
        <v>759</v>
      </c>
      <c r="B252" s="7" t="s">
        <v>213</v>
      </c>
      <c r="C252" s="8" t="s">
        <v>32</v>
      </c>
      <c r="D252" s="8" t="s">
        <v>79</v>
      </c>
      <c r="E252" s="8" t="s">
        <v>254</v>
      </c>
      <c r="F252" s="8" t="s">
        <v>214</v>
      </c>
      <c r="G252" s="8" t="s">
        <v>760</v>
      </c>
    </row>
    <row r="253" spans="1:7" ht="15" customHeight="1" x14ac:dyDescent="0.25">
      <c r="A253" s="7" t="s">
        <v>761</v>
      </c>
      <c r="B253" s="7" t="s">
        <v>213</v>
      </c>
      <c r="C253" s="8" t="s">
        <v>57</v>
      </c>
      <c r="D253" s="8" t="s">
        <v>90</v>
      </c>
      <c r="E253" s="8" t="s">
        <v>103</v>
      </c>
      <c r="F253" s="8" t="s">
        <v>123</v>
      </c>
      <c r="G253" s="8" t="s">
        <v>762</v>
      </c>
    </row>
    <row r="254" spans="1:7" ht="15" customHeight="1" x14ac:dyDescent="0.25">
      <c r="A254" s="7" t="s">
        <v>763</v>
      </c>
      <c r="B254" s="7" t="s">
        <v>24</v>
      </c>
      <c r="C254" s="8" t="s">
        <v>63</v>
      </c>
      <c r="D254" s="8" t="s">
        <v>79</v>
      </c>
      <c r="E254" s="8" t="s">
        <v>80</v>
      </c>
      <c r="F254" s="8" t="s">
        <v>28</v>
      </c>
      <c r="G254" s="8" t="s">
        <v>764</v>
      </c>
    </row>
    <row r="255" spans="1:7" ht="15" customHeight="1" x14ac:dyDescent="0.25">
      <c r="A255" s="7" t="s">
        <v>765</v>
      </c>
      <c r="B255" s="7" t="s">
        <v>24</v>
      </c>
      <c r="C255" s="8" t="s">
        <v>766</v>
      </c>
      <c r="D255" s="8" t="s">
        <v>165</v>
      </c>
      <c r="E255" s="8" t="s">
        <v>131</v>
      </c>
      <c r="F255" s="8" t="s">
        <v>34</v>
      </c>
      <c r="G255" s="8" t="s">
        <v>132</v>
      </c>
    </row>
    <row r="256" spans="1:7" ht="15" customHeight="1" x14ac:dyDescent="0.25">
      <c r="A256" s="7" t="s">
        <v>767</v>
      </c>
      <c r="B256" s="7" t="s">
        <v>284</v>
      </c>
      <c r="C256" s="8" t="s">
        <v>768</v>
      </c>
      <c r="D256" s="8" t="s">
        <v>25</v>
      </c>
      <c r="E256" s="8" t="s">
        <v>598</v>
      </c>
      <c r="F256" s="8" t="s">
        <v>214</v>
      </c>
      <c r="G256" s="8" t="s">
        <v>769</v>
      </c>
    </row>
    <row r="257" spans="1:7" ht="15" customHeight="1" x14ac:dyDescent="0.25">
      <c r="A257" s="7" t="s">
        <v>770</v>
      </c>
      <c r="B257" s="7" t="s">
        <v>100</v>
      </c>
      <c r="C257" s="8" t="s">
        <v>771</v>
      </c>
      <c r="D257" s="8" t="s">
        <v>772</v>
      </c>
      <c r="E257" s="8" t="s">
        <v>211</v>
      </c>
      <c r="F257" s="8" t="s">
        <v>65</v>
      </c>
      <c r="G257" s="8" t="s">
        <v>394</v>
      </c>
    </row>
    <row r="258" spans="1:7" ht="15" customHeight="1" x14ac:dyDescent="0.25">
      <c r="A258" s="7" t="s">
        <v>773</v>
      </c>
      <c r="B258" s="7" t="s">
        <v>450</v>
      </c>
      <c r="C258" s="8" t="s">
        <v>774</v>
      </c>
      <c r="D258" s="8" t="s">
        <v>775</v>
      </c>
      <c r="E258" s="8" t="s">
        <v>136</v>
      </c>
      <c r="F258" s="8" t="s">
        <v>28</v>
      </c>
      <c r="G258" s="8" t="s">
        <v>776</v>
      </c>
    </row>
    <row r="259" spans="1:7" ht="15" customHeight="1" x14ac:dyDescent="0.25">
      <c r="A259" s="7" t="s">
        <v>777</v>
      </c>
      <c r="B259" s="7" t="s">
        <v>24</v>
      </c>
      <c r="C259" s="8" t="s">
        <v>63</v>
      </c>
      <c r="D259" s="8" t="s">
        <v>69</v>
      </c>
      <c r="E259" s="8" t="s">
        <v>131</v>
      </c>
      <c r="F259" s="8" t="s">
        <v>65</v>
      </c>
      <c r="G259" s="8" t="s">
        <v>562</v>
      </c>
    </row>
    <row r="260" spans="1:7" ht="15" customHeight="1" x14ac:dyDescent="0.25">
      <c r="A260" s="7" t="s">
        <v>778</v>
      </c>
      <c r="B260" s="7" t="s">
        <v>24</v>
      </c>
      <c r="C260" s="8" t="s">
        <v>63</v>
      </c>
      <c r="D260" s="8" t="s">
        <v>79</v>
      </c>
      <c r="E260" s="8" t="s">
        <v>80</v>
      </c>
      <c r="F260" s="8" t="s">
        <v>28</v>
      </c>
      <c r="G260" s="8" t="s">
        <v>45</v>
      </c>
    </row>
    <row r="261" spans="1:7" ht="15" customHeight="1" x14ac:dyDescent="0.25">
      <c r="A261" s="7" t="s">
        <v>779</v>
      </c>
      <c r="B261" s="7" t="s">
        <v>24</v>
      </c>
      <c r="C261" s="8" t="s">
        <v>780</v>
      </c>
      <c r="D261" s="8" t="s">
        <v>149</v>
      </c>
      <c r="E261" s="8" t="s">
        <v>48</v>
      </c>
      <c r="F261" s="8" t="s">
        <v>28</v>
      </c>
      <c r="G261" s="8" t="s">
        <v>781</v>
      </c>
    </row>
    <row r="262" spans="1:7" ht="15" customHeight="1" x14ac:dyDescent="0.25">
      <c r="A262" s="7" t="s">
        <v>782</v>
      </c>
      <c r="B262" s="7" t="s">
        <v>82</v>
      </c>
      <c r="C262" s="8" t="s">
        <v>63</v>
      </c>
      <c r="D262" s="8" t="s">
        <v>84</v>
      </c>
      <c r="E262" s="8" t="s">
        <v>352</v>
      </c>
      <c r="F262" s="8" t="s">
        <v>86</v>
      </c>
      <c r="G262" s="8" t="s">
        <v>783</v>
      </c>
    </row>
    <row r="263" spans="1:7" ht="15" customHeight="1" x14ac:dyDescent="0.25">
      <c r="A263" s="7" t="s">
        <v>784</v>
      </c>
      <c r="B263" s="7" t="s">
        <v>24</v>
      </c>
      <c r="C263" s="8" t="s">
        <v>326</v>
      </c>
      <c r="D263" s="8" t="s">
        <v>26</v>
      </c>
      <c r="E263" s="8" t="s">
        <v>131</v>
      </c>
      <c r="F263" s="8" t="s">
        <v>28</v>
      </c>
      <c r="G263" s="8" t="s">
        <v>329</v>
      </c>
    </row>
    <row r="264" spans="1:7" ht="15" customHeight="1" x14ac:dyDescent="0.25">
      <c r="A264" s="7" t="s">
        <v>785</v>
      </c>
      <c r="B264" s="7" t="s">
        <v>24</v>
      </c>
      <c r="C264" s="8" t="s">
        <v>327</v>
      </c>
      <c r="D264" s="8" t="s">
        <v>149</v>
      </c>
      <c r="E264" s="8" t="s">
        <v>211</v>
      </c>
      <c r="F264" s="8" t="s">
        <v>86</v>
      </c>
      <c r="G264" s="8" t="s">
        <v>621</v>
      </c>
    </row>
    <row r="265" spans="1:7" ht="15" customHeight="1" x14ac:dyDescent="0.25">
      <c r="A265" s="7" t="s">
        <v>786</v>
      </c>
      <c r="B265" s="7" t="s">
        <v>213</v>
      </c>
      <c r="C265" s="8" t="s">
        <v>787</v>
      </c>
      <c r="D265" s="8" t="s">
        <v>149</v>
      </c>
      <c r="E265" s="8" t="s">
        <v>94</v>
      </c>
      <c r="F265" s="8" t="s">
        <v>788</v>
      </c>
      <c r="G265" s="8" t="s">
        <v>789</v>
      </c>
    </row>
    <row r="266" spans="1:7" ht="15" customHeight="1" x14ac:dyDescent="0.25">
      <c r="A266" s="7" t="s">
        <v>790</v>
      </c>
      <c r="B266" s="7" t="s">
        <v>791</v>
      </c>
      <c r="C266" s="8" t="s">
        <v>792</v>
      </c>
      <c r="D266" s="8" t="s">
        <v>792</v>
      </c>
      <c r="E266" s="8" t="s">
        <v>166</v>
      </c>
      <c r="F266" s="8" t="s">
        <v>119</v>
      </c>
      <c r="G266" s="8" t="s">
        <v>793</v>
      </c>
    </row>
    <row r="267" spans="1:7" ht="15" customHeight="1" x14ac:dyDescent="0.25">
      <c r="A267" s="7" t="s">
        <v>794</v>
      </c>
      <c r="B267" s="7" t="s">
        <v>100</v>
      </c>
      <c r="C267" s="8" t="s">
        <v>795</v>
      </c>
      <c r="D267" s="8" t="s">
        <v>796</v>
      </c>
      <c r="E267" s="8" t="s">
        <v>797</v>
      </c>
      <c r="F267" s="8" t="s">
        <v>65</v>
      </c>
      <c r="G267" s="8" t="s">
        <v>798</v>
      </c>
    </row>
    <row r="268" spans="1:7" ht="15" customHeight="1" x14ac:dyDescent="0.25">
      <c r="A268" s="7" t="s">
        <v>799</v>
      </c>
      <c r="B268" s="7" t="s">
        <v>24</v>
      </c>
      <c r="C268" s="8" t="s">
        <v>31</v>
      </c>
      <c r="D268" s="8" t="s">
        <v>69</v>
      </c>
      <c r="E268" s="8" t="s">
        <v>169</v>
      </c>
      <c r="F268" s="8" t="s">
        <v>28</v>
      </c>
      <c r="G268" s="8" t="s">
        <v>800</v>
      </c>
    </row>
    <row r="269" spans="1:7" ht="15" customHeight="1" x14ac:dyDescent="0.25">
      <c r="A269" s="7" t="s">
        <v>801</v>
      </c>
      <c r="B269" s="7" t="s">
        <v>82</v>
      </c>
      <c r="C269" s="8" t="s">
        <v>344</v>
      </c>
      <c r="D269" s="8" t="s">
        <v>802</v>
      </c>
      <c r="E269" s="8" t="s">
        <v>453</v>
      </c>
      <c r="F269" s="8" t="s">
        <v>86</v>
      </c>
      <c r="G269" s="8" t="s">
        <v>803</v>
      </c>
    </row>
    <row r="270" spans="1:7" ht="15" customHeight="1" x14ac:dyDescent="0.25">
      <c r="A270" s="7" t="s">
        <v>804</v>
      </c>
      <c r="B270" s="7" t="s">
        <v>805</v>
      </c>
      <c r="C270" s="8" t="s">
        <v>806</v>
      </c>
      <c r="D270" s="8" t="s">
        <v>807</v>
      </c>
      <c r="E270" s="8" t="s">
        <v>715</v>
      </c>
      <c r="F270" s="8" t="s">
        <v>34</v>
      </c>
      <c r="G270" s="8" t="s">
        <v>808</v>
      </c>
    </row>
    <row r="271" spans="1:7" ht="15" customHeight="1" x14ac:dyDescent="0.25">
      <c r="A271" s="7" t="s">
        <v>809</v>
      </c>
      <c r="B271" s="7" t="s">
        <v>810</v>
      </c>
      <c r="C271" s="8" t="s">
        <v>693</v>
      </c>
      <c r="D271" s="8" t="s">
        <v>314</v>
      </c>
      <c r="E271" s="8" t="s">
        <v>33</v>
      </c>
      <c r="F271" s="8" t="s">
        <v>363</v>
      </c>
      <c r="G271" s="8" t="s">
        <v>811</v>
      </c>
    </row>
    <row r="272" spans="1:7" ht="15" customHeight="1" x14ac:dyDescent="0.25">
      <c r="A272" s="7" t="s">
        <v>812</v>
      </c>
      <c r="B272" s="7" t="s">
        <v>100</v>
      </c>
      <c r="C272" s="8" t="s">
        <v>619</v>
      </c>
      <c r="D272" s="8" t="s">
        <v>470</v>
      </c>
      <c r="E272" s="8" t="s">
        <v>182</v>
      </c>
      <c r="F272" s="8" t="s">
        <v>65</v>
      </c>
      <c r="G272" s="8" t="s">
        <v>552</v>
      </c>
    </row>
    <row r="273" spans="1:7" ht="15" customHeight="1" x14ac:dyDescent="0.25">
      <c r="A273" s="7" t="s">
        <v>813</v>
      </c>
      <c r="B273" s="7" t="s">
        <v>213</v>
      </c>
      <c r="C273" s="8" t="s">
        <v>32</v>
      </c>
      <c r="D273" s="8" t="s">
        <v>69</v>
      </c>
      <c r="E273" s="8" t="s">
        <v>58</v>
      </c>
      <c r="F273" s="8" t="s">
        <v>28</v>
      </c>
      <c r="G273" s="8" t="s">
        <v>814</v>
      </c>
    </row>
    <row r="274" spans="1:7" ht="15" customHeight="1" x14ac:dyDescent="0.25">
      <c r="A274" s="7" t="s">
        <v>815</v>
      </c>
      <c r="B274" s="7" t="s">
        <v>24</v>
      </c>
      <c r="C274" s="8" t="s">
        <v>371</v>
      </c>
      <c r="D274" s="8" t="s">
        <v>250</v>
      </c>
      <c r="E274" s="8" t="s">
        <v>372</v>
      </c>
      <c r="F274" s="8" t="s">
        <v>59</v>
      </c>
      <c r="G274" s="8" t="s">
        <v>373</v>
      </c>
    </row>
    <row r="275" spans="1:7" ht="15" customHeight="1" x14ac:dyDescent="0.25">
      <c r="A275" s="7" t="s">
        <v>816</v>
      </c>
      <c r="B275" s="7" t="s">
        <v>100</v>
      </c>
      <c r="C275" s="8" t="s">
        <v>817</v>
      </c>
      <c r="D275" s="8" t="s">
        <v>795</v>
      </c>
      <c r="E275" s="8" t="s">
        <v>44</v>
      </c>
      <c r="F275" s="8" t="s">
        <v>34</v>
      </c>
      <c r="G275" s="8" t="s">
        <v>818</v>
      </c>
    </row>
    <row r="276" spans="1:7" ht="15" customHeight="1" x14ac:dyDescent="0.25">
      <c r="A276" s="7" t="s">
        <v>819</v>
      </c>
      <c r="B276" s="7" t="s">
        <v>691</v>
      </c>
      <c r="C276" s="8" t="s">
        <v>820</v>
      </c>
      <c r="D276" s="8" t="s">
        <v>693</v>
      </c>
      <c r="E276" s="8" t="s">
        <v>94</v>
      </c>
      <c r="F276" s="8" t="s">
        <v>28</v>
      </c>
      <c r="G276" s="8" t="s">
        <v>821</v>
      </c>
    </row>
    <row r="277" spans="1:7" ht="15" customHeight="1" x14ac:dyDescent="0.25">
      <c r="A277" s="7" t="s">
        <v>822</v>
      </c>
      <c r="B277" s="7" t="s">
        <v>213</v>
      </c>
      <c r="C277" s="8" t="s">
        <v>25</v>
      </c>
      <c r="D277" s="8" t="s">
        <v>69</v>
      </c>
      <c r="E277" s="8" t="s">
        <v>94</v>
      </c>
      <c r="F277" s="8" t="s">
        <v>201</v>
      </c>
      <c r="G277" s="8" t="s">
        <v>823</v>
      </c>
    </row>
    <row r="278" spans="1:7" ht="15" customHeight="1" x14ac:dyDescent="0.25">
      <c r="A278" s="7" t="s">
        <v>824</v>
      </c>
      <c r="B278" s="7" t="s">
        <v>100</v>
      </c>
      <c r="C278" s="8" t="s">
        <v>181</v>
      </c>
      <c r="D278" s="8" t="s">
        <v>825</v>
      </c>
      <c r="E278" s="8" t="s">
        <v>826</v>
      </c>
      <c r="F278" s="8" t="s">
        <v>65</v>
      </c>
      <c r="G278" s="8" t="s">
        <v>263</v>
      </c>
    </row>
    <row r="279" spans="1:7" ht="15" customHeight="1" x14ac:dyDescent="0.25">
      <c r="A279" s="7" t="s">
        <v>827</v>
      </c>
      <c r="B279" s="7" t="s">
        <v>24</v>
      </c>
      <c r="C279" s="8" t="s">
        <v>828</v>
      </c>
      <c r="D279" s="8" t="s">
        <v>63</v>
      </c>
      <c r="E279" s="8" t="s">
        <v>94</v>
      </c>
      <c r="F279" s="8" t="s">
        <v>363</v>
      </c>
      <c r="G279" s="8" t="s">
        <v>829</v>
      </c>
    </row>
    <row r="280" spans="1:7" ht="15" customHeight="1" x14ac:dyDescent="0.25">
      <c r="A280" s="7" t="s">
        <v>830</v>
      </c>
      <c r="B280" s="7" t="s">
        <v>100</v>
      </c>
      <c r="C280" s="8" t="s">
        <v>246</v>
      </c>
      <c r="D280" s="8" t="s">
        <v>331</v>
      </c>
      <c r="E280" s="8" t="s">
        <v>247</v>
      </c>
      <c r="F280" s="8" t="s">
        <v>28</v>
      </c>
      <c r="G280" s="8" t="s">
        <v>104</v>
      </c>
    </row>
    <row r="281" spans="1:7" ht="15" customHeight="1" x14ac:dyDescent="0.25">
      <c r="A281" s="7" t="s">
        <v>831</v>
      </c>
      <c r="B281" s="7" t="s">
        <v>213</v>
      </c>
      <c r="C281" s="8" t="s">
        <v>63</v>
      </c>
      <c r="D281" s="8" t="s">
        <v>165</v>
      </c>
      <c r="E281" s="8" t="s">
        <v>70</v>
      </c>
      <c r="F281" s="8" t="s">
        <v>123</v>
      </c>
      <c r="G281" s="8" t="s">
        <v>832</v>
      </c>
    </row>
    <row r="282" spans="1:7" ht="15" customHeight="1" x14ac:dyDescent="0.25">
      <c r="A282" s="7" t="s">
        <v>833</v>
      </c>
      <c r="B282" s="7" t="s">
        <v>100</v>
      </c>
      <c r="C282" s="8" t="s">
        <v>112</v>
      </c>
      <c r="D282" s="8" t="s">
        <v>457</v>
      </c>
      <c r="E282" s="8" t="s">
        <v>296</v>
      </c>
      <c r="F282" s="8" t="s">
        <v>65</v>
      </c>
      <c r="G282" s="8" t="s">
        <v>834</v>
      </c>
    </row>
    <row r="283" spans="1:7" ht="15" customHeight="1" x14ac:dyDescent="0.25">
      <c r="A283" s="7" t="s">
        <v>835</v>
      </c>
      <c r="B283" s="7" t="s">
        <v>24</v>
      </c>
      <c r="C283" s="8" t="s">
        <v>836</v>
      </c>
      <c r="D283" s="8" t="s">
        <v>837</v>
      </c>
      <c r="E283" s="8" t="s">
        <v>107</v>
      </c>
      <c r="F283" s="8" t="s">
        <v>39</v>
      </c>
      <c r="G283" s="8" t="s">
        <v>838</v>
      </c>
    </row>
    <row r="284" spans="1:7" ht="15" customHeight="1" x14ac:dyDescent="0.25">
      <c r="A284" s="7" t="s">
        <v>839</v>
      </c>
      <c r="B284" s="7" t="s">
        <v>24</v>
      </c>
      <c r="C284" s="8" t="s">
        <v>31</v>
      </c>
      <c r="D284" s="8" t="s">
        <v>69</v>
      </c>
      <c r="E284" s="8" t="s">
        <v>169</v>
      </c>
      <c r="F284" s="8" t="s">
        <v>788</v>
      </c>
      <c r="G284" s="8"/>
    </row>
    <row r="285" spans="1:7" ht="15" customHeight="1" x14ac:dyDescent="0.25">
      <c r="A285" s="7" t="s">
        <v>840</v>
      </c>
      <c r="B285" s="7" t="s">
        <v>100</v>
      </c>
      <c r="C285" s="8" t="s">
        <v>559</v>
      </c>
      <c r="D285" s="8" t="s">
        <v>841</v>
      </c>
      <c r="E285" s="8" t="s">
        <v>463</v>
      </c>
      <c r="F285" s="8" t="s">
        <v>65</v>
      </c>
      <c r="G285" s="8" t="s">
        <v>471</v>
      </c>
    </row>
    <row r="286" spans="1:7" ht="15" customHeight="1" x14ac:dyDescent="0.25">
      <c r="A286" s="7" t="s">
        <v>842</v>
      </c>
      <c r="B286" s="7" t="s">
        <v>213</v>
      </c>
      <c r="C286" s="8" t="s">
        <v>843</v>
      </c>
      <c r="D286" s="8" t="s">
        <v>57</v>
      </c>
      <c r="E286" s="8" t="s">
        <v>352</v>
      </c>
      <c r="F286" s="8" t="s">
        <v>417</v>
      </c>
      <c r="G286" s="8" t="s">
        <v>844</v>
      </c>
    </row>
    <row r="287" spans="1:7" ht="15" customHeight="1" x14ac:dyDescent="0.25">
      <c r="A287" s="7" t="s">
        <v>845</v>
      </c>
      <c r="B287" s="7" t="s">
        <v>24</v>
      </c>
      <c r="C287" s="8" t="s">
        <v>172</v>
      </c>
      <c r="D287" s="8" t="s">
        <v>345</v>
      </c>
      <c r="E287" s="8" t="s">
        <v>396</v>
      </c>
      <c r="F287" s="8" t="s">
        <v>39</v>
      </c>
      <c r="G287" s="8" t="s">
        <v>170</v>
      </c>
    </row>
    <row r="288" spans="1:7" ht="15" customHeight="1" x14ac:dyDescent="0.25">
      <c r="A288" s="7" t="s">
        <v>846</v>
      </c>
      <c r="B288" s="7" t="s">
        <v>100</v>
      </c>
      <c r="C288" s="8" t="s">
        <v>795</v>
      </c>
      <c r="D288" s="8" t="s">
        <v>847</v>
      </c>
      <c r="E288" s="8" t="s">
        <v>118</v>
      </c>
      <c r="F288" s="8" t="s">
        <v>34</v>
      </c>
      <c r="G288" s="8" t="s">
        <v>848</v>
      </c>
    </row>
    <row r="289" spans="1:7" ht="15" customHeight="1" x14ac:dyDescent="0.25">
      <c r="A289" s="7" t="s">
        <v>849</v>
      </c>
      <c r="B289" s="7" t="s">
        <v>24</v>
      </c>
      <c r="C289" s="8" t="s">
        <v>106</v>
      </c>
      <c r="D289" s="8" t="s">
        <v>69</v>
      </c>
      <c r="E289" s="8" t="s">
        <v>328</v>
      </c>
      <c r="F289" s="8" t="s">
        <v>65</v>
      </c>
      <c r="G289" s="8" t="s">
        <v>850</v>
      </c>
    </row>
    <row r="290" spans="1:7" ht="15" customHeight="1" x14ac:dyDescent="0.25">
      <c r="A290" s="7" t="s">
        <v>851</v>
      </c>
      <c r="B290" s="7" t="s">
        <v>231</v>
      </c>
      <c r="C290" s="8" t="s">
        <v>279</v>
      </c>
      <c r="D290" s="8" t="s">
        <v>245</v>
      </c>
      <c r="E290" s="8" t="s">
        <v>70</v>
      </c>
      <c r="F290" s="8" t="s">
        <v>363</v>
      </c>
      <c r="G290" s="8" t="s">
        <v>852</v>
      </c>
    </row>
    <row r="291" spans="1:7" ht="15" customHeight="1" x14ac:dyDescent="0.25">
      <c r="A291" s="7" t="s">
        <v>853</v>
      </c>
      <c r="B291" s="7" t="s">
        <v>24</v>
      </c>
      <c r="C291" s="8" t="s">
        <v>242</v>
      </c>
      <c r="D291" s="8" t="s">
        <v>533</v>
      </c>
      <c r="E291" s="8" t="s">
        <v>453</v>
      </c>
      <c r="F291" s="8" t="s">
        <v>65</v>
      </c>
      <c r="G291" s="8" t="s">
        <v>586</v>
      </c>
    </row>
    <row r="292" spans="1:7" ht="15" customHeight="1" x14ac:dyDescent="0.25">
      <c r="A292" s="7" t="s">
        <v>312</v>
      </c>
      <c r="B292" s="7" t="s">
        <v>213</v>
      </c>
      <c r="C292" s="8" t="s">
        <v>854</v>
      </c>
      <c r="D292" s="8" t="s">
        <v>556</v>
      </c>
      <c r="E292" s="8" t="s">
        <v>602</v>
      </c>
      <c r="F292" s="8" t="s">
        <v>201</v>
      </c>
      <c r="G292" s="8" t="s">
        <v>855</v>
      </c>
    </row>
    <row r="293" spans="1:7" ht="15" customHeight="1" x14ac:dyDescent="0.25">
      <c r="A293" s="7" t="s">
        <v>856</v>
      </c>
      <c r="B293" s="7" t="s">
        <v>82</v>
      </c>
      <c r="C293" s="8" t="s">
        <v>857</v>
      </c>
      <c r="D293" s="8" t="s">
        <v>467</v>
      </c>
      <c r="E293" s="8" t="s">
        <v>453</v>
      </c>
      <c r="F293" s="8" t="s">
        <v>119</v>
      </c>
      <c r="G293" s="8" t="s">
        <v>858</v>
      </c>
    </row>
    <row r="294" spans="1:7" ht="15" customHeight="1" x14ac:dyDescent="0.25">
      <c r="A294" s="7" t="s">
        <v>859</v>
      </c>
      <c r="B294" s="7" t="s">
        <v>100</v>
      </c>
      <c r="C294" s="8" t="s">
        <v>260</v>
      </c>
      <c r="D294" s="8" t="s">
        <v>771</v>
      </c>
      <c r="E294" s="8" t="s">
        <v>463</v>
      </c>
      <c r="F294" s="8" t="s">
        <v>59</v>
      </c>
      <c r="G294" s="8" t="s">
        <v>860</v>
      </c>
    </row>
    <row r="295" spans="1:7" ht="15" customHeight="1" x14ac:dyDescent="0.25">
      <c r="A295" s="7" t="s">
        <v>861</v>
      </c>
      <c r="B295" s="7" t="s">
        <v>82</v>
      </c>
      <c r="C295" s="8" t="s">
        <v>165</v>
      </c>
      <c r="D295" s="8" t="s">
        <v>149</v>
      </c>
      <c r="E295" s="8" t="s">
        <v>131</v>
      </c>
      <c r="F295" s="8" t="s">
        <v>28</v>
      </c>
      <c r="G295" s="8" t="s">
        <v>862</v>
      </c>
    </row>
    <row r="296" spans="1:7" ht="15" customHeight="1" x14ac:dyDescent="0.25">
      <c r="A296" s="7" t="s">
        <v>863</v>
      </c>
      <c r="B296" s="7" t="s">
        <v>24</v>
      </c>
      <c r="C296" s="8" t="s">
        <v>32</v>
      </c>
      <c r="D296" s="8" t="s">
        <v>90</v>
      </c>
      <c r="E296" s="8" t="s">
        <v>48</v>
      </c>
      <c r="F296" s="8" t="s">
        <v>59</v>
      </c>
      <c r="G296" s="8" t="s">
        <v>864</v>
      </c>
    </row>
    <row r="297" spans="1:7" ht="15" customHeight="1" x14ac:dyDescent="0.25">
      <c r="A297" s="7" t="s">
        <v>865</v>
      </c>
      <c r="B297" s="7" t="s">
        <v>100</v>
      </c>
      <c r="C297" s="8" t="s">
        <v>331</v>
      </c>
      <c r="D297" s="8" t="s">
        <v>866</v>
      </c>
      <c r="E297" s="8" t="s">
        <v>127</v>
      </c>
      <c r="F297" s="8" t="s">
        <v>86</v>
      </c>
      <c r="G297" s="8" t="s">
        <v>867</v>
      </c>
    </row>
    <row r="298" spans="1:7" ht="15" customHeight="1" x14ac:dyDescent="0.25">
      <c r="A298" s="7" t="s">
        <v>741</v>
      </c>
      <c r="B298" s="7" t="s">
        <v>213</v>
      </c>
      <c r="C298" s="8" t="s">
        <v>31</v>
      </c>
      <c r="D298" s="8" t="s">
        <v>25</v>
      </c>
      <c r="E298" s="8" t="s">
        <v>70</v>
      </c>
      <c r="F298" s="8" t="s">
        <v>28</v>
      </c>
      <c r="G298" s="8" t="s">
        <v>742</v>
      </c>
    </row>
    <row r="299" spans="1:7" ht="15" customHeight="1" x14ac:dyDescent="0.25">
      <c r="A299" s="7" t="s">
        <v>868</v>
      </c>
      <c r="B299" s="7" t="s">
        <v>213</v>
      </c>
      <c r="C299" s="8" t="s">
        <v>32</v>
      </c>
      <c r="D299" s="8" t="s">
        <v>43</v>
      </c>
      <c r="E299" s="8" t="s">
        <v>70</v>
      </c>
      <c r="F299" s="8" t="s">
        <v>39</v>
      </c>
      <c r="G299" s="8" t="s">
        <v>869</v>
      </c>
    </row>
    <row r="300" spans="1:7" ht="15" customHeight="1" x14ac:dyDescent="0.25">
      <c r="A300" s="7" t="s">
        <v>870</v>
      </c>
      <c r="B300" s="7" t="s">
        <v>284</v>
      </c>
      <c r="C300" s="8" t="s">
        <v>871</v>
      </c>
      <c r="D300" s="8" t="s">
        <v>872</v>
      </c>
      <c r="E300" s="8" t="s">
        <v>453</v>
      </c>
      <c r="F300" s="8" t="s">
        <v>34</v>
      </c>
      <c r="G300" s="8" t="s">
        <v>151</v>
      </c>
    </row>
    <row r="301" spans="1:7" ht="15" customHeight="1" x14ac:dyDescent="0.25">
      <c r="A301" s="7" t="s">
        <v>873</v>
      </c>
      <c r="B301" s="7" t="s">
        <v>523</v>
      </c>
      <c r="C301" s="8" t="s">
        <v>874</v>
      </c>
      <c r="D301" s="8" t="s">
        <v>875</v>
      </c>
      <c r="E301" s="8" t="s">
        <v>372</v>
      </c>
      <c r="F301" s="8" t="s">
        <v>119</v>
      </c>
      <c r="G301" s="8" t="s">
        <v>876</v>
      </c>
    </row>
    <row r="302" spans="1:7" ht="15" customHeight="1" x14ac:dyDescent="0.25">
      <c r="A302" s="7" t="s">
        <v>877</v>
      </c>
      <c r="B302" s="7" t="s">
        <v>24</v>
      </c>
      <c r="C302" s="8" t="s">
        <v>617</v>
      </c>
      <c r="D302" s="8" t="s">
        <v>388</v>
      </c>
      <c r="E302" s="8" t="s">
        <v>570</v>
      </c>
      <c r="F302" s="8" t="s">
        <v>123</v>
      </c>
      <c r="G302" s="8" t="s">
        <v>878</v>
      </c>
    </row>
    <row r="303" spans="1:7" ht="15" customHeight="1" x14ac:dyDescent="0.25">
      <c r="A303" s="7" t="s">
        <v>879</v>
      </c>
      <c r="B303" s="7" t="s">
        <v>82</v>
      </c>
      <c r="C303" s="8" t="s">
        <v>592</v>
      </c>
      <c r="D303" s="8" t="s">
        <v>69</v>
      </c>
      <c r="E303" s="8" t="s">
        <v>228</v>
      </c>
      <c r="F303" s="8" t="s">
        <v>28</v>
      </c>
      <c r="G303" s="8" t="s">
        <v>140</v>
      </c>
    </row>
    <row r="304" spans="1:7" ht="15" customHeight="1" x14ac:dyDescent="0.25">
      <c r="A304" s="7" t="s">
        <v>880</v>
      </c>
      <c r="B304" s="7" t="s">
        <v>82</v>
      </c>
      <c r="C304" s="8" t="s">
        <v>881</v>
      </c>
      <c r="D304" s="8" t="s">
        <v>57</v>
      </c>
      <c r="E304" s="8" t="s">
        <v>80</v>
      </c>
      <c r="F304" s="8" t="s">
        <v>28</v>
      </c>
      <c r="G304" s="8" t="s">
        <v>882</v>
      </c>
    </row>
    <row r="305" spans="1:7" ht="15" customHeight="1" x14ac:dyDescent="0.25">
      <c r="A305" s="7" t="s">
        <v>883</v>
      </c>
      <c r="B305" s="7" t="s">
        <v>68</v>
      </c>
      <c r="C305" s="8" t="s">
        <v>884</v>
      </c>
      <c r="D305" s="8" t="s">
        <v>69</v>
      </c>
      <c r="E305" s="8" t="s">
        <v>257</v>
      </c>
      <c r="F305" s="8" t="s">
        <v>28</v>
      </c>
      <c r="G305" s="8" t="s">
        <v>885</v>
      </c>
    </row>
    <row r="306" spans="1:7" ht="15" customHeight="1" x14ac:dyDescent="0.25">
      <c r="A306" s="7" t="s">
        <v>886</v>
      </c>
      <c r="B306" s="7" t="s">
        <v>24</v>
      </c>
      <c r="C306" s="8" t="s">
        <v>31</v>
      </c>
      <c r="D306" s="8" t="s">
        <v>69</v>
      </c>
      <c r="E306" s="8" t="s">
        <v>169</v>
      </c>
      <c r="F306" s="8" t="s">
        <v>65</v>
      </c>
      <c r="G306" s="8" t="s">
        <v>887</v>
      </c>
    </row>
    <row r="307" spans="1:7" ht="15" customHeight="1" x14ac:dyDescent="0.25">
      <c r="A307" s="7" t="s">
        <v>888</v>
      </c>
      <c r="B307" s="7" t="s">
        <v>82</v>
      </c>
      <c r="C307" s="8" t="s">
        <v>57</v>
      </c>
      <c r="D307" s="8" t="s">
        <v>889</v>
      </c>
      <c r="E307" s="8" t="s">
        <v>222</v>
      </c>
      <c r="F307" s="8" t="s">
        <v>86</v>
      </c>
      <c r="G307" s="8" t="s">
        <v>890</v>
      </c>
    </row>
    <row r="308" spans="1:7" ht="15" customHeight="1" x14ac:dyDescent="0.25">
      <c r="A308" s="7" t="s">
        <v>891</v>
      </c>
      <c r="B308" s="7" t="s">
        <v>100</v>
      </c>
      <c r="C308" s="8" t="s">
        <v>294</v>
      </c>
      <c r="D308" s="8" t="s">
        <v>295</v>
      </c>
      <c r="E308" s="8" t="s">
        <v>296</v>
      </c>
      <c r="F308" s="8" t="s">
        <v>28</v>
      </c>
      <c r="G308" s="8" t="s">
        <v>892</v>
      </c>
    </row>
    <row r="309" spans="1:7" ht="15" customHeight="1" x14ac:dyDescent="0.25">
      <c r="A309" s="7" t="s">
        <v>893</v>
      </c>
      <c r="B309" s="7" t="s">
        <v>284</v>
      </c>
      <c r="C309" s="8" t="s">
        <v>894</v>
      </c>
      <c r="D309" s="8" t="s">
        <v>895</v>
      </c>
      <c r="E309" s="8" t="s">
        <v>581</v>
      </c>
      <c r="F309" s="8" t="s">
        <v>65</v>
      </c>
      <c r="G309" s="8" t="s">
        <v>896</v>
      </c>
    </row>
    <row r="310" spans="1:7" ht="15" customHeight="1" x14ac:dyDescent="0.25">
      <c r="A310" s="7" t="s">
        <v>897</v>
      </c>
      <c r="B310" s="7" t="s">
        <v>100</v>
      </c>
      <c r="C310" s="8" t="s">
        <v>898</v>
      </c>
      <c r="D310" s="8" t="s">
        <v>135</v>
      </c>
      <c r="E310" s="8" t="s">
        <v>222</v>
      </c>
      <c r="F310" s="8" t="s">
        <v>123</v>
      </c>
      <c r="G310" s="8" t="s">
        <v>899</v>
      </c>
    </row>
    <row r="311" spans="1:7" ht="15" customHeight="1" x14ac:dyDescent="0.25">
      <c r="A311" s="7" t="s">
        <v>900</v>
      </c>
      <c r="B311" s="7" t="s">
        <v>24</v>
      </c>
      <c r="C311" s="8" t="s">
        <v>592</v>
      </c>
      <c r="D311" s="8" t="s">
        <v>26</v>
      </c>
      <c r="E311" s="8" t="s">
        <v>346</v>
      </c>
      <c r="F311" s="8" t="s">
        <v>65</v>
      </c>
      <c r="G311" s="8" t="s">
        <v>901</v>
      </c>
    </row>
    <row r="312" spans="1:7" ht="15" customHeight="1" x14ac:dyDescent="0.25">
      <c r="A312" s="7" t="s">
        <v>902</v>
      </c>
      <c r="B312" s="7" t="s">
        <v>100</v>
      </c>
      <c r="C312" s="8" t="s">
        <v>903</v>
      </c>
      <c r="D312" s="8" t="s">
        <v>904</v>
      </c>
      <c r="E312" s="8" t="s">
        <v>211</v>
      </c>
      <c r="F312" s="8" t="s">
        <v>28</v>
      </c>
      <c r="G312" s="8" t="s">
        <v>104</v>
      </c>
    </row>
    <row r="313" spans="1:7" ht="15" customHeight="1" x14ac:dyDescent="0.25">
      <c r="A313" s="7" t="s">
        <v>905</v>
      </c>
      <c r="B313" s="7" t="s">
        <v>82</v>
      </c>
      <c r="C313" s="8" t="s">
        <v>43</v>
      </c>
      <c r="D313" s="8" t="s">
        <v>37</v>
      </c>
      <c r="E313" s="8" t="s">
        <v>80</v>
      </c>
      <c r="F313" s="8" t="s">
        <v>86</v>
      </c>
      <c r="G313" s="8" t="s">
        <v>906</v>
      </c>
    </row>
    <row r="314" spans="1:7" ht="15" customHeight="1" x14ac:dyDescent="0.25">
      <c r="A314" s="7" t="s">
        <v>907</v>
      </c>
      <c r="B314" s="7" t="s">
        <v>908</v>
      </c>
      <c r="C314" s="8" t="s">
        <v>909</v>
      </c>
      <c r="D314" s="8" t="s">
        <v>910</v>
      </c>
      <c r="E314" s="8" t="s">
        <v>64</v>
      </c>
      <c r="F314" s="8" t="s">
        <v>417</v>
      </c>
      <c r="G314" s="8" t="s">
        <v>911</v>
      </c>
    </row>
    <row r="315" spans="1:7" ht="15" customHeight="1" x14ac:dyDescent="0.25">
      <c r="A315" s="7" t="s">
        <v>912</v>
      </c>
      <c r="B315" s="7" t="s">
        <v>24</v>
      </c>
      <c r="C315" s="8" t="s">
        <v>617</v>
      </c>
      <c r="D315" s="8" t="s">
        <v>165</v>
      </c>
      <c r="E315" s="8" t="s">
        <v>257</v>
      </c>
      <c r="F315" s="8" t="s">
        <v>59</v>
      </c>
      <c r="G315" s="8" t="s">
        <v>913</v>
      </c>
    </row>
    <row r="316" spans="1:7" ht="15" customHeight="1" x14ac:dyDescent="0.25">
      <c r="A316" s="7" t="s">
        <v>914</v>
      </c>
      <c r="B316" s="7" t="s">
        <v>24</v>
      </c>
      <c r="C316" s="8" t="s">
        <v>162</v>
      </c>
      <c r="D316" s="8" t="s">
        <v>69</v>
      </c>
      <c r="E316" s="8" t="s">
        <v>48</v>
      </c>
      <c r="F316" s="8" t="s">
        <v>65</v>
      </c>
      <c r="G316" s="8" t="s">
        <v>915</v>
      </c>
    </row>
    <row r="317" spans="1:7" ht="15" customHeight="1" x14ac:dyDescent="0.25">
      <c r="A317" s="7" t="s">
        <v>916</v>
      </c>
      <c r="B317" s="7" t="s">
        <v>213</v>
      </c>
      <c r="C317" s="8" t="s">
        <v>917</v>
      </c>
      <c r="D317" s="8" t="s">
        <v>678</v>
      </c>
      <c r="E317" s="8" t="s">
        <v>453</v>
      </c>
      <c r="F317" s="8" t="s">
        <v>28</v>
      </c>
      <c r="G317" s="8" t="s">
        <v>918</v>
      </c>
    </row>
    <row r="318" spans="1:7" ht="15" customHeight="1" x14ac:dyDescent="0.25">
      <c r="A318" s="7" t="s">
        <v>919</v>
      </c>
      <c r="B318" s="7" t="s">
        <v>24</v>
      </c>
      <c r="C318" s="8" t="s">
        <v>63</v>
      </c>
      <c r="D318" s="8" t="s">
        <v>79</v>
      </c>
      <c r="E318" s="8" t="s">
        <v>80</v>
      </c>
      <c r="F318" s="8" t="s">
        <v>34</v>
      </c>
      <c r="G318" s="8" t="s">
        <v>920</v>
      </c>
    </row>
    <row r="319" spans="1:7" ht="15" customHeight="1" x14ac:dyDescent="0.25">
      <c r="A319" s="7" t="s">
        <v>921</v>
      </c>
      <c r="B319" s="7" t="s">
        <v>213</v>
      </c>
      <c r="C319" s="8" t="s">
        <v>922</v>
      </c>
      <c r="D319" s="8" t="s">
        <v>25</v>
      </c>
      <c r="E319" s="8" t="s">
        <v>107</v>
      </c>
      <c r="F319" s="8" t="s">
        <v>39</v>
      </c>
      <c r="G319" s="8" t="s">
        <v>923</v>
      </c>
    </row>
    <row r="320" spans="1:7" ht="15" customHeight="1" x14ac:dyDescent="0.25">
      <c r="A320" s="7" t="s">
        <v>924</v>
      </c>
      <c r="B320" s="7" t="s">
        <v>213</v>
      </c>
      <c r="C320" s="8" t="s">
        <v>925</v>
      </c>
      <c r="D320" s="8" t="s">
        <v>285</v>
      </c>
      <c r="E320" s="8" t="s">
        <v>239</v>
      </c>
      <c r="F320" s="8" t="s">
        <v>201</v>
      </c>
      <c r="G320" s="8" t="s">
        <v>926</v>
      </c>
    </row>
    <row r="321" spans="1:7" ht="15" customHeight="1" x14ac:dyDescent="0.25">
      <c r="A321" s="7" t="s">
        <v>927</v>
      </c>
      <c r="B321" s="7" t="s">
        <v>213</v>
      </c>
      <c r="C321" s="8" t="s">
        <v>31</v>
      </c>
      <c r="D321" s="8" t="s">
        <v>57</v>
      </c>
      <c r="E321" s="8" t="s">
        <v>94</v>
      </c>
      <c r="F321" s="8" t="s">
        <v>363</v>
      </c>
      <c r="G321" s="8" t="s">
        <v>928</v>
      </c>
    </row>
    <row r="322" spans="1:7" ht="15" customHeight="1" x14ac:dyDescent="0.25">
      <c r="A322" s="7" t="s">
        <v>929</v>
      </c>
      <c r="B322" s="7" t="s">
        <v>82</v>
      </c>
      <c r="C322" s="8" t="s">
        <v>63</v>
      </c>
      <c r="D322" s="8" t="s">
        <v>165</v>
      </c>
      <c r="E322" s="8" t="s">
        <v>70</v>
      </c>
      <c r="F322" s="8" t="s">
        <v>34</v>
      </c>
      <c r="G322" s="8" t="s">
        <v>930</v>
      </c>
    </row>
    <row r="323" spans="1:7" ht="15" customHeight="1" x14ac:dyDescent="0.25">
      <c r="A323" s="7" t="s">
        <v>931</v>
      </c>
      <c r="B323" s="7" t="s">
        <v>100</v>
      </c>
      <c r="C323" s="8" t="s">
        <v>142</v>
      </c>
      <c r="D323" s="8" t="s">
        <v>142</v>
      </c>
      <c r="E323" s="8" t="s">
        <v>166</v>
      </c>
      <c r="F323" s="8" t="s">
        <v>65</v>
      </c>
      <c r="G323" s="8" t="s">
        <v>932</v>
      </c>
    </row>
    <row r="324" spans="1:7" ht="15" customHeight="1" x14ac:dyDescent="0.25">
      <c r="A324" s="7" t="s">
        <v>933</v>
      </c>
      <c r="B324" s="7" t="s">
        <v>24</v>
      </c>
      <c r="C324" s="8" t="s">
        <v>63</v>
      </c>
      <c r="D324" s="8" t="s">
        <v>43</v>
      </c>
      <c r="E324" s="8" t="s">
        <v>352</v>
      </c>
      <c r="F324" s="8" t="s">
        <v>39</v>
      </c>
      <c r="G324" s="8" t="s">
        <v>934</v>
      </c>
    </row>
    <row r="325" spans="1:7" ht="15" customHeight="1" x14ac:dyDescent="0.25">
      <c r="A325" s="7" t="s">
        <v>935</v>
      </c>
      <c r="B325" s="7" t="s">
        <v>100</v>
      </c>
      <c r="C325" s="8" t="s">
        <v>796</v>
      </c>
      <c r="D325" s="8" t="s">
        <v>936</v>
      </c>
      <c r="E325" s="8" t="s">
        <v>372</v>
      </c>
      <c r="F325" s="8" t="s">
        <v>28</v>
      </c>
      <c r="G325" s="8" t="s">
        <v>937</v>
      </c>
    </row>
    <row r="326" spans="1:7" ht="15" customHeight="1" x14ac:dyDescent="0.25">
      <c r="A326" s="7" t="s">
        <v>938</v>
      </c>
      <c r="B326" s="7" t="s">
        <v>24</v>
      </c>
      <c r="C326" s="8" t="s">
        <v>106</v>
      </c>
      <c r="D326" s="8" t="s">
        <v>69</v>
      </c>
      <c r="E326" s="8" t="s">
        <v>328</v>
      </c>
      <c r="F326" s="8" t="s">
        <v>564</v>
      </c>
      <c r="G326" s="8"/>
    </row>
    <row r="327" spans="1:7" ht="15" customHeight="1" x14ac:dyDescent="0.25">
      <c r="A327" s="7" t="s">
        <v>939</v>
      </c>
      <c r="B327" s="7" t="s">
        <v>100</v>
      </c>
      <c r="C327" s="8" t="s">
        <v>940</v>
      </c>
      <c r="D327" s="8" t="s">
        <v>941</v>
      </c>
      <c r="E327" s="8" t="s">
        <v>942</v>
      </c>
      <c r="F327" s="8" t="s">
        <v>59</v>
      </c>
      <c r="G327" s="8" t="s">
        <v>672</v>
      </c>
    </row>
    <row r="328" spans="1:7" ht="15" customHeight="1" x14ac:dyDescent="0.25">
      <c r="A328" s="7" t="s">
        <v>943</v>
      </c>
      <c r="B328" s="7" t="s">
        <v>100</v>
      </c>
      <c r="C328" s="8" t="s">
        <v>944</v>
      </c>
      <c r="D328" s="8" t="s">
        <v>945</v>
      </c>
      <c r="E328" s="8" t="s">
        <v>150</v>
      </c>
      <c r="F328" s="8" t="s">
        <v>39</v>
      </c>
      <c r="G328" s="8" t="s">
        <v>946</v>
      </c>
    </row>
    <row r="329" spans="1:7" ht="15" customHeight="1" x14ac:dyDescent="0.25">
      <c r="A329" s="7" t="s">
        <v>947</v>
      </c>
      <c r="B329" s="7" t="s">
        <v>100</v>
      </c>
      <c r="C329" s="8" t="s">
        <v>948</v>
      </c>
      <c r="D329" s="8" t="s">
        <v>949</v>
      </c>
      <c r="E329" s="8" t="s">
        <v>118</v>
      </c>
      <c r="F329" s="8" t="s">
        <v>28</v>
      </c>
      <c r="G329" s="8" t="s">
        <v>892</v>
      </c>
    </row>
    <row r="330" spans="1:7" ht="15" customHeight="1" x14ac:dyDescent="0.25">
      <c r="A330" s="7" t="s">
        <v>950</v>
      </c>
      <c r="B330" s="7" t="s">
        <v>24</v>
      </c>
      <c r="C330" s="8" t="s">
        <v>32</v>
      </c>
      <c r="D330" s="8" t="s">
        <v>69</v>
      </c>
      <c r="E330" s="8" t="s">
        <v>58</v>
      </c>
      <c r="F330" s="8" t="s">
        <v>65</v>
      </c>
      <c r="G330" s="8" t="s">
        <v>915</v>
      </c>
    </row>
    <row r="331" spans="1:7" ht="15" customHeight="1" x14ac:dyDescent="0.25">
      <c r="A331" s="7" t="s">
        <v>951</v>
      </c>
      <c r="B331" s="7" t="s">
        <v>213</v>
      </c>
      <c r="C331" s="8" t="s">
        <v>952</v>
      </c>
      <c r="D331" s="8" t="s">
        <v>57</v>
      </c>
      <c r="E331" s="8" t="s">
        <v>48</v>
      </c>
      <c r="F331" s="8" t="s">
        <v>363</v>
      </c>
      <c r="G331" s="8" t="s">
        <v>953</v>
      </c>
    </row>
    <row r="332" spans="1:7" ht="15" customHeight="1" x14ac:dyDescent="0.25">
      <c r="A332" s="7" t="s">
        <v>954</v>
      </c>
      <c r="B332" s="7" t="s">
        <v>691</v>
      </c>
      <c r="C332" s="8" t="s">
        <v>327</v>
      </c>
      <c r="D332" s="8" t="s">
        <v>556</v>
      </c>
      <c r="E332" s="8" t="s">
        <v>602</v>
      </c>
      <c r="F332" s="8" t="s">
        <v>65</v>
      </c>
      <c r="G332" s="8" t="s">
        <v>955</v>
      </c>
    </row>
    <row r="333" spans="1:7" ht="15" customHeight="1" x14ac:dyDescent="0.25">
      <c r="A333" s="7" t="s">
        <v>956</v>
      </c>
      <c r="B333" s="7" t="s">
        <v>24</v>
      </c>
      <c r="C333" s="8" t="s">
        <v>957</v>
      </c>
      <c r="D333" s="8" t="s">
        <v>37</v>
      </c>
      <c r="E333" s="8" t="s">
        <v>424</v>
      </c>
      <c r="F333" s="8" t="s">
        <v>86</v>
      </c>
      <c r="G333" s="8" t="s">
        <v>958</v>
      </c>
    </row>
    <row r="334" spans="1:7" ht="15" customHeight="1" x14ac:dyDescent="0.25">
      <c r="A334" s="7" t="s">
        <v>959</v>
      </c>
      <c r="B334" s="7" t="s">
        <v>100</v>
      </c>
      <c r="C334" s="8" t="s">
        <v>960</v>
      </c>
      <c r="D334" s="8" t="s">
        <v>941</v>
      </c>
      <c r="E334" s="8" t="s">
        <v>73</v>
      </c>
      <c r="F334" s="8" t="s">
        <v>65</v>
      </c>
      <c r="G334" s="8" t="s">
        <v>716</v>
      </c>
    </row>
    <row r="335" spans="1:7" ht="15" customHeight="1" x14ac:dyDescent="0.25">
      <c r="A335" s="7" t="s">
        <v>961</v>
      </c>
      <c r="B335" s="7" t="s">
        <v>24</v>
      </c>
      <c r="C335" s="8" t="s">
        <v>63</v>
      </c>
      <c r="D335" s="8" t="s">
        <v>79</v>
      </c>
      <c r="E335" s="8" t="s">
        <v>80</v>
      </c>
      <c r="F335" s="8" t="s">
        <v>65</v>
      </c>
      <c r="G335" s="8" t="s">
        <v>962</v>
      </c>
    </row>
    <row r="336" spans="1:7" ht="15" customHeight="1" x14ac:dyDescent="0.25">
      <c r="A336" s="7" t="s">
        <v>963</v>
      </c>
      <c r="B336" s="7" t="s">
        <v>964</v>
      </c>
      <c r="C336" s="8" t="s">
        <v>117</v>
      </c>
      <c r="D336" s="8" t="s">
        <v>143</v>
      </c>
      <c r="E336" s="8" t="s">
        <v>965</v>
      </c>
      <c r="F336" s="8" t="s">
        <v>28</v>
      </c>
      <c r="G336" s="8" t="s">
        <v>966</v>
      </c>
    </row>
    <row r="337" spans="1:7" ht="15" customHeight="1" x14ac:dyDescent="0.25">
      <c r="A337" s="7" t="s">
        <v>967</v>
      </c>
      <c r="B337" s="7" t="s">
        <v>964</v>
      </c>
      <c r="C337" s="8" t="s">
        <v>968</v>
      </c>
      <c r="D337" s="8" t="s">
        <v>444</v>
      </c>
      <c r="E337" s="8" t="s">
        <v>169</v>
      </c>
      <c r="F337" s="8" t="s">
        <v>65</v>
      </c>
      <c r="G337" s="8" t="s">
        <v>969</v>
      </c>
    </row>
    <row r="338" spans="1:7" ht="15" customHeight="1" x14ac:dyDescent="0.25">
      <c r="A338" s="7" t="s">
        <v>970</v>
      </c>
      <c r="B338" s="7" t="s">
        <v>964</v>
      </c>
      <c r="C338" s="8" t="s">
        <v>149</v>
      </c>
      <c r="D338" s="8" t="s">
        <v>971</v>
      </c>
      <c r="E338" s="8" t="s">
        <v>328</v>
      </c>
      <c r="F338" s="8" t="s">
        <v>363</v>
      </c>
      <c r="G338" s="8" t="s">
        <v>972</v>
      </c>
    </row>
    <row r="339" spans="1:7" ht="15" customHeight="1" x14ac:dyDescent="0.25">
      <c r="A339" s="7" t="s">
        <v>973</v>
      </c>
      <c r="B339" s="7" t="s">
        <v>974</v>
      </c>
      <c r="C339" s="8" t="s">
        <v>975</v>
      </c>
      <c r="D339" s="8" t="s">
        <v>221</v>
      </c>
      <c r="E339" s="8" t="s">
        <v>976</v>
      </c>
      <c r="F339" s="8" t="s">
        <v>65</v>
      </c>
      <c r="G339" s="8" t="s">
        <v>977</v>
      </c>
    </row>
    <row r="340" spans="1:7" ht="15" customHeight="1" x14ac:dyDescent="0.25">
      <c r="A340" s="7" t="s">
        <v>978</v>
      </c>
      <c r="B340" s="7" t="s">
        <v>979</v>
      </c>
      <c r="C340" s="8" t="s">
        <v>980</v>
      </c>
      <c r="D340" s="8" t="s">
        <v>817</v>
      </c>
      <c r="E340" s="8" t="s">
        <v>182</v>
      </c>
      <c r="F340" s="8" t="s">
        <v>34</v>
      </c>
      <c r="G340" s="8" t="s">
        <v>981</v>
      </c>
    </row>
    <row r="341" spans="1:7" ht="15" customHeight="1" x14ac:dyDescent="0.25">
      <c r="A341" s="7" t="s">
        <v>982</v>
      </c>
      <c r="B341" s="7" t="s">
        <v>979</v>
      </c>
      <c r="C341" s="8" t="s">
        <v>983</v>
      </c>
      <c r="D341" s="8" t="s">
        <v>983</v>
      </c>
      <c r="E341" s="8" t="s">
        <v>166</v>
      </c>
      <c r="F341" s="8" t="s">
        <v>65</v>
      </c>
      <c r="G341" s="8" t="s">
        <v>984</v>
      </c>
    </row>
    <row r="342" spans="1:7" ht="15" customHeight="1" x14ac:dyDescent="0.25">
      <c r="A342" s="7" t="s">
        <v>985</v>
      </c>
      <c r="B342" s="7" t="s">
        <v>979</v>
      </c>
      <c r="C342" s="8" t="s">
        <v>983</v>
      </c>
      <c r="D342" s="8" t="s">
        <v>983</v>
      </c>
      <c r="E342" s="8" t="s">
        <v>166</v>
      </c>
      <c r="F342" s="8" t="s">
        <v>65</v>
      </c>
      <c r="G342" s="8" t="s">
        <v>984</v>
      </c>
    </row>
    <row r="343" spans="1:7" ht="15" customHeight="1" x14ac:dyDescent="0.25">
      <c r="A343" s="7" t="s">
        <v>986</v>
      </c>
      <c r="B343" s="7" t="s">
        <v>979</v>
      </c>
      <c r="C343" s="8" t="s">
        <v>980</v>
      </c>
      <c r="D343" s="8" t="s">
        <v>817</v>
      </c>
      <c r="E343" s="8" t="s">
        <v>182</v>
      </c>
      <c r="F343" s="8" t="s">
        <v>34</v>
      </c>
      <c r="G343" s="8" t="s">
        <v>981</v>
      </c>
    </row>
    <row r="344" spans="1:7" ht="15" customHeight="1" x14ac:dyDescent="0.25">
      <c r="A344" s="7" t="s">
        <v>987</v>
      </c>
      <c r="B344" s="7" t="s">
        <v>979</v>
      </c>
      <c r="C344" s="8" t="s">
        <v>980</v>
      </c>
      <c r="D344" s="8" t="s">
        <v>817</v>
      </c>
      <c r="E344" s="8" t="s">
        <v>182</v>
      </c>
      <c r="F344" s="8" t="s">
        <v>34</v>
      </c>
      <c r="G344" s="8" t="s">
        <v>981</v>
      </c>
    </row>
    <row r="345" spans="1:7" ht="15" customHeight="1" x14ac:dyDescent="0.25">
      <c r="A345" s="7" t="s">
        <v>988</v>
      </c>
      <c r="B345" s="7" t="s">
        <v>989</v>
      </c>
      <c r="C345" s="8" t="s">
        <v>990</v>
      </c>
      <c r="D345" s="8" t="s">
        <v>52</v>
      </c>
      <c r="E345" s="8" t="s">
        <v>33</v>
      </c>
      <c r="F345" s="8" t="s">
        <v>86</v>
      </c>
      <c r="G345" s="8" t="s">
        <v>991</v>
      </c>
    </row>
    <row r="346" spans="1:7" ht="15" customHeight="1" x14ac:dyDescent="0.25">
      <c r="A346" s="7" t="s">
        <v>992</v>
      </c>
      <c r="B346" s="7" t="s">
        <v>964</v>
      </c>
      <c r="C346" s="8" t="s">
        <v>993</v>
      </c>
      <c r="D346" s="8" t="s">
        <v>702</v>
      </c>
      <c r="E346" s="8" t="s">
        <v>228</v>
      </c>
      <c r="F346" s="8" t="s">
        <v>59</v>
      </c>
      <c r="G346" s="8" t="s">
        <v>994</v>
      </c>
    </row>
    <row r="347" spans="1:7" ht="15" customHeight="1" x14ac:dyDescent="0.25">
      <c r="A347" s="7" t="s">
        <v>995</v>
      </c>
      <c r="B347" s="7" t="s">
        <v>996</v>
      </c>
      <c r="C347" s="8" t="s">
        <v>327</v>
      </c>
      <c r="D347" s="8" t="s">
        <v>195</v>
      </c>
      <c r="E347" s="8" t="s">
        <v>997</v>
      </c>
      <c r="F347" s="8" t="s">
        <v>34</v>
      </c>
      <c r="G347" s="8" t="s">
        <v>998</v>
      </c>
    </row>
    <row r="348" spans="1:7" ht="15" customHeight="1" x14ac:dyDescent="0.25">
      <c r="A348" s="7" t="s">
        <v>999</v>
      </c>
      <c r="B348" s="7" t="s">
        <v>964</v>
      </c>
      <c r="C348" s="8" t="s">
        <v>250</v>
      </c>
      <c r="D348" s="8" t="s">
        <v>1000</v>
      </c>
      <c r="E348" s="8" t="s">
        <v>1001</v>
      </c>
      <c r="F348" s="8" t="s">
        <v>39</v>
      </c>
      <c r="G348" s="8" t="s">
        <v>1002</v>
      </c>
    </row>
    <row r="349" spans="1:7" ht="15" customHeight="1" x14ac:dyDescent="0.25">
      <c r="A349" s="7" t="s">
        <v>1003</v>
      </c>
      <c r="B349" s="7" t="s">
        <v>1004</v>
      </c>
      <c r="C349" s="8" t="s">
        <v>165</v>
      </c>
      <c r="D349" s="8" t="s">
        <v>69</v>
      </c>
      <c r="E349" s="8" t="s">
        <v>463</v>
      </c>
      <c r="F349" s="8" t="s">
        <v>59</v>
      </c>
      <c r="G349" s="8" t="s">
        <v>1005</v>
      </c>
    </row>
    <row r="350" spans="1:7" ht="15" customHeight="1" x14ac:dyDescent="0.25">
      <c r="A350" s="7" t="s">
        <v>1006</v>
      </c>
      <c r="B350" s="7" t="s">
        <v>979</v>
      </c>
      <c r="C350" s="8" t="s">
        <v>1007</v>
      </c>
      <c r="D350" s="8" t="s">
        <v>1008</v>
      </c>
      <c r="E350" s="8" t="s">
        <v>1009</v>
      </c>
      <c r="F350" s="8" t="s">
        <v>28</v>
      </c>
      <c r="G350" s="8" t="s">
        <v>448</v>
      </c>
    </row>
    <row r="351" spans="1:7" ht="15" customHeight="1" x14ac:dyDescent="0.25">
      <c r="A351" s="7" t="s">
        <v>1010</v>
      </c>
      <c r="B351" s="7" t="s">
        <v>1004</v>
      </c>
      <c r="C351" s="8" t="s">
        <v>165</v>
      </c>
      <c r="D351" s="8" t="s">
        <v>556</v>
      </c>
      <c r="E351" s="8" t="s">
        <v>598</v>
      </c>
      <c r="F351" s="8" t="s">
        <v>39</v>
      </c>
      <c r="G351" s="8" t="s">
        <v>1011</v>
      </c>
    </row>
    <row r="352" spans="1:7" ht="15" customHeight="1" x14ac:dyDescent="0.25">
      <c r="A352" s="7" t="s">
        <v>1012</v>
      </c>
      <c r="B352" s="7" t="s">
        <v>979</v>
      </c>
      <c r="C352" s="8" t="s">
        <v>817</v>
      </c>
      <c r="D352" s="8" t="s">
        <v>1008</v>
      </c>
      <c r="E352" s="8" t="s">
        <v>144</v>
      </c>
      <c r="F352" s="8" t="s">
        <v>34</v>
      </c>
      <c r="G352" s="8" t="s">
        <v>1013</v>
      </c>
    </row>
    <row r="353" spans="1:7" ht="15" customHeight="1" x14ac:dyDescent="0.25">
      <c r="A353" s="7" t="s">
        <v>1014</v>
      </c>
      <c r="B353" s="7" t="s">
        <v>1015</v>
      </c>
      <c r="C353" s="8" t="s">
        <v>32</v>
      </c>
      <c r="D353" s="8" t="s">
        <v>327</v>
      </c>
      <c r="E353" s="8" t="s">
        <v>156</v>
      </c>
      <c r="F353" s="8" t="s">
        <v>34</v>
      </c>
      <c r="G353" s="8" t="s">
        <v>1016</v>
      </c>
    </row>
    <row r="354" spans="1:7" ht="15" customHeight="1" x14ac:dyDescent="0.25">
      <c r="A354" s="7" t="s">
        <v>1017</v>
      </c>
      <c r="B354" s="7" t="s">
        <v>1004</v>
      </c>
      <c r="C354" s="8" t="s">
        <v>32</v>
      </c>
      <c r="D354" s="8" t="s">
        <v>69</v>
      </c>
      <c r="E354" s="8" t="s">
        <v>58</v>
      </c>
      <c r="F354" s="8" t="s">
        <v>59</v>
      </c>
      <c r="G354" s="8" t="s">
        <v>1018</v>
      </c>
    </row>
    <row r="355" spans="1:7" ht="15" customHeight="1" x14ac:dyDescent="0.25">
      <c r="A355" s="7" t="s">
        <v>1019</v>
      </c>
      <c r="B355" s="7" t="s">
        <v>989</v>
      </c>
      <c r="C355" s="8" t="s">
        <v>1020</v>
      </c>
      <c r="D355" s="8" t="s">
        <v>1021</v>
      </c>
      <c r="E355" s="8" t="s">
        <v>281</v>
      </c>
      <c r="F355" s="8" t="s">
        <v>86</v>
      </c>
      <c r="G355" s="8" t="s">
        <v>991</v>
      </c>
    </row>
    <row r="356" spans="1:7" ht="15" customHeight="1" x14ac:dyDescent="0.25">
      <c r="A356" s="7" t="s">
        <v>1022</v>
      </c>
      <c r="B356" s="7" t="s">
        <v>979</v>
      </c>
      <c r="C356" s="8" t="s">
        <v>1007</v>
      </c>
      <c r="D356" s="8" t="s">
        <v>1008</v>
      </c>
      <c r="E356" s="8" t="s">
        <v>1009</v>
      </c>
      <c r="F356" s="8" t="s">
        <v>28</v>
      </c>
      <c r="G356" s="8" t="s">
        <v>448</v>
      </c>
    </row>
    <row r="357" spans="1:7" ht="15" customHeight="1" x14ac:dyDescent="0.25">
      <c r="A357" s="7" t="s">
        <v>1023</v>
      </c>
      <c r="B357" s="7" t="s">
        <v>974</v>
      </c>
      <c r="C357" s="8" t="s">
        <v>250</v>
      </c>
      <c r="D357" s="8" t="s">
        <v>556</v>
      </c>
      <c r="E357" s="8" t="s">
        <v>463</v>
      </c>
      <c r="F357" s="8" t="s">
        <v>65</v>
      </c>
      <c r="G357" s="8" t="s">
        <v>1024</v>
      </c>
    </row>
    <row r="358" spans="1:7" ht="15" customHeight="1" x14ac:dyDescent="0.25">
      <c r="A358" s="7" t="s">
        <v>1025</v>
      </c>
      <c r="B358" s="7" t="s">
        <v>974</v>
      </c>
      <c r="C358" s="8" t="s">
        <v>1026</v>
      </c>
      <c r="D358" s="8" t="s">
        <v>221</v>
      </c>
      <c r="E358" s="8" t="s">
        <v>602</v>
      </c>
      <c r="F358" s="8" t="s">
        <v>65</v>
      </c>
      <c r="G358" s="8" t="s">
        <v>977</v>
      </c>
    </row>
    <row r="359" spans="1:7" ht="15" customHeight="1" x14ac:dyDescent="0.25">
      <c r="A359" s="7" t="s">
        <v>1027</v>
      </c>
      <c r="B359" s="7" t="s">
        <v>1028</v>
      </c>
      <c r="C359" s="8" t="s">
        <v>32</v>
      </c>
      <c r="D359" s="8" t="s">
        <v>69</v>
      </c>
      <c r="E359" s="8" t="s">
        <v>58</v>
      </c>
      <c r="F359" s="8" t="s">
        <v>39</v>
      </c>
      <c r="G359" s="8" t="s">
        <v>1029</v>
      </c>
    </row>
    <row r="360" spans="1:7" ht="15" customHeight="1" x14ac:dyDescent="0.25">
      <c r="A360" s="7" t="s">
        <v>1030</v>
      </c>
      <c r="B360" s="7" t="s">
        <v>1031</v>
      </c>
      <c r="C360" s="8" t="s">
        <v>1032</v>
      </c>
      <c r="D360" s="8" t="s">
        <v>483</v>
      </c>
      <c r="E360" s="8" t="s">
        <v>182</v>
      </c>
      <c r="F360" s="8" t="s">
        <v>86</v>
      </c>
      <c r="G360" s="8" t="s">
        <v>1033</v>
      </c>
    </row>
    <row r="361" spans="1:7" ht="15" customHeight="1" x14ac:dyDescent="0.25">
      <c r="A361" s="7" t="s">
        <v>1034</v>
      </c>
      <c r="B361" s="7" t="s">
        <v>964</v>
      </c>
      <c r="C361" s="8" t="s">
        <v>195</v>
      </c>
      <c r="D361" s="8" t="s">
        <v>314</v>
      </c>
      <c r="E361" s="8" t="s">
        <v>94</v>
      </c>
      <c r="F361" s="8" t="s">
        <v>34</v>
      </c>
      <c r="G361" s="8" t="s">
        <v>1035</v>
      </c>
    </row>
    <row r="362" spans="1:7" ht="15" customHeight="1" x14ac:dyDescent="0.25">
      <c r="A362" s="7" t="s">
        <v>1036</v>
      </c>
      <c r="B362" s="7" t="s">
        <v>964</v>
      </c>
      <c r="C362" s="8" t="s">
        <v>250</v>
      </c>
      <c r="D362" s="8" t="s">
        <v>279</v>
      </c>
      <c r="E362" s="8" t="s">
        <v>1037</v>
      </c>
      <c r="F362" s="8" t="s">
        <v>28</v>
      </c>
      <c r="G362" s="8" t="s">
        <v>1038</v>
      </c>
    </row>
    <row r="363" spans="1:7" ht="15" customHeight="1" x14ac:dyDescent="0.25">
      <c r="A363" s="7" t="s">
        <v>1039</v>
      </c>
      <c r="B363" s="7" t="s">
        <v>979</v>
      </c>
      <c r="C363" s="8" t="s">
        <v>1040</v>
      </c>
      <c r="D363" s="8" t="s">
        <v>904</v>
      </c>
      <c r="E363" s="8" t="s">
        <v>541</v>
      </c>
      <c r="F363" s="8" t="s">
        <v>59</v>
      </c>
      <c r="G363" s="8" t="s">
        <v>1041</v>
      </c>
    </row>
    <row r="364" spans="1:7" ht="15" customHeight="1" x14ac:dyDescent="0.25">
      <c r="A364" s="7" t="s">
        <v>1042</v>
      </c>
      <c r="B364" s="7" t="s">
        <v>989</v>
      </c>
      <c r="C364" s="8" t="s">
        <v>1043</v>
      </c>
      <c r="D364" s="8" t="s">
        <v>84</v>
      </c>
      <c r="E364" s="8" t="s">
        <v>281</v>
      </c>
      <c r="F364" s="8" t="s">
        <v>86</v>
      </c>
      <c r="G364" s="8" t="s">
        <v>991</v>
      </c>
    </row>
    <row r="365" spans="1:7" ht="15" customHeight="1" x14ac:dyDescent="0.25">
      <c r="A365" s="7" t="s">
        <v>1044</v>
      </c>
      <c r="B365" s="7" t="s">
        <v>979</v>
      </c>
      <c r="C365" s="8" t="s">
        <v>233</v>
      </c>
      <c r="D365" s="8" t="s">
        <v>1045</v>
      </c>
      <c r="E365" s="8" t="s">
        <v>182</v>
      </c>
      <c r="F365" s="8" t="s">
        <v>59</v>
      </c>
      <c r="G365" s="8" t="s">
        <v>1046</v>
      </c>
    </row>
    <row r="366" spans="1:7" ht="15" customHeight="1" x14ac:dyDescent="0.25">
      <c r="A366" s="7" t="s">
        <v>963</v>
      </c>
      <c r="B366" s="7" t="s">
        <v>964</v>
      </c>
      <c r="C366" s="8" t="s">
        <v>117</v>
      </c>
      <c r="D366" s="8" t="s">
        <v>143</v>
      </c>
      <c r="E366" s="8" t="s">
        <v>965</v>
      </c>
      <c r="F366" s="8" t="s">
        <v>28</v>
      </c>
      <c r="G366" s="8" t="s">
        <v>966</v>
      </c>
    </row>
    <row r="367" spans="1:7" ht="15" customHeight="1" x14ac:dyDescent="0.25">
      <c r="A367" s="7" t="s">
        <v>1047</v>
      </c>
      <c r="B367" s="7" t="s">
        <v>964</v>
      </c>
      <c r="C367" s="8" t="s">
        <v>221</v>
      </c>
      <c r="D367" s="8" t="s">
        <v>444</v>
      </c>
      <c r="E367" s="8" t="s">
        <v>257</v>
      </c>
      <c r="F367" s="8" t="s">
        <v>28</v>
      </c>
      <c r="G367" s="8" t="s">
        <v>1048</v>
      </c>
    </row>
    <row r="368" spans="1:7" ht="15" customHeight="1" x14ac:dyDescent="0.25">
      <c r="A368" s="7" t="s">
        <v>1049</v>
      </c>
      <c r="B368" s="7" t="s">
        <v>979</v>
      </c>
      <c r="C368" s="8" t="s">
        <v>903</v>
      </c>
      <c r="D368" s="8" t="s">
        <v>102</v>
      </c>
      <c r="E368" s="8" t="s">
        <v>336</v>
      </c>
      <c r="F368" s="8" t="s">
        <v>59</v>
      </c>
      <c r="G368" s="8" t="s">
        <v>1041</v>
      </c>
    </row>
    <row r="369" spans="1:7" ht="15" customHeight="1" x14ac:dyDescent="0.25">
      <c r="A369" s="7" t="s">
        <v>1050</v>
      </c>
      <c r="B369" s="7" t="s">
        <v>979</v>
      </c>
      <c r="C369" s="8" t="s">
        <v>1051</v>
      </c>
      <c r="D369" s="8" t="s">
        <v>1052</v>
      </c>
      <c r="E369" s="8" t="s">
        <v>1009</v>
      </c>
      <c r="F369" s="8" t="s">
        <v>34</v>
      </c>
      <c r="G369" s="8" t="s">
        <v>1053</v>
      </c>
    </row>
    <row r="370" spans="1:7" ht="15" customHeight="1" x14ac:dyDescent="0.25">
      <c r="A370" s="7" t="s">
        <v>963</v>
      </c>
      <c r="B370" s="7" t="s">
        <v>964</v>
      </c>
      <c r="C370" s="8" t="s">
        <v>117</v>
      </c>
      <c r="D370" s="8" t="s">
        <v>143</v>
      </c>
      <c r="E370" s="8" t="s">
        <v>965</v>
      </c>
      <c r="F370" s="8" t="s">
        <v>28</v>
      </c>
      <c r="G370" s="8" t="s">
        <v>966</v>
      </c>
    </row>
    <row r="371" spans="1:7" ht="15" customHeight="1" x14ac:dyDescent="0.25">
      <c r="A371" s="7" t="s">
        <v>23</v>
      </c>
      <c r="B371" s="7" t="s">
        <v>24</v>
      </c>
      <c r="C371" s="8" t="s">
        <v>25</v>
      </c>
      <c r="D371" s="8" t="s">
        <v>26</v>
      </c>
      <c r="E371" s="8" t="s">
        <v>27</v>
      </c>
      <c r="F371" s="8" t="s">
        <v>28</v>
      </c>
      <c r="G371" s="8" t="s">
        <v>1054</v>
      </c>
    </row>
    <row r="372" spans="1:7" ht="15" customHeight="1" x14ac:dyDescent="0.25">
      <c r="A372" s="7" t="s">
        <v>1055</v>
      </c>
      <c r="B372" s="7" t="s">
        <v>979</v>
      </c>
      <c r="C372" s="8" t="s">
        <v>429</v>
      </c>
      <c r="D372" s="8" t="s">
        <v>1056</v>
      </c>
      <c r="E372" s="8" t="s">
        <v>64</v>
      </c>
      <c r="F372" s="8" t="s">
        <v>59</v>
      </c>
      <c r="G372" s="8" t="s">
        <v>1057</v>
      </c>
    </row>
    <row r="373" spans="1:7" ht="15" customHeight="1" x14ac:dyDescent="0.25">
      <c r="A373" s="7" t="s">
        <v>1058</v>
      </c>
      <c r="B373" s="7" t="s">
        <v>979</v>
      </c>
      <c r="C373" s="8" t="s">
        <v>980</v>
      </c>
      <c r="D373" s="8" t="s">
        <v>429</v>
      </c>
      <c r="E373" s="8" t="s">
        <v>797</v>
      </c>
      <c r="F373" s="8" t="s">
        <v>59</v>
      </c>
      <c r="G373" s="8" t="s">
        <v>1057</v>
      </c>
    </row>
    <row r="374" spans="1:7" ht="15" customHeight="1" x14ac:dyDescent="0.25">
      <c r="A374" s="7" t="s">
        <v>963</v>
      </c>
      <c r="B374" s="7" t="s">
        <v>964</v>
      </c>
      <c r="C374" s="8" t="s">
        <v>117</v>
      </c>
      <c r="D374" s="8" t="s">
        <v>143</v>
      </c>
      <c r="E374" s="8" t="s">
        <v>965</v>
      </c>
      <c r="F374" s="8" t="s">
        <v>28</v>
      </c>
      <c r="G374" s="8" t="s">
        <v>966</v>
      </c>
    </row>
    <row r="375" spans="1:7" ht="15" customHeight="1" x14ac:dyDescent="0.25">
      <c r="A375" s="7" t="s">
        <v>1059</v>
      </c>
      <c r="B375" s="7" t="s">
        <v>979</v>
      </c>
      <c r="C375" s="8" t="s">
        <v>817</v>
      </c>
      <c r="D375" s="8" t="s">
        <v>1008</v>
      </c>
      <c r="E375" s="8" t="s">
        <v>144</v>
      </c>
      <c r="F375" s="8" t="s">
        <v>34</v>
      </c>
      <c r="G375" s="8" t="s">
        <v>1013</v>
      </c>
    </row>
    <row r="376" spans="1:7" ht="15" customHeight="1" x14ac:dyDescent="0.25">
      <c r="A376" s="7" t="s">
        <v>1060</v>
      </c>
      <c r="B376" s="7" t="s">
        <v>1061</v>
      </c>
      <c r="C376" s="8" t="s">
        <v>265</v>
      </c>
      <c r="D376" s="8" t="s">
        <v>1062</v>
      </c>
      <c r="E376" s="8" t="s">
        <v>139</v>
      </c>
      <c r="F376" s="8" t="s">
        <v>65</v>
      </c>
      <c r="G376" s="8" t="s">
        <v>1063</v>
      </c>
    </row>
    <row r="377" spans="1:7" ht="15" customHeight="1" x14ac:dyDescent="0.25">
      <c r="A377" s="7" t="s">
        <v>1064</v>
      </c>
      <c r="B377" s="7" t="s">
        <v>964</v>
      </c>
      <c r="C377" s="8" t="s">
        <v>314</v>
      </c>
      <c r="D377" s="8" t="s">
        <v>903</v>
      </c>
      <c r="E377" s="8" t="s">
        <v>598</v>
      </c>
      <c r="F377" s="8" t="s">
        <v>65</v>
      </c>
      <c r="G377" s="8" t="s">
        <v>1065</v>
      </c>
    </row>
    <row r="378" spans="1:7" ht="15" customHeight="1" x14ac:dyDescent="0.25">
      <c r="A378" s="7" t="s">
        <v>1066</v>
      </c>
      <c r="B378" s="7" t="s">
        <v>964</v>
      </c>
      <c r="C378" s="8" t="s">
        <v>1067</v>
      </c>
      <c r="D378" s="8" t="s">
        <v>1068</v>
      </c>
      <c r="E378" s="8" t="s">
        <v>70</v>
      </c>
      <c r="F378" s="8" t="s">
        <v>59</v>
      </c>
      <c r="G378" s="8" t="s">
        <v>1069</v>
      </c>
    </row>
    <row r="379" spans="1:7" ht="15" customHeight="1" x14ac:dyDescent="0.25">
      <c r="A379" s="7" t="s">
        <v>30</v>
      </c>
      <c r="B379" s="7" t="s">
        <v>24</v>
      </c>
      <c r="C379" s="8" t="s">
        <v>31</v>
      </c>
      <c r="D379" s="8" t="s">
        <v>32</v>
      </c>
      <c r="E379" s="8" t="s">
        <v>33</v>
      </c>
      <c r="F379" s="8" t="s">
        <v>34</v>
      </c>
      <c r="G379" s="8" t="s">
        <v>1070</v>
      </c>
    </row>
    <row r="380" spans="1:7" ht="15" customHeight="1" x14ac:dyDescent="0.25">
      <c r="A380" s="7" t="s">
        <v>1071</v>
      </c>
      <c r="B380" s="7" t="s">
        <v>979</v>
      </c>
      <c r="C380" s="8" t="s">
        <v>1072</v>
      </c>
      <c r="D380" s="8" t="s">
        <v>795</v>
      </c>
      <c r="E380" s="8" t="s">
        <v>1073</v>
      </c>
      <c r="F380" s="8" t="s">
        <v>59</v>
      </c>
      <c r="G380" s="8" t="s">
        <v>1074</v>
      </c>
    </row>
    <row r="381" spans="1:7" ht="15" customHeight="1" x14ac:dyDescent="0.25">
      <c r="A381" s="7" t="s">
        <v>36</v>
      </c>
      <c r="B381" s="7" t="s">
        <v>24</v>
      </c>
      <c r="C381" s="8" t="s">
        <v>31</v>
      </c>
      <c r="D381" s="8" t="s">
        <v>69</v>
      </c>
      <c r="E381" s="8" t="s">
        <v>169</v>
      </c>
      <c r="F381" s="8" t="s">
        <v>39</v>
      </c>
      <c r="G381" s="8" t="s">
        <v>40</v>
      </c>
    </row>
    <row r="382" spans="1:7" ht="15" customHeight="1" x14ac:dyDescent="0.25">
      <c r="A382" s="7" t="s">
        <v>963</v>
      </c>
      <c r="B382" s="7" t="s">
        <v>964</v>
      </c>
      <c r="C382" s="8" t="s">
        <v>117</v>
      </c>
      <c r="D382" s="8" t="s">
        <v>143</v>
      </c>
      <c r="E382" s="8" t="s">
        <v>965</v>
      </c>
      <c r="F382" s="8" t="s">
        <v>28</v>
      </c>
      <c r="G382" s="8" t="s">
        <v>966</v>
      </c>
    </row>
    <row r="383" spans="1:7" ht="15" customHeight="1" x14ac:dyDescent="0.25">
      <c r="A383" s="7" t="s">
        <v>1075</v>
      </c>
      <c r="B383" s="7" t="s">
        <v>979</v>
      </c>
      <c r="C383" s="8" t="s">
        <v>817</v>
      </c>
      <c r="D383" s="8" t="s">
        <v>1008</v>
      </c>
      <c r="E383" s="8" t="s">
        <v>144</v>
      </c>
      <c r="F383" s="8" t="s">
        <v>34</v>
      </c>
      <c r="G383" s="8" t="s">
        <v>1013</v>
      </c>
    </row>
    <row r="384" spans="1:7" ht="15" customHeight="1" x14ac:dyDescent="0.25">
      <c r="A384" s="7" t="s">
        <v>1076</v>
      </c>
      <c r="B384" s="7" t="s">
        <v>1015</v>
      </c>
      <c r="C384" s="8" t="s">
        <v>1077</v>
      </c>
      <c r="D384" s="8" t="s">
        <v>483</v>
      </c>
      <c r="E384" s="8" t="s">
        <v>1078</v>
      </c>
      <c r="F384" s="8" t="s">
        <v>86</v>
      </c>
      <c r="G384" s="8" t="s">
        <v>1079</v>
      </c>
    </row>
    <row r="385" spans="1:7" ht="15" customHeight="1" x14ac:dyDescent="0.25">
      <c r="A385" s="7" t="s">
        <v>1080</v>
      </c>
      <c r="B385" s="7" t="s">
        <v>979</v>
      </c>
      <c r="C385" s="8" t="s">
        <v>233</v>
      </c>
      <c r="D385" s="8" t="s">
        <v>245</v>
      </c>
      <c r="E385" s="8" t="s">
        <v>997</v>
      </c>
      <c r="F385" s="8" t="s">
        <v>28</v>
      </c>
      <c r="G385" s="8" t="s">
        <v>1081</v>
      </c>
    </row>
    <row r="386" spans="1:7" ht="15" customHeight="1" x14ac:dyDescent="0.25">
      <c r="A386" s="7" t="s">
        <v>1082</v>
      </c>
      <c r="B386" s="7" t="s">
        <v>1083</v>
      </c>
      <c r="C386" s="8" t="s">
        <v>1084</v>
      </c>
      <c r="D386" s="8" t="s">
        <v>195</v>
      </c>
      <c r="E386" s="8" t="s">
        <v>346</v>
      </c>
      <c r="F386" s="8" t="s">
        <v>363</v>
      </c>
      <c r="G386" s="8" t="s">
        <v>1085</v>
      </c>
    </row>
    <row r="387" spans="1:7" ht="15" customHeight="1" x14ac:dyDescent="0.25">
      <c r="A387" s="7" t="s">
        <v>967</v>
      </c>
      <c r="B387" s="7" t="s">
        <v>964</v>
      </c>
      <c r="C387" s="8" t="s">
        <v>149</v>
      </c>
      <c r="D387" s="8" t="s">
        <v>444</v>
      </c>
      <c r="E387" s="8" t="s">
        <v>169</v>
      </c>
      <c r="F387" s="8" t="s">
        <v>65</v>
      </c>
      <c r="G387" s="8" t="s">
        <v>969</v>
      </c>
    </row>
    <row r="388" spans="1:7" ht="15" customHeight="1" x14ac:dyDescent="0.25">
      <c r="A388" s="7" t="s">
        <v>1086</v>
      </c>
      <c r="B388" s="7" t="s">
        <v>979</v>
      </c>
      <c r="C388" s="8" t="s">
        <v>513</v>
      </c>
      <c r="D388" s="8" t="s">
        <v>432</v>
      </c>
      <c r="E388" s="8" t="s">
        <v>515</v>
      </c>
      <c r="F388" s="8" t="s">
        <v>28</v>
      </c>
      <c r="G388" s="8" t="s">
        <v>1087</v>
      </c>
    </row>
    <row r="389" spans="1:7" ht="15" customHeight="1" x14ac:dyDescent="0.25">
      <c r="A389" s="7" t="s">
        <v>1088</v>
      </c>
      <c r="B389" s="7" t="s">
        <v>979</v>
      </c>
      <c r="C389" s="8" t="s">
        <v>143</v>
      </c>
      <c r="D389" s="8" t="s">
        <v>102</v>
      </c>
      <c r="E389" s="8" t="s">
        <v>424</v>
      </c>
      <c r="F389" s="8" t="s">
        <v>39</v>
      </c>
      <c r="G389" s="8" t="s">
        <v>1089</v>
      </c>
    </row>
    <row r="390" spans="1:7" ht="15" customHeight="1" x14ac:dyDescent="0.25">
      <c r="A390" s="7" t="s">
        <v>1090</v>
      </c>
      <c r="B390" s="7" t="s">
        <v>1031</v>
      </c>
      <c r="C390" s="8" t="s">
        <v>1091</v>
      </c>
      <c r="D390" s="8" t="s">
        <v>483</v>
      </c>
      <c r="E390" s="8" t="s">
        <v>296</v>
      </c>
      <c r="F390" s="8" t="s">
        <v>86</v>
      </c>
      <c r="G390" s="8" t="s">
        <v>1092</v>
      </c>
    </row>
    <row r="391" spans="1:7" ht="15" customHeight="1" x14ac:dyDescent="0.25">
      <c r="A391" s="7" t="s">
        <v>1093</v>
      </c>
      <c r="B391" s="7" t="s">
        <v>1004</v>
      </c>
      <c r="C391" s="8" t="s">
        <v>25</v>
      </c>
      <c r="D391" s="8" t="s">
        <v>43</v>
      </c>
      <c r="E391" s="8" t="s">
        <v>33</v>
      </c>
      <c r="F391" s="8" t="s">
        <v>34</v>
      </c>
      <c r="G391" s="8" t="s">
        <v>1094</v>
      </c>
    </row>
    <row r="392" spans="1:7" ht="15" customHeight="1" x14ac:dyDescent="0.25">
      <c r="A392" s="7" t="s">
        <v>1095</v>
      </c>
      <c r="B392" s="7" t="s">
        <v>964</v>
      </c>
      <c r="C392" s="8" t="s">
        <v>149</v>
      </c>
      <c r="D392" s="8" t="s">
        <v>1096</v>
      </c>
      <c r="E392" s="8" t="s">
        <v>70</v>
      </c>
      <c r="F392" s="8" t="s">
        <v>34</v>
      </c>
      <c r="G392" s="8" t="s">
        <v>1035</v>
      </c>
    </row>
    <row r="393" spans="1:7" ht="15" customHeight="1" x14ac:dyDescent="0.25">
      <c r="A393" s="7" t="s">
        <v>1097</v>
      </c>
      <c r="B393" s="7" t="s">
        <v>964</v>
      </c>
      <c r="C393" s="8" t="s">
        <v>149</v>
      </c>
      <c r="D393" s="8" t="s">
        <v>971</v>
      </c>
      <c r="E393" s="8" t="s">
        <v>328</v>
      </c>
      <c r="F393" s="8" t="s">
        <v>363</v>
      </c>
      <c r="G393" s="8" t="s">
        <v>972</v>
      </c>
    </row>
    <row r="394" spans="1:7" ht="15" customHeight="1" x14ac:dyDescent="0.25">
      <c r="A394" s="7" t="s">
        <v>41</v>
      </c>
      <c r="B394" s="7" t="s">
        <v>24</v>
      </c>
      <c r="C394" s="8" t="s">
        <v>42</v>
      </c>
      <c r="D394" s="8" t="s">
        <v>43</v>
      </c>
      <c r="E394" s="8" t="s">
        <v>44</v>
      </c>
      <c r="F394" s="8" t="s">
        <v>28</v>
      </c>
      <c r="G394" s="8" t="s">
        <v>1098</v>
      </c>
    </row>
    <row r="395" spans="1:7" ht="15" customHeight="1" x14ac:dyDescent="0.25">
      <c r="A395" s="7" t="s">
        <v>46</v>
      </c>
      <c r="B395" s="7" t="s">
        <v>24</v>
      </c>
      <c r="C395" s="8" t="s">
        <v>47</v>
      </c>
      <c r="D395" s="8" t="s">
        <v>25</v>
      </c>
      <c r="E395" s="8" t="s">
        <v>48</v>
      </c>
      <c r="F395" s="8" t="s">
        <v>28</v>
      </c>
      <c r="G395" s="8" t="s">
        <v>49</v>
      </c>
    </row>
    <row r="396" spans="1:7" ht="15" customHeight="1" x14ac:dyDescent="0.25">
      <c r="A396" s="7" t="s">
        <v>1099</v>
      </c>
      <c r="B396" s="7" t="s">
        <v>979</v>
      </c>
      <c r="C396" s="8" t="s">
        <v>983</v>
      </c>
      <c r="D396" s="8" t="s">
        <v>191</v>
      </c>
      <c r="E396" s="8" t="s">
        <v>360</v>
      </c>
      <c r="F396" s="8" t="s">
        <v>86</v>
      </c>
      <c r="G396" s="8" t="s">
        <v>1100</v>
      </c>
    </row>
    <row r="397" spans="1:7" ht="15" customHeight="1" x14ac:dyDescent="0.25">
      <c r="A397" s="7" t="s">
        <v>1101</v>
      </c>
      <c r="B397" s="7" t="s">
        <v>964</v>
      </c>
      <c r="C397" s="8" t="s">
        <v>693</v>
      </c>
      <c r="D397" s="8" t="s">
        <v>971</v>
      </c>
      <c r="E397" s="8" t="s">
        <v>570</v>
      </c>
      <c r="F397" s="8" t="s">
        <v>28</v>
      </c>
      <c r="G397" s="8" t="s">
        <v>1102</v>
      </c>
    </row>
    <row r="398" spans="1:7" ht="15" customHeight="1" x14ac:dyDescent="0.25">
      <c r="A398" s="7" t="s">
        <v>1103</v>
      </c>
      <c r="B398" s="7" t="s">
        <v>1104</v>
      </c>
      <c r="C398" s="8" t="s">
        <v>25</v>
      </c>
      <c r="D398" s="8" t="s">
        <v>149</v>
      </c>
      <c r="E398" s="8" t="s">
        <v>169</v>
      </c>
      <c r="F398" s="8" t="s">
        <v>34</v>
      </c>
      <c r="G398" s="8" t="s">
        <v>1105</v>
      </c>
    </row>
    <row r="399" spans="1:7" ht="15" customHeight="1" x14ac:dyDescent="0.25">
      <c r="A399" s="7" t="s">
        <v>1106</v>
      </c>
      <c r="B399" s="7" t="s">
        <v>989</v>
      </c>
      <c r="C399" s="8" t="s">
        <v>1026</v>
      </c>
      <c r="D399" s="8" t="s">
        <v>314</v>
      </c>
      <c r="E399" s="8" t="s">
        <v>570</v>
      </c>
      <c r="F399" s="8" t="s">
        <v>65</v>
      </c>
      <c r="G399" s="8" t="s">
        <v>1107</v>
      </c>
    </row>
    <row r="400" spans="1:7" ht="15" customHeight="1" x14ac:dyDescent="0.25">
      <c r="A400" s="7" t="s">
        <v>1108</v>
      </c>
      <c r="B400" s="7" t="s">
        <v>1031</v>
      </c>
      <c r="C400" s="8" t="s">
        <v>1109</v>
      </c>
      <c r="D400" s="8" t="s">
        <v>250</v>
      </c>
      <c r="E400" s="8" t="s">
        <v>58</v>
      </c>
      <c r="F400" s="8" t="s">
        <v>59</v>
      </c>
      <c r="G400" s="8" t="s">
        <v>1110</v>
      </c>
    </row>
    <row r="401" spans="1:7" ht="15" customHeight="1" x14ac:dyDescent="0.25">
      <c r="A401" s="7" t="s">
        <v>1111</v>
      </c>
      <c r="B401" s="7" t="s">
        <v>979</v>
      </c>
      <c r="C401" s="8" t="s">
        <v>101</v>
      </c>
      <c r="D401" s="8" t="s">
        <v>949</v>
      </c>
      <c r="E401" s="8" t="s">
        <v>182</v>
      </c>
      <c r="F401" s="8" t="s">
        <v>59</v>
      </c>
      <c r="G401" s="8" t="s">
        <v>1046</v>
      </c>
    </row>
    <row r="402" spans="1:7" ht="15" customHeight="1" x14ac:dyDescent="0.25">
      <c r="A402" s="7" t="s">
        <v>1112</v>
      </c>
      <c r="B402" s="7" t="s">
        <v>1004</v>
      </c>
      <c r="C402" s="8" t="s">
        <v>592</v>
      </c>
      <c r="D402" s="8" t="s">
        <v>69</v>
      </c>
      <c r="E402" s="8" t="s">
        <v>228</v>
      </c>
      <c r="F402" s="8" t="s">
        <v>59</v>
      </c>
      <c r="G402" s="8" t="s">
        <v>1018</v>
      </c>
    </row>
    <row r="403" spans="1:7" ht="15" customHeight="1" x14ac:dyDescent="0.25">
      <c r="A403" s="7" t="s">
        <v>1113</v>
      </c>
      <c r="B403" s="7" t="s">
        <v>979</v>
      </c>
      <c r="C403" s="8" t="s">
        <v>101</v>
      </c>
      <c r="D403" s="8" t="s">
        <v>143</v>
      </c>
      <c r="E403" s="8" t="s">
        <v>1114</v>
      </c>
      <c r="F403" s="8" t="s">
        <v>59</v>
      </c>
      <c r="G403" s="8" t="s">
        <v>1074</v>
      </c>
    </row>
    <row r="404" spans="1:7" ht="15" customHeight="1" x14ac:dyDescent="0.25">
      <c r="A404" s="7" t="s">
        <v>1115</v>
      </c>
      <c r="B404" s="7" t="s">
        <v>964</v>
      </c>
      <c r="C404" s="8" t="s">
        <v>314</v>
      </c>
      <c r="D404" s="8" t="s">
        <v>444</v>
      </c>
      <c r="E404" s="8" t="s">
        <v>94</v>
      </c>
      <c r="F404" s="8" t="s">
        <v>86</v>
      </c>
      <c r="G404" s="8" t="s">
        <v>855</v>
      </c>
    </row>
    <row r="405" spans="1:7" ht="15" customHeight="1" x14ac:dyDescent="0.25">
      <c r="A405" s="7" t="s">
        <v>50</v>
      </c>
      <c r="B405" s="7" t="s">
        <v>24</v>
      </c>
      <c r="C405" s="8" t="s">
        <v>51</v>
      </c>
      <c r="D405" s="8" t="s">
        <v>52</v>
      </c>
      <c r="E405" s="8" t="s">
        <v>53</v>
      </c>
      <c r="F405" s="8" t="s">
        <v>39</v>
      </c>
      <c r="G405" s="8" t="s">
        <v>1116</v>
      </c>
    </row>
    <row r="406" spans="1:7" ht="15" customHeight="1" x14ac:dyDescent="0.25">
      <c r="A406" s="7" t="s">
        <v>1117</v>
      </c>
      <c r="B406" s="7" t="s">
        <v>1118</v>
      </c>
      <c r="C406" s="8" t="s">
        <v>172</v>
      </c>
      <c r="D406" s="8" t="s">
        <v>57</v>
      </c>
      <c r="E406" s="8" t="s">
        <v>169</v>
      </c>
      <c r="F406" s="8" t="s">
        <v>65</v>
      </c>
      <c r="G406" s="8" t="s">
        <v>1119</v>
      </c>
    </row>
    <row r="407" spans="1:7" ht="15" customHeight="1" x14ac:dyDescent="0.25">
      <c r="A407" s="7" t="s">
        <v>1120</v>
      </c>
      <c r="B407" s="7" t="s">
        <v>1004</v>
      </c>
      <c r="C407" s="8" t="s">
        <v>1121</v>
      </c>
      <c r="D407" s="8" t="s">
        <v>404</v>
      </c>
      <c r="E407" s="8" t="s">
        <v>131</v>
      </c>
      <c r="F407" s="8" t="s">
        <v>34</v>
      </c>
      <c r="G407" s="8" t="s">
        <v>1122</v>
      </c>
    </row>
    <row r="408" spans="1:7" ht="15" customHeight="1" x14ac:dyDescent="0.25">
      <c r="A408" s="7" t="s">
        <v>1123</v>
      </c>
      <c r="B408" s="7" t="s">
        <v>979</v>
      </c>
      <c r="C408" s="8" t="s">
        <v>1124</v>
      </c>
      <c r="D408" s="8" t="s">
        <v>1124</v>
      </c>
      <c r="E408" s="8" t="s">
        <v>166</v>
      </c>
      <c r="F408" s="8" t="s">
        <v>65</v>
      </c>
      <c r="G408" s="8" t="s">
        <v>984</v>
      </c>
    </row>
    <row r="409" spans="1:7" ht="15" customHeight="1" x14ac:dyDescent="0.25">
      <c r="A409" s="7" t="s">
        <v>1125</v>
      </c>
      <c r="B409" s="7" t="s">
        <v>1126</v>
      </c>
      <c r="C409" s="8" t="s">
        <v>172</v>
      </c>
      <c r="D409" s="8" t="s">
        <v>69</v>
      </c>
      <c r="E409" s="8" t="s">
        <v>38</v>
      </c>
      <c r="F409" s="8" t="s">
        <v>34</v>
      </c>
      <c r="G409" s="8" t="s">
        <v>1127</v>
      </c>
    </row>
    <row r="410" spans="1:7" ht="15" customHeight="1" x14ac:dyDescent="0.25">
      <c r="A410" s="7" t="s">
        <v>1128</v>
      </c>
      <c r="B410" s="7" t="s">
        <v>1004</v>
      </c>
      <c r="C410" s="8" t="s">
        <v>63</v>
      </c>
      <c r="D410" s="8" t="s">
        <v>175</v>
      </c>
      <c r="E410" s="8" t="s">
        <v>1129</v>
      </c>
      <c r="F410" s="8" t="s">
        <v>214</v>
      </c>
      <c r="G410" s="8" t="s">
        <v>1130</v>
      </c>
    </row>
    <row r="411" spans="1:7" ht="15" customHeight="1" x14ac:dyDescent="0.25">
      <c r="A411" s="7" t="s">
        <v>1131</v>
      </c>
      <c r="B411" s="7" t="s">
        <v>979</v>
      </c>
      <c r="C411" s="8" t="s">
        <v>1056</v>
      </c>
      <c r="D411" s="8" t="s">
        <v>142</v>
      </c>
      <c r="E411" s="8" t="s">
        <v>247</v>
      </c>
      <c r="F411" s="8" t="s">
        <v>59</v>
      </c>
      <c r="G411" s="8" t="s">
        <v>1046</v>
      </c>
    </row>
    <row r="412" spans="1:7" ht="15" customHeight="1" x14ac:dyDescent="0.25">
      <c r="A412" s="7" t="s">
        <v>1132</v>
      </c>
      <c r="B412" s="7" t="s">
        <v>979</v>
      </c>
      <c r="C412" s="8" t="s">
        <v>191</v>
      </c>
      <c r="D412" s="8" t="s">
        <v>1133</v>
      </c>
      <c r="E412" s="8" t="s">
        <v>1134</v>
      </c>
      <c r="F412" s="8" t="s">
        <v>28</v>
      </c>
      <c r="G412" s="8" t="s">
        <v>1135</v>
      </c>
    </row>
    <row r="413" spans="1:7" ht="15" customHeight="1" x14ac:dyDescent="0.25">
      <c r="A413" s="7" t="s">
        <v>1049</v>
      </c>
      <c r="B413" s="7" t="s">
        <v>979</v>
      </c>
      <c r="C413" s="8" t="s">
        <v>903</v>
      </c>
      <c r="D413" s="8" t="s">
        <v>102</v>
      </c>
      <c r="E413" s="8" t="s">
        <v>336</v>
      </c>
      <c r="F413" s="8" t="s">
        <v>59</v>
      </c>
      <c r="G413" s="8" t="s">
        <v>1041</v>
      </c>
    </row>
    <row r="414" spans="1:7" ht="15" customHeight="1" x14ac:dyDescent="0.25">
      <c r="A414" s="7" t="s">
        <v>1136</v>
      </c>
      <c r="B414" s="7" t="s">
        <v>1118</v>
      </c>
      <c r="C414" s="8" t="s">
        <v>31</v>
      </c>
      <c r="D414" s="8" t="s">
        <v>57</v>
      </c>
      <c r="E414" s="8" t="s">
        <v>94</v>
      </c>
      <c r="F414" s="8" t="s">
        <v>59</v>
      </c>
      <c r="G414" s="8" t="s">
        <v>1137</v>
      </c>
    </row>
    <row r="415" spans="1:7" ht="15" customHeight="1" x14ac:dyDescent="0.25">
      <c r="A415" s="7" t="s">
        <v>1138</v>
      </c>
      <c r="B415" s="7" t="s">
        <v>974</v>
      </c>
      <c r="C415" s="8" t="s">
        <v>69</v>
      </c>
      <c r="D415" s="8" t="s">
        <v>195</v>
      </c>
      <c r="E415" s="8" t="s">
        <v>107</v>
      </c>
      <c r="F415" s="8" t="s">
        <v>34</v>
      </c>
      <c r="G415" s="8" t="s">
        <v>1139</v>
      </c>
    </row>
    <row r="416" spans="1:7" ht="15" customHeight="1" x14ac:dyDescent="0.25">
      <c r="A416" s="7" t="s">
        <v>1140</v>
      </c>
      <c r="B416" s="7" t="s">
        <v>996</v>
      </c>
      <c r="C416" s="8" t="s">
        <v>327</v>
      </c>
      <c r="D416" s="8" t="s">
        <v>195</v>
      </c>
      <c r="E416" s="8" t="s">
        <v>997</v>
      </c>
      <c r="F416" s="8" t="s">
        <v>34</v>
      </c>
      <c r="G416" s="8" t="s">
        <v>998</v>
      </c>
    </row>
    <row r="417" spans="1:7" ht="15" customHeight="1" x14ac:dyDescent="0.25">
      <c r="A417" s="7" t="s">
        <v>1141</v>
      </c>
      <c r="B417" s="7" t="s">
        <v>1004</v>
      </c>
      <c r="C417" s="8" t="s">
        <v>165</v>
      </c>
      <c r="D417" s="8" t="s">
        <v>1021</v>
      </c>
      <c r="E417" s="8" t="s">
        <v>200</v>
      </c>
      <c r="F417" s="8" t="s">
        <v>417</v>
      </c>
      <c r="G417" s="8" t="s">
        <v>1142</v>
      </c>
    </row>
    <row r="418" spans="1:7" ht="15" customHeight="1" x14ac:dyDescent="0.25">
      <c r="A418" s="7" t="s">
        <v>1143</v>
      </c>
      <c r="B418" s="7" t="s">
        <v>989</v>
      </c>
      <c r="C418" s="8" t="s">
        <v>165</v>
      </c>
      <c r="D418" s="8" t="s">
        <v>37</v>
      </c>
      <c r="E418" s="8" t="s">
        <v>342</v>
      </c>
      <c r="F418" s="8" t="s">
        <v>65</v>
      </c>
      <c r="G418" s="8" t="s">
        <v>1107</v>
      </c>
    </row>
    <row r="419" spans="1:7" ht="15" customHeight="1" x14ac:dyDescent="0.25">
      <c r="A419" s="7" t="s">
        <v>1144</v>
      </c>
      <c r="B419" s="7" t="s">
        <v>974</v>
      </c>
      <c r="C419" s="8" t="s">
        <v>117</v>
      </c>
      <c r="D419" s="8" t="s">
        <v>556</v>
      </c>
      <c r="E419" s="8" t="s">
        <v>182</v>
      </c>
      <c r="F419" s="8" t="s">
        <v>59</v>
      </c>
      <c r="G419" s="8" t="s">
        <v>1145</v>
      </c>
    </row>
    <row r="420" spans="1:7" ht="15" customHeight="1" x14ac:dyDescent="0.25">
      <c r="A420" s="7" t="s">
        <v>55</v>
      </c>
      <c r="B420" s="7" t="s">
        <v>24</v>
      </c>
      <c r="C420" s="8" t="s">
        <v>56</v>
      </c>
      <c r="D420" s="8" t="s">
        <v>57</v>
      </c>
      <c r="E420" s="8" t="s">
        <v>58</v>
      </c>
      <c r="F420" s="8" t="s">
        <v>59</v>
      </c>
      <c r="G420" s="8" t="s">
        <v>1146</v>
      </c>
    </row>
    <row r="421" spans="1:7" ht="15" customHeight="1" x14ac:dyDescent="0.25">
      <c r="A421" s="7" t="s">
        <v>1147</v>
      </c>
      <c r="B421" s="7" t="s">
        <v>979</v>
      </c>
      <c r="C421" s="8" t="s">
        <v>1056</v>
      </c>
      <c r="D421" s="8" t="s">
        <v>142</v>
      </c>
      <c r="E421" s="8" t="s">
        <v>247</v>
      </c>
      <c r="F421" s="8" t="s">
        <v>59</v>
      </c>
      <c r="G421" s="8" t="s">
        <v>1046</v>
      </c>
    </row>
    <row r="422" spans="1:7" ht="15" customHeight="1" x14ac:dyDescent="0.25">
      <c r="A422" s="7" t="s">
        <v>1148</v>
      </c>
      <c r="B422" s="7" t="s">
        <v>964</v>
      </c>
      <c r="C422" s="8" t="s">
        <v>285</v>
      </c>
      <c r="D422" s="8" t="s">
        <v>971</v>
      </c>
      <c r="E422" s="8" t="s">
        <v>228</v>
      </c>
      <c r="F422" s="8" t="s">
        <v>59</v>
      </c>
      <c r="G422" s="8" t="s">
        <v>1149</v>
      </c>
    </row>
    <row r="423" spans="1:7" ht="15" customHeight="1" x14ac:dyDescent="0.25">
      <c r="A423" s="7" t="s">
        <v>1150</v>
      </c>
      <c r="B423" s="7" t="s">
        <v>964</v>
      </c>
      <c r="C423" s="8" t="s">
        <v>149</v>
      </c>
      <c r="D423" s="8" t="s">
        <v>971</v>
      </c>
      <c r="E423" s="8" t="s">
        <v>328</v>
      </c>
      <c r="F423" s="8" t="s">
        <v>363</v>
      </c>
      <c r="G423" s="8" t="s">
        <v>972</v>
      </c>
    </row>
    <row r="424" spans="1:7" ht="15" customHeight="1" x14ac:dyDescent="0.25">
      <c r="A424" s="7" t="s">
        <v>61</v>
      </c>
      <c r="B424" s="7" t="s">
        <v>24</v>
      </c>
      <c r="C424" s="8" t="s">
        <v>62</v>
      </c>
      <c r="D424" s="8" t="s">
        <v>63</v>
      </c>
      <c r="E424" s="8" t="s">
        <v>64</v>
      </c>
      <c r="F424" s="8" t="s">
        <v>65</v>
      </c>
      <c r="G424" s="8" t="s">
        <v>66</v>
      </c>
    </row>
    <row r="425" spans="1:7" ht="15" customHeight="1" x14ac:dyDescent="0.25">
      <c r="A425" s="7" t="s">
        <v>72</v>
      </c>
      <c r="B425" s="7" t="s">
        <v>24</v>
      </c>
      <c r="C425" s="8" t="s">
        <v>31</v>
      </c>
      <c r="D425" s="8" t="s">
        <v>63</v>
      </c>
      <c r="E425" s="8" t="s">
        <v>73</v>
      </c>
      <c r="F425" s="8" t="s">
        <v>34</v>
      </c>
      <c r="G425" s="8" t="s">
        <v>35</v>
      </c>
    </row>
    <row r="426" spans="1:7" ht="15" customHeight="1" x14ac:dyDescent="0.25">
      <c r="A426" s="7" t="s">
        <v>1151</v>
      </c>
      <c r="B426" s="7" t="s">
        <v>1031</v>
      </c>
      <c r="C426" s="8" t="s">
        <v>242</v>
      </c>
      <c r="D426" s="8" t="s">
        <v>69</v>
      </c>
      <c r="E426" s="8" t="s">
        <v>211</v>
      </c>
      <c r="F426" s="8" t="s">
        <v>28</v>
      </c>
      <c r="G426" s="8" t="s">
        <v>1152</v>
      </c>
    </row>
    <row r="427" spans="1:7" ht="15" customHeight="1" x14ac:dyDescent="0.25">
      <c r="A427" s="7" t="s">
        <v>1111</v>
      </c>
      <c r="B427" s="7" t="s">
        <v>979</v>
      </c>
      <c r="C427" s="8" t="s">
        <v>101</v>
      </c>
      <c r="D427" s="8" t="s">
        <v>949</v>
      </c>
      <c r="E427" s="8" t="s">
        <v>182</v>
      </c>
      <c r="F427" s="8" t="s">
        <v>59</v>
      </c>
      <c r="G427" s="8" t="s">
        <v>1046</v>
      </c>
    </row>
    <row r="428" spans="1:7" ht="15" customHeight="1" x14ac:dyDescent="0.25">
      <c r="A428" s="7" t="s">
        <v>1153</v>
      </c>
      <c r="B428" s="7" t="s">
        <v>1154</v>
      </c>
      <c r="C428" s="8" t="s">
        <v>828</v>
      </c>
      <c r="D428" s="8" t="s">
        <v>63</v>
      </c>
      <c r="E428" s="8" t="s">
        <v>94</v>
      </c>
      <c r="F428" s="8" t="s">
        <v>59</v>
      </c>
      <c r="G428" s="8" t="s">
        <v>1155</v>
      </c>
    </row>
    <row r="429" spans="1:7" ht="15" customHeight="1" x14ac:dyDescent="0.25">
      <c r="A429" s="7" t="s">
        <v>1156</v>
      </c>
      <c r="B429" s="7" t="s">
        <v>979</v>
      </c>
      <c r="C429" s="8" t="s">
        <v>233</v>
      </c>
      <c r="D429" s="8" t="s">
        <v>1045</v>
      </c>
      <c r="E429" s="8" t="s">
        <v>182</v>
      </c>
      <c r="F429" s="8" t="s">
        <v>59</v>
      </c>
      <c r="G429" s="8" t="s">
        <v>1157</v>
      </c>
    </row>
    <row r="430" spans="1:7" ht="15" customHeight="1" x14ac:dyDescent="0.25">
      <c r="A430" s="7" t="s">
        <v>74</v>
      </c>
      <c r="B430" s="7" t="s">
        <v>24</v>
      </c>
      <c r="C430" s="8" t="s">
        <v>47</v>
      </c>
      <c r="D430" s="8" t="s">
        <v>75</v>
      </c>
      <c r="E430" s="8" t="s">
        <v>76</v>
      </c>
      <c r="F430" s="8" t="s">
        <v>65</v>
      </c>
      <c r="G430" s="8" t="s">
        <v>77</v>
      </c>
    </row>
    <row r="431" spans="1:7" ht="15" customHeight="1" x14ac:dyDescent="0.25">
      <c r="A431" s="7" t="s">
        <v>1158</v>
      </c>
      <c r="B431" s="7" t="s">
        <v>979</v>
      </c>
      <c r="C431" s="8" t="s">
        <v>1052</v>
      </c>
      <c r="D431" s="8" t="s">
        <v>294</v>
      </c>
      <c r="E431" s="8" t="s">
        <v>350</v>
      </c>
      <c r="F431" s="8" t="s">
        <v>39</v>
      </c>
      <c r="G431" s="8" t="s">
        <v>1089</v>
      </c>
    </row>
    <row r="432" spans="1:7" ht="15" customHeight="1" x14ac:dyDescent="0.25">
      <c r="A432" s="7" t="s">
        <v>1159</v>
      </c>
      <c r="B432" s="7" t="s">
        <v>1031</v>
      </c>
      <c r="C432" s="8" t="s">
        <v>106</v>
      </c>
      <c r="D432" s="8" t="s">
        <v>242</v>
      </c>
      <c r="E432" s="8" t="s">
        <v>228</v>
      </c>
      <c r="F432" s="8" t="s">
        <v>34</v>
      </c>
      <c r="G432" s="8" t="s">
        <v>1160</v>
      </c>
    </row>
    <row r="433" spans="1:7" ht="15" customHeight="1" x14ac:dyDescent="0.25">
      <c r="A433" s="7" t="s">
        <v>1161</v>
      </c>
      <c r="B433" s="7" t="s">
        <v>1031</v>
      </c>
      <c r="C433" s="8" t="s">
        <v>172</v>
      </c>
      <c r="D433" s="8" t="s">
        <v>1162</v>
      </c>
      <c r="E433" s="8" t="s">
        <v>136</v>
      </c>
      <c r="F433" s="8" t="s">
        <v>119</v>
      </c>
      <c r="G433" s="8" t="s">
        <v>1163</v>
      </c>
    </row>
    <row r="434" spans="1:7" ht="15" customHeight="1" x14ac:dyDescent="0.25">
      <c r="A434" s="7" t="s">
        <v>1164</v>
      </c>
      <c r="B434" s="7" t="s">
        <v>1028</v>
      </c>
      <c r="C434" s="8" t="s">
        <v>451</v>
      </c>
      <c r="D434" s="8" t="s">
        <v>149</v>
      </c>
      <c r="E434" s="8" t="s">
        <v>598</v>
      </c>
      <c r="F434" s="8" t="s">
        <v>34</v>
      </c>
      <c r="G434" s="8" t="s">
        <v>1165</v>
      </c>
    </row>
    <row r="435" spans="1:7" ht="15" customHeight="1" x14ac:dyDescent="0.25">
      <c r="A435" s="7" t="s">
        <v>1166</v>
      </c>
      <c r="B435" s="7" t="s">
        <v>989</v>
      </c>
      <c r="C435" s="8" t="s">
        <v>1043</v>
      </c>
      <c r="D435" s="8" t="s">
        <v>533</v>
      </c>
      <c r="E435" s="8" t="s">
        <v>251</v>
      </c>
      <c r="F435" s="8" t="s">
        <v>34</v>
      </c>
      <c r="G435" s="8" t="s">
        <v>1167</v>
      </c>
    </row>
    <row r="436" spans="1:7" ht="15" customHeight="1" x14ac:dyDescent="0.25">
      <c r="A436" s="7" t="s">
        <v>1168</v>
      </c>
      <c r="B436" s="7" t="s">
        <v>979</v>
      </c>
      <c r="C436" s="8" t="s">
        <v>1072</v>
      </c>
      <c r="D436" s="8" t="s">
        <v>1052</v>
      </c>
      <c r="E436" s="8" t="s">
        <v>515</v>
      </c>
      <c r="F436" s="8" t="s">
        <v>59</v>
      </c>
      <c r="G436" s="8" t="s">
        <v>1074</v>
      </c>
    </row>
    <row r="437" spans="1:7" ht="15" customHeight="1" x14ac:dyDescent="0.25">
      <c r="A437" s="7" t="s">
        <v>1169</v>
      </c>
      <c r="B437" s="7" t="s">
        <v>979</v>
      </c>
      <c r="C437" s="8" t="s">
        <v>1072</v>
      </c>
      <c r="D437" s="8" t="s">
        <v>795</v>
      </c>
      <c r="E437" s="8" t="s">
        <v>1073</v>
      </c>
      <c r="F437" s="8" t="s">
        <v>59</v>
      </c>
      <c r="G437" s="8" t="s">
        <v>1074</v>
      </c>
    </row>
    <row r="438" spans="1:7" ht="15" customHeight="1" x14ac:dyDescent="0.25">
      <c r="A438" s="7" t="s">
        <v>1170</v>
      </c>
      <c r="B438" s="7" t="s">
        <v>979</v>
      </c>
      <c r="C438" s="8" t="s">
        <v>1171</v>
      </c>
      <c r="D438" s="8" t="s">
        <v>983</v>
      </c>
      <c r="E438" s="8" t="s">
        <v>1009</v>
      </c>
      <c r="F438" s="8" t="s">
        <v>39</v>
      </c>
      <c r="G438" s="8" t="s">
        <v>1089</v>
      </c>
    </row>
    <row r="439" spans="1:7" ht="15" customHeight="1" x14ac:dyDescent="0.25">
      <c r="A439" s="7" t="s">
        <v>1172</v>
      </c>
      <c r="B439" s="7" t="s">
        <v>1004</v>
      </c>
      <c r="C439" s="8" t="s">
        <v>165</v>
      </c>
      <c r="D439" s="8" t="s">
        <v>682</v>
      </c>
      <c r="E439" s="8" t="s">
        <v>94</v>
      </c>
      <c r="F439" s="8" t="s">
        <v>59</v>
      </c>
      <c r="G439" s="8" t="s">
        <v>1173</v>
      </c>
    </row>
    <row r="440" spans="1:7" ht="15" customHeight="1" x14ac:dyDescent="0.25">
      <c r="A440" s="7" t="s">
        <v>1174</v>
      </c>
      <c r="B440" s="7" t="s">
        <v>1118</v>
      </c>
      <c r="C440" s="8" t="s">
        <v>1175</v>
      </c>
      <c r="D440" s="8" t="s">
        <v>43</v>
      </c>
      <c r="E440" s="8" t="s">
        <v>1037</v>
      </c>
      <c r="F440" s="8" t="s">
        <v>59</v>
      </c>
      <c r="G440" s="8" t="s">
        <v>1176</v>
      </c>
    </row>
    <row r="441" spans="1:7" ht="15" customHeight="1" x14ac:dyDescent="0.25">
      <c r="A441" s="7" t="s">
        <v>1177</v>
      </c>
      <c r="B441" s="7" t="s">
        <v>979</v>
      </c>
      <c r="C441" s="8" t="s">
        <v>1178</v>
      </c>
      <c r="D441" s="8" t="s">
        <v>279</v>
      </c>
      <c r="E441" s="8" t="s">
        <v>1179</v>
      </c>
      <c r="F441" s="8" t="s">
        <v>34</v>
      </c>
      <c r="G441" s="8" t="s">
        <v>1180</v>
      </c>
    </row>
    <row r="442" spans="1:7" ht="15" customHeight="1" x14ac:dyDescent="0.25">
      <c r="A442" s="7" t="s">
        <v>1181</v>
      </c>
      <c r="B442" s="7" t="s">
        <v>974</v>
      </c>
      <c r="C442" s="8" t="s">
        <v>1026</v>
      </c>
      <c r="D442" s="8" t="s">
        <v>221</v>
      </c>
      <c r="E442" s="8" t="s">
        <v>602</v>
      </c>
      <c r="F442" s="8" t="s">
        <v>65</v>
      </c>
      <c r="G442" s="8" t="s">
        <v>977</v>
      </c>
    </row>
    <row r="443" spans="1:7" ht="15" customHeight="1" x14ac:dyDescent="0.25">
      <c r="A443" s="7" t="s">
        <v>1182</v>
      </c>
      <c r="B443" s="7" t="s">
        <v>996</v>
      </c>
      <c r="C443" s="8" t="s">
        <v>1183</v>
      </c>
      <c r="D443" s="8" t="s">
        <v>483</v>
      </c>
      <c r="E443" s="8" t="s">
        <v>350</v>
      </c>
      <c r="F443" s="8" t="s">
        <v>34</v>
      </c>
      <c r="G443" s="8" t="s">
        <v>998</v>
      </c>
    </row>
    <row r="444" spans="1:7" ht="15" customHeight="1" x14ac:dyDescent="0.25">
      <c r="A444" s="7" t="s">
        <v>1184</v>
      </c>
      <c r="B444" s="7" t="s">
        <v>979</v>
      </c>
      <c r="C444" s="8" t="s">
        <v>101</v>
      </c>
      <c r="D444" s="8" t="s">
        <v>143</v>
      </c>
      <c r="E444" s="8" t="s">
        <v>1114</v>
      </c>
      <c r="F444" s="8" t="s">
        <v>59</v>
      </c>
      <c r="G444" s="8" t="s">
        <v>1074</v>
      </c>
    </row>
    <row r="445" spans="1:7" ht="15" customHeight="1" x14ac:dyDescent="0.25">
      <c r="A445" s="7" t="s">
        <v>78</v>
      </c>
      <c r="B445" s="7" t="s">
        <v>24</v>
      </c>
      <c r="C445" s="8" t="s">
        <v>63</v>
      </c>
      <c r="D445" s="8" t="s">
        <v>79</v>
      </c>
      <c r="E445" s="8" t="s">
        <v>80</v>
      </c>
      <c r="F445" s="8" t="s">
        <v>28</v>
      </c>
      <c r="G445" s="8" t="s">
        <v>1098</v>
      </c>
    </row>
    <row r="446" spans="1:7" ht="15" customHeight="1" x14ac:dyDescent="0.25">
      <c r="A446" s="7" t="s">
        <v>1185</v>
      </c>
      <c r="B446" s="7" t="s">
        <v>974</v>
      </c>
      <c r="C446" s="8" t="s">
        <v>69</v>
      </c>
      <c r="D446" s="8" t="s">
        <v>195</v>
      </c>
      <c r="E446" s="8" t="s">
        <v>107</v>
      </c>
      <c r="F446" s="8" t="s">
        <v>34</v>
      </c>
      <c r="G446" s="8" t="s">
        <v>1139</v>
      </c>
    </row>
    <row r="447" spans="1:7" ht="15" customHeight="1" x14ac:dyDescent="0.25">
      <c r="A447" s="7" t="s">
        <v>1186</v>
      </c>
      <c r="B447" s="7" t="s">
        <v>979</v>
      </c>
      <c r="C447" s="8" t="s">
        <v>233</v>
      </c>
      <c r="D447" s="8" t="s">
        <v>1045</v>
      </c>
      <c r="E447" s="8" t="s">
        <v>182</v>
      </c>
      <c r="F447" s="8" t="s">
        <v>59</v>
      </c>
      <c r="G447" s="8" t="s">
        <v>1046</v>
      </c>
    </row>
    <row r="448" spans="1:7" ht="15" customHeight="1" x14ac:dyDescent="0.25">
      <c r="A448" s="7" t="s">
        <v>1187</v>
      </c>
      <c r="B448" s="7" t="s">
        <v>979</v>
      </c>
      <c r="C448" s="8" t="s">
        <v>513</v>
      </c>
      <c r="D448" s="8" t="s">
        <v>432</v>
      </c>
      <c r="E448" s="8" t="s">
        <v>515</v>
      </c>
      <c r="F448" s="8" t="s">
        <v>28</v>
      </c>
      <c r="G448" s="8" t="s">
        <v>1087</v>
      </c>
    </row>
    <row r="449" spans="1:7" ht="15" customHeight="1" x14ac:dyDescent="0.25">
      <c r="A449" s="7" t="s">
        <v>1188</v>
      </c>
      <c r="B449" s="7" t="s">
        <v>1189</v>
      </c>
      <c r="C449" s="8" t="s">
        <v>69</v>
      </c>
      <c r="D449" s="8" t="s">
        <v>1190</v>
      </c>
      <c r="E449" s="8" t="s">
        <v>346</v>
      </c>
      <c r="F449" s="8" t="s">
        <v>476</v>
      </c>
      <c r="G449" s="8" t="s">
        <v>1191</v>
      </c>
    </row>
    <row r="450" spans="1:7" ht="15" customHeight="1" x14ac:dyDescent="0.25">
      <c r="A450" s="7" t="s">
        <v>1192</v>
      </c>
      <c r="B450" s="7" t="s">
        <v>964</v>
      </c>
      <c r="C450" s="8" t="s">
        <v>195</v>
      </c>
      <c r="D450" s="8" t="s">
        <v>702</v>
      </c>
      <c r="E450" s="8" t="s">
        <v>342</v>
      </c>
      <c r="F450" s="8" t="s">
        <v>34</v>
      </c>
      <c r="G450" s="8" t="s">
        <v>1193</v>
      </c>
    </row>
    <row r="451" spans="1:7" ht="15" customHeight="1" x14ac:dyDescent="0.25">
      <c r="A451" s="7" t="s">
        <v>1194</v>
      </c>
      <c r="B451" s="7" t="s">
        <v>996</v>
      </c>
      <c r="C451" s="8" t="s">
        <v>1183</v>
      </c>
      <c r="D451" s="8" t="s">
        <v>483</v>
      </c>
      <c r="E451" s="8" t="s">
        <v>350</v>
      </c>
      <c r="F451" s="8" t="s">
        <v>34</v>
      </c>
      <c r="G451" s="8" t="s">
        <v>998</v>
      </c>
    </row>
    <row r="452" spans="1:7" ht="15" customHeight="1" x14ac:dyDescent="0.25">
      <c r="A452" s="7" t="s">
        <v>1195</v>
      </c>
      <c r="B452" s="7" t="s">
        <v>979</v>
      </c>
      <c r="C452" s="8" t="s">
        <v>1052</v>
      </c>
      <c r="D452" s="8" t="s">
        <v>509</v>
      </c>
      <c r="E452" s="8" t="s">
        <v>1114</v>
      </c>
      <c r="F452" s="8" t="s">
        <v>65</v>
      </c>
      <c r="G452" s="8" t="s">
        <v>1196</v>
      </c>
    </row>
    <row r="453" spans="1:7" ht="15" customHeight="1" x14ac:dyDescent="0.25">
      <c r="A453" s="7" t="s">
        <v>1197</v>
      </c>
      <c r="B453" s="7" t="s">
        <v>1031</v>
      </c>
      <c r="C453" s="8" t="s">
        <v>69</v>
      </c>
      <c r="D453" s="8" t="s">
        <v>149</v>
      </c>
      <c r="E453" s="8" t="s">
        <v>70</v>
      </c>
      <c r="F453" s="8" t="s">
        <v>65</v>
      </c>
      <c r="G453" s="8" t="s">
        <v>1198</v>
      </c>
    </row>
    <row r="454" spans="1:7" ht="15" customHeight="1" x14ac:dyDescent="0.25">
      <c r="A454" s="7" t="s">
        <v>1199</v>
      </c>
      <c r="B454" s="7" t="s">
        <v>979</v>
      </c>
      <c r="C454" s="8" t="s">
        <v>1200</v>
      </c>
      <c r="D454" s="8" t="s">
        <v>404</v>
      </c>
      <c r="E454" s="8" t="s">
        <v>350</v>
      </c>
      <c r="F454" s="8" t="s">
        <v>28</v>
      </c>
      <c r="G454" s="8" t="s">
        <v>1201</v>
      </c>
    </row>
    <row r="455" spans="1:7" ht="15" customHeight="1" x14ac:dyDescent="0.25">
      <c r="A455" s="7" t="s">
        <v>1202</v>
      </c>
      <c r="B455" s="7" t="s">
        <v>979</v>
      </c>
      <c r="C455" s="8" t="s">
        <v>1045</v>
      </c>
      <c r="D455" s="8" t="s">
        <v>112</v>
      </c>
      <c r="E455" s="8" t="s">
        <v>1073</v>
      </c>
      <c r="F455" s="8" t="s">
        <v>34</v>
      </c>
      <c r="G455" s="8" t="s">
        <v>1053</v>
      </c>
    </row>
    <row r="456" spans="1:7" ht="15" customHeight="1" x14ac:dyDescent="0.25">
      <c r="A456" s="7" t="s">
        <v>88</v>
      </c>
      <c r="B456" s="7" t="s">
        <v>24</v>
      </c>
      <c r="C456" s="8" t="s">
        <v>89</v>
      </c>
      <c r="D456" s="8" t="s">
        <v>90</v>
      </c>
      <c r="E456" s="8" t="s">
        <v>48</v>
      </c>
      <c r="F456" s="8" t="s">
        <v>28</v>
      </c>
      <c r="G456" s="8" t="s">
        <v>1203</v>
      </c>
    </row>
    <row r="457" spans="1:7" ht="15" customHeight="1" x14ac:dyDescent="0.25">
      <c r="A457" s="7" t="s">
        <v>1204</v>
      </c>
      <c r="B457" s="7" t="s">
        <v>996</v>
      </c>
      <c r="C457" s="8" t="s">
        <v>243</v>
      </c>
      <c r="D457" s="8" t="s">
        <v>1205</v>
      </c>
      <c r="E457" s="8" t="s">
        <v>1206</v>
      </c>
      <c r="F457" s="8" t="s">
        <v>34</v>
      </c>
      <c r="G457" s="8" t="s">
        <v>132</v>
      </c>
    </row>
    <row r="458" spans="1:7" ht="15" customHeight="1" x14ac:dyDescent="0.25">
      <c r="A458" s="7" t="s">
        <v>92</v>
      </c>
      <c r="B458" s="7" t="s">
        <v>24</v>
      </c>
      <c r="C458" s="8" t="s">
        <v>93</v>
      </c>
      <c r="D458" s="8" t="s">
        <v>25</v>
      </c>
      <c r="E458" s="8" t="s">
        <v>94</v>
      </c>
      <c r="F458" s="8" t="s">
        <v>59</v>
      </c>
      <c r="G458" s="8" t="s">
        <v>95</v>
      </c>
    </row>
    <row r="459" spans="1:7" ht="15" customHeight="1" x14ac:dyDescent="0.25">
      <c r="A459" s="7" t="s">
        <v>1207</v>
      </c>
      <c r="B459" s="7" t="s">
        <v>964</v>
      </c>
      <c r="C459" s="8" t="s">
        <v>250</v>
      </c>
      <c r="D459" s="8" t="s">
        <v>1000</v>
      </c>
      <c r="E459" s="8" t="s">
        <v>1001</v>
      </c>
      <c r="F459" s="8" t="s">
        <v>39</v>
      </c>
      <c r="G459" s="8" t="s">
        <v>1002</v>
      </c>
    </row>
    <row r="460" spans="1:7" ht="15" customHeight="1" x14ac:dyDescent="0.25">
      <c r="A460" s="7" t="s">
        <v>1208</v>
      </c>
      <c r="B460" s="7" t="s">
        <v>964</v>
      </c>
      <c r="C460" s="8" t="s">
        <v>149</v>
      </c>
      <c r="D460" s="8" t="s">
        <v>971</v>
      </c>
      <c r="E460" s="8" t="s">
        <v>328</v>
      </c>
      <c r="F460" s="8" t="s">
        <v>363</v>
      </c>
      <c r="G460" s="8" t="s">
        <v>1209</v>
      </c>
    </row>
    <row r="461" spans="1:7" ht="15" customHeight="1" x14ac:dyDescent="0.25">
      <c r="A461" s="7" t="s">
        <v>1210</v>
      </c>
      <c r="B461" s="7" t="s">
        <v>1189</v>
      </c>
      <c r="C461" s="8" t="s">
        <v>69</v>
      </c>
      <c r="D461" s="8" t="s">
        <v>1190</v>
      </c>
      <c r="E461" s="8" t="s">
        <v>346</v>
      </c>
      <c r="F461" s="8" t="s">
        <v>757</v>
      </c>
      <c r="G461" s="8" t="s">
        <v>1211</v>
      </c>
    </row>
    <row r="462" spans="1:7" ht="15" customHeight="1" x14ac:dyDescent="0.25">
      <c r="A462" s="7" t="s">
        <v>1212</v>
      </c>
      <c r="B462" s="7" t="s">
        <v>1213</v>
      </c>
      <c r="C462" s="8" t="s">
        <v>1214</v>
      </c>
      <c r="D462" s="8" t="s">
        <v>1068</v>
      </c>
      <c r="E462" s="8" t="s">
        <v>58</v>
      </c>
      <c r="F462" s="8" t="s">
        <v>65</v>
      </c>
      <c r="G462" s="8" t="s">
        <v>1215</v>
      </c>
    </row>
    <row r="463" spans="1:7" ht="15" customHeight="1" x14ac:dyDescent="0.25">
      <c r="A463" s="7" t="s">
        <v>1216</v>
      </c>
      <c r="B463" s="7" t="s">
        <v>1015</v>
      </c>
      <c r="C463" s="8" t="s">
        <v>1217</v>
      </c>
      <c r="D463" s="8" t="s">
        <v>43</v>
      </c>
      <c r="E463" s="8" t="s">
        <v>372</v>
      </c>
      <c r="F463" s="8" t="s">
        <v>28</v>
      </c>
      <c r="G463" s="8" t="s">
        <v>1218</v>
      </c>
    </row>
    <row r="464" spans="1:7" ht="15" customHeight="1" x14ac:dyDescent="0.25">
      <c r="A464" s="7" t="s">
        <v>1219</v>
      </c>
      <c r="B464" s="7" t="s">
        <v>964</v>
      </c>
      <c r="C464" s="8" t="s">
        <v>285</v>
      </c>
      <c r="D464" s="8" t="s">
        <v>971</v>
      </c>
      <c r="E464" s="8" t="s">
        <v>228</v>
      </c>
      <c r="F464" s="8" t="s">
        <v>59</v>
      </c>
      <c r="G464" s="8" t="s">
        <v>1220</v>
      </c>
    </row>
    <row r="465" spans="1:7" ht="15" customHeight="1" x14ac:dyDescent="0.25">
      <c r="A465" s="7" t="s">
        <v>1221</v>
      </c>
      <c r="B465" s="7" t="s">
        <v>964</v>
      </c>
      <c r="C465" s="8" t="s">
        <v>327</v>
      </c>
      <c r="D465" s="8" t="s">
        <v>1068</v>
      </c>
      <c r="E465" s="8" t="s">
        <v>257</v>
      </c>
      <c r="F465" s="8" t="s">
        <v>201</v>
      </c>
      <c r="G465" s="8" t="s">
        <v>1222</v>
      </c>
    </row>
    <row r="466" spans="1:7" ht="15" customHeight="1" x14ac:dyDescent="0.25">
      <c r="A466" s="7" t="s">
        <v>96</v>
      </c>
      <c r="B466" s="7" t="s">
        <v>24</v>
      </c>
      <c r="C466" s="8" t="s">
        <v>32</v>
      </c>
      <c r="D466" s="8" t="s">
        <v>25</v>
      </c>
      <c r="E466" s="8" t="s">
        <v>97</v>
      </c>
      <c r="F466" s="8" t="s">
        <v>86</v>
      </c>
      <c r="G466" s="8" t="s">
        <v>98</v>
      </c>
    </row>
    <row r="467" spans="1:7" ht="15" customHeight="1" x14ac:dyDescent="0.25">
      <c r="A467" s="7" t="s">
        <v>1223</v>
      </c>
      <c r="B467" s="7" t="s">
        <v>979</v>
      </c>
      <c r="C467" s="8" t="s">
        <v>1051</v>
      </c>
      <c r="D467" s="8" t="s">
        <v>432</v>
      </c>
      <c r="E467" s="8" t="s">
        <v>1009</v>
      </c>
      <c r="F467" s="8" t="s">
        <v>34</v>
      </c>
      <c r="G467" s="8" t="s">
        <v>1053</v>
      </c>
    </row>
    <row r="468" spans="1:7" ht="15" customHeight="1" x14ac:dyDescent="0.25">
      <c r="A468" s="7" t="s">
        <v>1224</v>
      </c>
      <c r="B468" s="7" t="s">
        <v>1004</v>
      </c>
      <c r="C468" s="8" t="s">
        <v>57</v>
      </c>
      <c r="D468" s="8" t="s">
        <v>57</v>
      </c>
      <c r="E468" s="8" t="s">
        <v>166</v>
      </c>
      <c r="F468" s="8" t="s">
        <v>28</v>
      </c>
      <c r="G468" s="8" t="s">
        <v>1225</v>
      </c>
    </row>
    <row r="469" spans="1:7" ht="15" customHeight="1" x14ac:dyDescent="0.25">
      <c r="A469" s="7" t="s">
        <v>115</v>
      </c>
      <c r="B469" s="7" t="s">
        <v>24</v>
      </c>
      <c r="C469" s="8" t="s">
        <v>116</v>
      </c>
      <c r="D469" s="8" t="s">
        <v>117</v>
      </c>
      <c r="E469" s="8" t="s">
        <v>118</v>
      </c>
      <c r="F469" s="8" t="s">
        <v>119</v>
      </c>
      <c r="G469" s="8" t="s">
        <v>120</v>
      </c>
    </row>
    <row r="470" spans="1:7" ht="15" customHeight="1" x14ac:dyDescent="0.25">
      <c r="A470" s="7" t="s">
        <v>1226</v>
      </c>
      <c r="B470" s="7" t="s">
        <v>1189</v>
      </c>
      <c r="C470" s="8" t="s">
        <v>69</v>
      </c>
      <c r="D470" s="8" t="s">
        <v>1190</v>
      </c>
      <c r="E470" s="8" t="s">
        <v>346</v>
      </c>
      <c r="F470" s="8" t="s">
        <v>476</v>
      </c>
      <c r="G470" s="8" t="s">
        <v>1227</v>
      </c>
    </row>
    <row r="471" spans="1:7" ht="15" customHeight="1" x14ac:dyDescent="0.25">
      <c r="A471" s="7" t="s">
        <v>1228</v>
      </c>
      <c r="B471" s="7" t="s">
        <v>979</v>
      </c>
      <c r="C471" s="8" t="s">
        <v>948</v>
      </c>
      <c r="D471" s="8" t="s">
        <v>1229</v>
      </c>
      <c r="E471" s="8" t="s">
        <v>350</v>
      </c>
      <c r="F471" s="8" t="s">
        <v>28</v>
      </c>
      <c r="G471" s="8" t="s">
        <v>448</v>
      </c>
    </row>
    <row r="472" spans="1:7" ht="15" customHeight="1" x14ac:dyDescent="0.25">
      <c r="A472" s="7" t="s">
        <v>105</v>
      </c>
      <c r="B472" s="7" t="s">
        <v>24</v>
      </c>
      <c r="C472" s="8" t="s">
        <v>106</v>
      </c>
      <c r="D472" s="8" t="s">
        <v>25</v>
      </c>
      <c r="E472" s="8" t="s">
        <v>107</v>
      </c>
      <c r="F472" s="8" t="s">
        <v>34</v>
      </c>
      <c r="G472" s="8" t="s">
        <v>35</v>
      </c>
    </row>
    <row r="473" spans="1:7" ht="15" customHeight="1" x14ac:dyDescent="0.25">
      <c r="A473" s="7" t="s">
        <v>1230</v>
      </c>
      <c r="B473" s="7" t="s">
        <v>1231</v>
      </c>
      <c r="C473" s="8" t="s">
        <v>1232</v>
      </c>
      <c r="D473" s="8" t="s">
        <v>69</v>
      </c>
      <c r="E473" s="8" t="s">
        <v>328</v>
      </c>
      <c r="F473" s="8" t="s">
        <v>123</v>
      </c>
      <c r="G473" s="8" t="s">
        <v>1233</v>
      </c>
    </row>
    <row r="474" spans="1:7" ht="15" customHeight="1" x14ac:dyDescent="0.25">
      <c r="A474" s="7" t="s">
        <v>108</v>
      </c>
      <c r="B474" s="7" t="s">
        <v>24</v>
      </c>
      <c r="C474" s="8" t="s">
        <v>31</v>
      </c>
      <c r="D474" s="8" t="s">
        <v>57</v>
      </c>
      <c r="E474" s="8" t="s">
        <v>94</v>
      </c>
      <c r="F474" s="8" t="s">
        <v>59</v>
      </c>
      <c r="G474" s="8" t="s">
        <v>109</v>
      </c>
    </row>
    <row r="475" spans="1:7" ht="15" customHeight="1" x14ac:dyDescent="0.25">
      <c r="A475" s="7" t="s">
        <v>1234</v>
      </c>
      <c r="B475" s="7" t="s">
        <v>979</v>
      </c>
      <c r="C475" s="8" t="s">
        <v>980</v>
      </c>
      <c r="D475" s="8" t="s">
        <v>279</v>
      </c>
      <c r="E475" s="8" t="s">
        <v>997</v>
      </c>
      <c r="F475" s="8" t="s">
        <v>59</v>
      </c>
      <c r="G475" s="8" t="s">
        <v>1235</v>
      </c>
    </row>
    <row r="476" spans="1:7" ht="15" customHeight="1" x14ac:dyDescent="0.25">
      <c r="A476" s="7" t="s">
        <v>1236</v>
      </c>
      <c r="B476" s="7" t="s">
        <v>964</v>
      </c>
      <c r="C476" s="8" t="s">
        <v>285</v>
      </c>
      <c r="D476" s="8" t="s">
        <v>444</v>
      </c>
      <c r="E476" s="8" t="s">
        <v>131</v>
      </c>
      <c r="F476" s="8" t="s">
        <v>28</v>
      </c>
      <c r="G476" s="8" t="s">
        <v>1237</v>
      </c>
    </row>
    <row r="477" spans="1:7" ht="15" customHeight="1" x14ac:dyDescent="0.25">
      <c r="A477" s="7" t="s">
        <v>1238</v>
      </c>
      <c r="B477" s="7" t="s">
        <v>1239</v>
      </c>
      <c r="C477" s="8" t="s">
        <v>122</v>
      </c>
      <c r="D477" s="8" t="s">
        <v>250</v>
      </c>
      <c r="E477" s="8" t="s">
        <v>1037</v>
      </c>
      <c r="F477" s="8" t="s">
        <v>28</v>
      </c>
      <c r="G477" s="8" t="s">
        <v>1240</v>
      </c>
    </row>
    <row r="478" spans="1:7" ht="15" customHeight="1" x14ac:dyDescent="0.25">
      <c r="A478" s="7" t="s">
        <v>1241</v>
      </c>
      <c r="B478" s="7" t="s">
        <v>1118</v>
      </c>
      <c r="C478" s="8" t="s">
        <v>344</v>
      </c>
      <c r="D478" s="8" t="s">
        <v>250</v>
      </c>
      <c r="E478" s="8" t="s">
        <v>627</v>
      </c>
      <c r="F478" s="8" t="s">
        <v>119</v>
      </c>
      <c r="G478" s="8" t="s">
        <v>1242</v>
      </c>
    </row>
    <row r="479" spans="1:7" ht="15" customHeight="1" x14ac:dyDescent="0.25">
      <c r="A479" s="7" t="s">
        <v>1243</v>
      </c>
      <c r="B479" s="7" t="s">
        <v>979</v>
      </c>
      <c r="C479" s="8" t="s">
        <v>817</v>
      </c>
      <c r="D479" s="8" t="s">
        <v>1229</v>
      </c>
      <c r="E479" s="8" t="s">
        <v>73</v>
      </c>
      <c r="F479" s="8" t="s">
        <v>363</v>
      </c>
      <c r="G479" s="8" t="s">
        <v>1244</v>
      </c>
    </row>
    <row r="480" spans="1:7" ht="15" customHeight="1" x14ac:dyDescent="0.25">
      <c r="A480" s="7" t="s">
        <v>129</v>
      </c>
      <c r="B480" s="7" t="s">
        <v>24</v>
      </c>
      <c r="C480" s="8" t="s">
        <v>130</v>
      </c>
      <c r="D480" s="8" t="s">
        <v>31</v>
      </c>
      <c r="E480" s="8" t="s">
        <v>131</v>
      </c>
      <c r="F480" s="8" t="s">
        <v>34</v>
      </c>
      <c r="G480" s="8" t="s">
        <v>1245</v>
      </c>
    </row>
    <row r="481" spans="1:7" ht="15" customHeight="1" x14ac:dyDescent="0.25">
      <c r="A481" s="7" t="s">
        <v>1246</v>
      </c>
      <c r="B481" s="7" t="s">
        <v>1004</v>
      </c>
      <c r="C481" s="8" t="s">
        <v>165</v>
      </c>
      <c r="D481" s="8" t="s">
        <v>327</v>
      </c>
      <c r="E481" s="8" t="s">
        <v>239</v>
      </c>
      <c r="F481" s="8" t="s">
        <v>59</v>
      </c>
      <c r="G481" s="8" t="s">
        <v>1247</v>
      </c>
    </row>
    <row r="482" spans="1:7" ht="15" customHeight="1" x14ac:dyDescent="0.25">
      <c r="A482" s="7" t="s">
        <v>1248</v>
      </c>
      <c r="B482" s="7" t="s">
        <v>1213</v>
      </c>
      <c r="C482" s="8" t="s">
        <v>32</v>
      </c>
      <c r="D482" s="8" t="s">
        <v>69</v>
      </c>
      <c r="E482" s="8" t="s">
        <v>58</v>
      </c>
      <c r="F482" s="8" t="s">
        <v>363</v>
      </c>
      <c r="G482" s="8" t="s">
        <v>1249</v>
      </c>
    </row>
    <row r="483" spans="1:7" ht="15" customHeight="1" x14ac:dyDescent="0.25">
      <c r="A483" s="7" t="s">
        <v>1111</v>
      </c>
      <c r="B483" s="7" t="s">
        <v>979</v>
      </c>
      <c r="C483" s="8" t="s">
        <v>101</v>
      </c>
      <c r="D483" s="8" t="s">
        <v>949</v>
      </c>
      <c r="E483" s="8" t="s">
        <v>182</v>
      </c>
      <c r="F483" s="8" t="s">
        <v>59</v>
      </c>
      <c r="G483" s="8" t="s">
        <v>1046</v>
      </c>
    </row>
    <row r="484" spans="1:7" ht="15" customHeight="1" x14ac:dyDescent="0.25">
      <c r="A484" s="7" t="s">
        <v>1250</v>
      </c>
      <c r="B484" s="7" t="s">
        <v>1213</v>
      </c>
      <c r="C484" s="8" t="s">
        <v>32</v>
      </c>
      <c r="D484" s="8" t="s">
        <v>69</v>
      </c>
      <c r="E484" s="8" t="s">
        <v>58</v>
      </c>
      <c r="F484" s="8" t="s">
        <v>363</v>
      </c>
      <c r="G484" s="8" t="s">
        <v>1249</v>
      </c>
    </row>
    <row r="485" spans="1:7" ht="15" customHeight="1" x14ac:dyDescent="0.25">
      <c r="A485" s="7" t="s">
        <v>1251</v>
      </c>
      <c r="B485" s="7" t="s">
        <v>1031</v>
      </c>
      <c r="C485" s="8" t="s">
        <v>57</v>
      </c>
      <c r="D485" s="8" t="s">
        <v>165</v>
      </c>
      <c r="E485" s="8" t="s">
        <v>360</v>
      </c>
      <c r="F485" s="8" t="s">
        <v>28</v>
      </c>
      <c r="G485" s="8" t="s">
        <v>1252</v>
      </c>
    </row>
    <row r="486" spans="1:7" ht="15" customHeight="1" x14ac:dyDescent="0.25">
      <c r="A486" s="7" t="s">
        <v>1047</v>
      </c>
      <c r="B486" s="7" t="s">
        <v>964</v>
      </c>
      <c r="C486" s="8" t="s">
        <v>221</v>
      </c>
      <c r="D486" s="8" t="s">
        <v>444</v>
      </c>
      <c r="E486" s="8" t="s">
        <v>257</v>
      </c>
      <c r="F486" s="8" t="s">
        <v>28</v>
      </c>
      <c r="G486" s="8" t="s">
        <v>1253</v>
      </c>
    </row>
    <row r="487" spans="1:7" ht="15" customHeight="1" x14ac:dyDescent="0.25">
      <c r="A487" s="7" t="s">
        <v>1254</v>
      </c>
      <c r="B487" s="7" t="s">
        <v>1154</v>
      </c>
      <c r="C487" s="8" t="s">
        <v>1255</v>
      </c>
      <c r="D487" s="8" t="s">
        <v>57</v>
      </c>
      <c r="E487" s="8" t="s">
        <v>1037</v>
      </c>
      <c r="F487" s="8" t="s">
        <v>28</v>
      </c>
      <c r="G487" s="8" t="s">
        <v>1256</v>
      </c>
    </row>
    <row r="488" spans="1:7" ht="15" customHeight="1" x14ac:dyDescent="0.25">
      <c r="A488" s="7" t="s">
        <v>1257</v>
      </c>
      <c r="B488" s="7" t="s">
        <v>24</v>
      </c>
      <c r="C488" s="8" t="s">
        <v>265</v>
      </c>
      <c r="D488" s="8" t="s">
        <v>106</v>
      </c>
      <c r="E488" s="8" t="s">
        <v>103</v>
      </c>
      <c r="F488" s="8" t="s">
        <v>34</v>
      </c>
      <c r="G488" s="8" t="s">
        <v>1245</v>
      </c>
    </row>
    <row r="489" spans="1:7" ht="15" customHeight="1" x14ac:dyDescent="0.25">
      <c r="A489" s="7" t="s">
        <v>1258</v>
      </c>
      <c r="B489" s="7" t="s">
        <v>964</v>
      </c>
      <c r="C489" s="8" t="s">
        <v>1259</v>
      </c>
      <c r="D489" s="8" t="s">
        <v>279</v>
      </c>
      <c r="E489" s="8" t="s">
        <v>103</v>
      </c>
      <c r="F489" s="8" t="s">
        <v>417</v>
      </c>
      <c r="G489" s="8" t="s">
        <v>427</v>
      </c>
    </row>
    <row r="490" spans="1:7" ht="15" customHeight="1" x14ac:dyDescent="0.25">
      <c r="A490" s="7" t="s">
        <v>1260</v>
      </c>
      <c r="B490" s="7" t="s">
        <v>1118</v>
      </c>
      <c r="C490" s="8" t="s">
        <v>747</v>
      </c>
      <c r="D490" s="8" t="s">
        <v>165</v>
      </c>
      <c r="E490" s="8" t="s">
        <v>53</v>
      </c>
      <c r="F490" s="8" t="s">
        <v>65</v>
      </c>
      <c r="G490" s="8" t="s">
        <v>1261</v>
      </c>
    </row>
    <row r="491" spans="1:7" ht="15" customHeight="1" x14ac:dyDescent="0.25">
      <c r="A491" s="7" t="s">
        <v>1262</v>
      </c>
      <c r="B491" s="7" t="s">
        <v>979</v>
      </c>
      <c r="C491" s="8" t="s">
        <v>1072</v>
      </c>
      <c r="D491" s="8" t="s">
        <v>1052</v>
      </c>
      <c r="E491" s="8" t="s">
        <v>515</v>
      </c>
      <c r="F491" s="8" t="s">
        <v>59</v>
      </c>
      <c r="G491" s="8" t="s">
        <v>1263</v>
      </c>
    </row>
    <row r="492" spans="1:7" ht="15" customHeight="1" x14ac:dyDescent="0.25">
      <c r="A492" s="7" t="s">
        <v>1264</v>
      </c>
      <c r="B492" s="7" t="s">
        <v>979</v>
      </c>
      <c r="C492" s="8" t="s">
        <v>101</v>
      </c>
      <c r="D492" s="8" t="s">
        <v>245</v>
      </c>
      <c r="E492" s="8" t="s">
        <v>97</v>
      </c>
      <c r="F492" s="8" t="s">
        <v>39</v>
      </c>
      <c r="G492" s="8" t="s">
        <v>1265</v>
      </c>
    </row>
    <row r="493" spans="1:7" ht="15" customHeight="1" x14ac:dyDescent="0.25">
      <c r="A493" s="7" t="s">
        <v>1266</v>
      </c>
      <c r="B493" s="7" t="s">
        <v>964</v>
      </c>
      <c r="C493" s="8" t="s">
        <v>149</v>
      </c>
      <c r="D493" s="8" t="s">
        <v>702</v>
      </c>
      <c r="E493" s="8" t="s">
        <v>94</v>
      </c>
      <c r="F493" s="8" t="s">
        <v>39</v>
      </c>
      <c r="G493" s="8" t="s">
        <v>1267</v>
      </c>
    </row>
    <row r="494" spans="1:7" ht="15" customHeight="1" x14ac:dyDescent="0.25">
      <c r="A494" s="7" t="s">
        <v>1268</v>
      </c>
      <c r="B494" s="7" t="s">
        <v>964</v>
      </c>
      <c r="C494" s="8" t="s">
        <v>243</v>
      </c>
      <c r="D494" s="8" t="s">
        <v>1068</v>
      </c>
      <c r="E494" s="8" t="s">
        <v>251</v>
      </c>
      <c r="F494" s="8" t="s">
        <v>201</v>
      </c>
      <c r="G494" s="8" t="s">
        <v>1222</v>
      </c>
    </row>
    <row r="495" spans="1:7" ht="15" customHeight="1" x14ac:dyDescent="0.25">
      <c r="A495" s="7" t="s">
        <v>1269</v>
      </c>
      <c r="B495" s="7" t="s">
        <v>1028</v>
      </c>
      <c r="C495" s="8" t="s">
        <v>165</v>
      </c>
      <c r="D495" s="8" t="s">
        <v>69</v>
      </c>
      <c r="E495" s="8" t="s">
        <v>463</v>
      </c>
      <c r="F495" s="8" t="s">
        <v>34</v>
      </c>
      <c r="G495" s="8" t="s">
        <v>1270</v>
      </c>
    </row>
    <row r="496" spans="1:7" ht="15" customHeight="1" x14ac:dyDescent="0.25">
      <c r="A496" s="7" t="s">
        <v>1271</v>
      </c>
      <c r="B496" s="7" t="s">
        <v>1031</v>
      </c>
      <c r="C496" s="8" t="s">
        <v>31</v>
      </c>
      <c r="D496" s="8" t="s">
        <v>26</v>
      </c>
      <c r="E496" s="8" t="s">
        <v>627</v>
      </c>
      <c r="F496" s="8" t="s">
        <v>34</v>
      </c>
      <c r="G496" s="8" t="s">
        <v>1272</v>
      </c>
    </row>
    <row r="497" spans="1:7" ht="15" customHeight="1" x14ac:dyDescent="0.25">
      <c r="A497" s="7" t="s">
        <v>1273</v>
      </c>
      <c r="B497" s="7" t="s">
        <v>964</v>
      </c>
      <c r="C497" s="8" t="s">
        <v>117</v>
      </c>
      <c r="D497" s="8" t="s">
        <v>1000</v>
      </c>
      <c r="E497" s="8" t="s">
        <v>1274</v>
      </c>
      <c r="F497" s="8" t="s">
        <v>34</v>
      </c>
      <c r="G497" s="8" t="s">
        <v>1275</v>
      </c>
    </row>
    <row r="498" spans="1:7" ht="15" customHeight="1" x14ac:dyDescent="0.25">
      <c r="A498" s="7" t="s">
        <v>1276</v>
      </c>
      <c r="B498" s="7" t="s">
        <v>964</v>
      </c>
      <c r="C498" s="8" t="s">
        <v>250</v>
      </c>
      <c r="D498" s="8" t="s">
        <v>1000</v>
      </c>
      <c r="E498" s="8" t="s">
        <v>1001</v>
      </c>
      <c r="F498" s="8" t="s">
        <v>39</v>
      </c>
      <c r="G498" s="8" t="s">
        <v>1002</v>
      </c>
    </row>
    <row r="499" spans="1:7" ht="15" customHeight="1" x14ac:dyDescent="0.25">
      <c r="A499" s="7" t="s">
        <v>1277</v>
      </c>
      <c r="B499" s="7" t="s">
        <v>979</v>
      </c>
      <c r="C499" s="8" t="s">
        <v>1052</v>
      </c>
      <c r="D499" s="8" t="s">
        <v>509</v>
      </c>
      <c r="E499" s="8" t="s">
        <v>1114</v>
      </c>
      <c r="F499" s="8" t="s">
        <v>65</v>
      </c>
      <c r="G499" s="8" t="s">
        <v>1196</v>
      </c>
    </row>
    <row r="500" spans="1:7" ht="15" customHeight="1" x14ac:dyDescent="0.25">
      <c r="A500" s="7" t="s">
        <v>1278</v>
      </c>
      <c r="B500" s="7" t="s">
        <v>979</v>
      </c>
      <c r="C500" s="8" t="s">
        <v>233</v>
      </c>
      <c r="D500" s="8" t="s">
        <v>1229</v>
      </c>
      <c r="E500" s="8" t="s">
        <v>1279</v>
      </c>
      <c r="F500" s="8" t="s">
        <v>59</v>
      </c>
      <c r="G500" s="8" t="s">
        <v>1280</v>
      </c>
    </row>
    <row r="501" spans="1:7" ht="15" customHeight="1" x14ac:dyDescent="0.25">
      <c r="A501" s="7" t="s">
        <v>1281</v>
      </c>
      <c r="B501" s="7" t="s">
        <v>979</v>
      </c>
      <c r="C501" s="8" t="s">
        <v>903</v>
      </c>
      <c r="D501" s="8" t="s">
        <v>1052</v>
      </c>
      <c r="E501" s="8" t="s">
        <v>997</v>
      </c>
      <c r="F501" s="8" t="s">
        <v>59</v>
      </c>
      <c r="G501" s="8" t="s">
        <v>1282</v>
      </c>
    </row>
    <row r="502" spans="1:7" ht="15" customHeight="1" x14ac:dyDescent="0.25">
      <c r="A502" s="7" t="s">
        <v>1283</v>
      </c>
      <c r="B502" s="7" t="s">
        <v>979</v>
      </c>
      <c r="C502" s="8" t="s">
        <v>143</v>
      </c>
      <c r="D502" s="8" t="s">
        <v>445</v>
      </c>
      <c r="E502" s="8" t="s">
        <v>541</v>
      </c>
      <c r="F502" s="8" t="s">
        <v>65</v>
      </c>
      <c r="G502" s="8" t="s">
        <v>1196</v>
      </c>
    </row>
    <row r="503" spans="1:7" ht="15" customHeight="1" x14ac:dyDescent="0.25">
      <c r="A503" s="7" t="s">
        <v>1284</v>
      </c>
      <c r="B503" s="7" t="s">
        <v>979</v>
      </c>
      <c r="C503" s="8" t="s">
        <v>233</v>
      </c>
      <c r="D503" s="8" t="s">
        <v>795</v>
      </c>
      <c r="E503" s="8" t="s">
        <v>336</v>
      </c>
      <c r="F503" s="8" t="s">
        <v>59</v>
      </c>
      <c r="G503" s="8" t="s">
        <v>1157</v>
      </c>
    </row>
    <row r="504" spans="1:7" ht="15" customHeight="1" x14ac:dyDescent="0.25">
      <c r="A504" s="7" t="s">
        <v>1285</v>
      </c>
      <c r="B504" s="7" t="s">
        <v>964</v>
      </c>
      <c r="C504" s="8" t="s">
        <v>285</v>
      </c>
      <c r="D504" s="8" t="s">
        <v>1068</v>
      </c>
      <c r="E504" s="8" t="s">
        <v>70</v>
      </c>
      <c r="F504" s="8" t="s">
        <v>59</v>
      </c>
      <c r="G504" s="8" t="s">
        <v>1286</v>
      </c>
    </row>
    <row r="505" spans="1:7" ht="15" customHeight="1" x14ac:dyDescent="0.25">
      <c r="A505" s="7" t="s">
        <v>152</v>
      </c>
      <c r="B505" s="7" t="s">
        <v>24</v>
      </c>
      <c r="C505" s="8" t="s">
        <v>63</v>
      </c>
      <c r="D505" s="8" t="s">
        <v>69</v>
      </c>
      <c r="E505" s="8" t="s">
        <v>131</v>
      </c>
      <c r="F505" s="8" t="s">
        <v>65</v>
      </c>
      <c r="G505" s="8" t="s">
        <v>153</v>
      </c>
    </row>
    <row r="506" spans="1:7" ht="15" customHeight="1" x14ac:dyDescent="0.25">
      <c r="A506" s="7" t="s">
        <v>148</v>
      </c>
      <c r="B506" s="7" t="s">
        <v>24</v>
      </c>
      <c r="C506" s="8" t="s">
        <v>116</v>
      </c>
      <c r="D506" s="8" t="s">
        <v>149</v>
      </c>
      <c r="E506" s="8" t="s">
        <v>150</v>
      </c>
      <c r="F506" s="8" t="s">
        <v>86</v>
      </c>
      <c r="G506" s="8" t="s">
        <v>151</v>
      </c>
    </row>
    <row r="507" spans="1:7" ht="15" customHeight="1" x14ac:dyDescent="0.25">
      <c r="A507" s="7" t="s">
        <v>1287</v>
      </c>
      <c r="B507" s="7" t="s">
        <v>1031</v>
      </c>
      <c r="C507" s="8" t="s">
        <v>42</v>
      </c>
      <c r="D507" s="8" t="s">
        <v>69</v>
      </c>
      <c r="E507" s="8" t="s">
        <v>200</v>
      </c>
      <c r="F507" s="8" t="s">
        <v>28</v>
      </c>
      <c r="G507" s="8" t="s">
        <v>1288</v>
      </c>
    </row>
    <row r="508" spans="1:7" ht="15" customHeight="1" x14ac:dyDescent="0.25">
      <c r="A508" s="7" t="s">
        <v>1289</v>
      </c>
      <c r="B508" s="7" t="s">
        <v>964</v>
      </c>
      <c r="C508" s="8" t="s">
        <v>327</v>
      </c>
      <c r="D508" s="8" t="s">
        <v>1068</v>
      </c>
      <c r="E508" s="8" t="s">
        <v>257</v>
      </c>
      <c r="F508" s="8" t="s">
        <v>201</v>
      </c>
      <c r="G508" s="8" t="s">
        <v>1222</v>
      </c>
    </row>
    <row r="509" spans="1:7" ht="15" customHeight="1" x14ac:dyDescent="0.25">
      <c r="A509" s="7" t="s">
        <v>1290</v>
      </c>
      <c r="B509" s="7" t="s">
        <v>989</v>
      </c>
      <c r="C509" s="8" t="s">
        <v>1291</v>
      </c>
      <c r="D509" s="8" t="s">
        <v>910</v>
      </c>
      <c r="E509" s="8" t="s">
        <v>33</v>
      </c>
      <c r="F509" s="8" t="s">
        <v>86</v>
      </c>
      <c r="G509" s="8" t="s">
        <v>1292</v>
      </c>
    </row>
    <row r="510" spans="1:7" ht="15" customHeight="1" x14ac:dyDescent="0.25">
      <c r="A510" s="7" t="s">
        <v>967</v>
      </c>
      <c r="B510" s="7" t="s">
        <v>964</v>
      </c>
      <c r="C510" s="8" t="s">
        <v>149</v>
      </c>
      <c r="D510" s="8" t="s">
        <v>444</v>
      </c>
      <c r="E510" s="8" t="s">
        <v>169</v>
      </c>
      <c r="F510" s="8" t="s">
        <v>65</v>
      </c>
      <c r="G510" s="8" t="s">
        <v>1293</v>
      </c>
    </row>
    <row r="511" spans="1:7" ht="15" customHeight="1" x14ac:dyDescent="0.25">
      <c r="A511" s="7" t="s">
        <v>1294</v>
      </c>
      <c r="B511" s="7" t="s">
        <v>979</v>
      </c>
      <c r="C511" s="8" t="s">
        <v>233</v>
      </c>
      <c r="D511" s="8" t="s">
        <v>795</v>
      </c>
      <c r="E511" s="8" t="s">
        <v>336</v>
      </c>
      <c r="F511" s="8" t="s">
        <v>59</v>
      </c>
      <c r="G511" s="8" t="s">
        <v>1157</v>
      </c>
    </row>
    <row r="512" spans="1:7" ht="15" customHeight="1" x14ac:dyDescent="0.25">
      <c r="A512" s="7" t="s">
        <v>1295</v>
      </c>
      <c r="B512" s="7" t="s">
        <v>964</v>
      </c>
      <c r="C512" s="8" t="s">
        <v>250</v>
      </c>
      <c r="D512" s="8" t="s">
        <v>702</v>
      </c>
      <c r="E512" s="8" t="s">
        <v>131</v>
      </c>
      <c r="F512" s="8" t="s">
        <v>34</v>
      </c>
      <c r="G512" s="8" t="s">
        <v>1296</v>
      </c>
    </row>
    <row r="513" spans="1:7" ht="15" customHeight="1" x14ac:dyDescent="0.25">
      <c r="A513" s="7" t="s">
        <v>1297</v>
      </c>
      <c r="B513" s="7" t="s">
        <v>979</v>
      </c>
      <c r="C513" s="8" t="s">
        <v>903</v>
      </c>
      <c r="D513" s="8" t="s">
        <v>1052</v>
      </c>
      <c r="E513" s="8" t="s">
        <v>997</v>
      </c>
      <c r="F513" s="8" t="s">
        <v>59</v>
      </c>
      <c r="G513" s="8" t="s">
        <v>1282</v>
      </c>
    </row>
    <row r="514" spans="1:7" ht="15" customHeight="1" x14ac:dyDescent="0.25">
      <c r="A514" s="7" t="s">
        <v>1298</v>
      </c>
      <c r="B514" s="7" t="s">
        <v>964</v>
      </c>
      <c r="C514" s="8" t="s">
        <v>149</v>
      </c>
      <c r="D514" s="8" t="s">
        <v>429</v>
      </c>
      <c r="E514" s="8" t="s">
        <v>598</v>
      </c>
      <c r="F514" s="8" t="s">
        <v>65</v>
      </c>
      <c r="G514" s="8" t="s">
        <v>1299</v>
      </c>
    </row>
    <row r="515" spans="1:7" ht="15" customHeight="1" x14ac:dyDescent="0.25">
      <c r="A515" s="7" t="s">
        <v>1300</v>
      </c>
      <c r="B515" s="7" t="s">
        <v>964</v>
      </c>
      <c r="C515" s="8" t="s">
        <v>702</v>
      </c>
      <c r="D515" s="8" t="s">
        <v>232</v>
      </c>
      <c r="E515" s="8" t="s">
        <v>541</v>
      </c>
      <c r="F515" s="8" t="s">
        <v>363</v>
      </c>
      <c r="G515" s="8" t="s">
        <v>1301</v>
      </c>
    </row>
    <row r="516" spans="1:7" ht="15" customHeight="1" x14ac:dyDescent="0.25">
      <c r="A516" s="7" t="s">
        <v>171</v>
      </c>
      <c r="B516" s="7" t="s">
        <v>24</v>
      </c>
      <c r="C516" s="8" t="s">
        <v>172</v>
      </c>
      <c r="D516" s="8" t="s">
        <v>173</v>
      </c>
      <c r="E516" s="8" t="s">
        <v>53</v>
      </c>
      <c r="F516" s="8" t="s">
        <v>39</v>
      </c>
      <c r="G516" s="8" t="s">
        <v>1116</v>
      </c>
    </row>
    <row r="517" spans="1:7" ht="15" customHeight="1" x14ac:dyDescent="0.25">
      <c r="A517" s="7" t="s">
        <v>1302</v>
      </c>
      <c r="B517" s="7" t="s">
        <v>964</v>
      </c>
      <c r="C517" s="8" t="s">
        <v>556</v>
      </c>
      <c r="D517" s="8" t="s">
        <v>1068</v>
      </c>
      <c r="E517" s="8" t="s">
        <v>206</v>
      </c>
      <c r="F517" s="8" t="s">
        <v>123</v>
      </c>
      <c r="G517" s="8" t="s">
        <v>1303</v>
      </c>
    </row>
    <row r="518" spans="1:7" ht="15" customHeight="1" x14ac:dyDescent="0.25">
      <c r="A518" s="7" t="s">
        <v>1304</v>
      </c>
      <c r="B518" s="7" t="s">
        <v>996</v>
      </c>
      <c r="C518" s="8" t="s">
        <v>243</v>
      </c>
      <c r="D518" s="8" t="s">
        <v>1205</v>
      </c>
      <c r="E518" s="8" t="s">
        <v>1206</v>
      </c>
      <c r="F518" s="8" t="s">
        <v>34</v>
      </c>
      <c r="G518" s="8" t="s">
        <v>132</v>
      </c>
    </row>
    <row r="519" spans="1:7" ht="15" customHeight="1" x14ac:dyDescent="0.25">
      <c r="A519" s="7" t="s">
        <v>1305</v>
      </c>
      <c r="B519" s="7" t="s">
        <v>964</v>
      </c>
      <c r="C519" s="8" t="s">
        <v>250</v>
      </c>
      <c r="D519" s="8" t="s">
        <v>444</v>
      </c>
      <c r="E519" s="8" t="s">
        <v>53</v>
      </c>
      <c r="F519" s="8" t="s">
        <v>28</v>
      </c>
      <c r="G519" s="8" t="s">
        <v>1306</v>
      </c>
    </row>
    <row r="520" spans="1:7" ht="15" customHeight="1" x14ac:dyDescent="0.25">
      <c r="A520" s="7" t="s">
        <v>174</v>
      </c>
      <c r="B520" s="7" t="s">
        <v>24</v>
      </c>
      <c r="C520" s="8" t="s">
        <v>90</v>
      </c>
      <c r="D520" s="8" t="s">
        <v>175</v>
      </c>
      <c r="E520" s="8" t="s">
        <v>44</v>
      </c>
      <c r="F520" s="8" t="s">
        <v>86</v>
      </c>
      <c r="G520" s="8" t="s">
        <v>176</v>
      </c>
    </row>
    <row r="521" spans="1:7" ht="15" customHeight="1" x14ac:dyDescent="0.25">
      <c r="A521" s="7" t="s">
        <v>1307</v>
      </c>
      <c r="B521" s="7" t="s">
        <v>1031</v>
      </c>
      <c r="C521" s="8" t="s">
        <v>106</v>
      </c>
      <c r="D521" s="8" t="s">
        <v>165</v>
      </c>
      <c r="E521" s="8" t="s">
        <v>206</v>
      </c>
      <c r="F521" s="8" t="s">
        <v>39</v>
      </c>
      <c r="G521" s="8" t="s">
        <v>1308</v>
      </c>
    </row>
    <row r="522" spans="1:7" ht="15" customHeight="1" x14ac:dyDescent="0.25">
      <c r="A522" s="7" t="s">
        <v>1309</v>
      </c>
      <c r="B522" s="7" t="s">
        <v>1189</v>
      </c>
      <c r="C522" s="8" t="s">
        <v>63</v>
      </c>
      <c r="D522" s="8" t="s">
        <v>220</v>
      </c>
      <c r="E522" s="8" t="s">
        <v>328</v>
      </c>
      <c r="F522" s="8" t="s">
        <v>119</v>
      </c>
      <c r="G522" s="8" t="s">
        <v>1310</v>
      </c>
    </row>
    <row r="523" spans="1:7" ht="15" customHeight="1" x14ac:dyDescent="0.25">
      <c r="A523" s="7" t="s">
        <v>1311</v>
      </c>
      <c r="B523" s="7" t="s">
        <v>1154</v>
      </c>
      <c r="C523" s="8" t="s">
        <v>1312</v>
      </c>
      <c r="D523" s="8" t="s">
        <v>57</v>
      </c>
      <c r="E523" s="8" t="s">
        <v>1129</v>
      </c>
      <c r="F523" s="8" t="s">
        <v>28</v>
      </c>
      <c r="G523" s="8" t="s">
        <v>1256</v>
      </c>
    </row>
    <row r="524" spans="1:7" ht="15" customHeight="1" x14ac:dyDescent="0.25">
      <c r="A524" s="7" t="s">
        <v>1313</v>
      </c>
      <c r="B524" s="7" t="s">
        <v>979</v>
      </c>
      <c r="C524" s="8" t="s">
        <v>101</v>
      </c>
      <c r="D524" s="8" t="s">
        <v>245</v>
      </c>
      <c r="E524" s="8" t="s">
        <v>97</v>
      </c>
      <c r="F524" s="8" t="s">
        <v>39</v>
      </c>
      <c r="G524" s="8" t="s">
        <v>1265</v>
      </c>
    </row>
    <row r="525" spans="1:7" ht="15" customHeight="1" x14ac:dyDescent="0.25">
      <c r="A525" s="7" t="s">
        <v>1314</v>
      </c>
      <c r="B525" s="7" t="s">
        <v>1004</v>
      </c>
      <c r="C525" s="8" t="s">
        <v>584</v>
      </c>
      <c r="D525" s="8" t="s">
        <v>69</v>
      </c>
      <c r="E525" s="8" t="s">
        <v>1315</v>
      </c>
      <c r="F525" s="8" t="s">
        <v>28</v>
      </c>
      <c r="G525" s="8" t="s">
        <v>1225</v>
      </c>
    </row>
    <row r="526" spans="1:7" ht="15" customHeight="1" x14ac:dyDescent="0.25">
      <c r="A526" s="7" t="s">
        <v>1316</v>
      </c>
      <c r="B526" s="7" t="s">
        <v>1118</v>
      </c>
      <c r="C526" s="8" t="s">
        <v>172</v>
      </c>
      <c r="D526" s="8" t="s">
        <v>57</v>
      </c>
      <c r="E526" s="8" t="s">
        <v>169</v>
      </c>
      <c r="F526" s="8" t="s">
        <v>59</v>
      </c>
      <c r="G526" s="8" t="s">
        <v>1317</v>
      </c>
    </row>
    <row r="527" spans="1:7" ht="15" customHeight="1" x14ac:dyDescent="0.25">
      <c r="A527" s="7" t="s">
        <v>1318</v>
      </c>
      <c r="B527" s="7" t="s">
        <v>964</v>
      </c>
      <c r="C527" s="8" t="s">
        <v>556</v>
      </c>
      <c r="D527" s="8" t="s">
        <v>971</v>
      </c>
      <c r="E527" s="8" t="s">
        <v>85</v>
      </c>
      <c r="F527" s="8" t="s">
        <v>59</v>
      </c>
      <c r="G527" s="8" t="s">
        <v>1220</v>
      </c>
    </row>
    <row r="528" spans="1:7" ht="15" customHeight="1" x14ac:dyDescent="0.25">
      <c r="A528" s="7" t="s">
        <v>1319</v>
      </c>
      <c r="B528" s="7" t="s">
        <v>1320</v>
      </c>
      <c r="C528" s="8" t="s">
        <v>466</v>
      </c>
      <c r="D528" s="8" t="s">
        <v>149</v>
      </c>
      <c r="E528" s="8" t="s">
        <v>346</v>
      </c>
      <c r="F528" s="8" t="s">
        <v>65</v>
      </c>
      <c r="G528" s="8" t="s">
        <v>544</v>
      </c>
    </row>
    <row r="529" spans="1:7" ht="15" customHeight="1" x14ac:dyDescent="0.25">
      <c r="A529" s="7" t="s">
        <v>1321</v>
      </c>
      <c r="B529" s="7" t="s">
        <v>1231</v>
      </c>
      <c r="C529" s="8" t="s">
        <v>57</v>
      </c>
      <c r="D529" s="8" t="s">
        <v>37</v>
      </c>
      <c r="E529" s="8" t="s">
        <v>1274</v>
      </c>
      <c r="F529" s="8" t="s">
        <v>59</v>
      </c>
      <c r="G529" s="8" t="s">
        <v>1322</v>
      </c>
    </row>
    <row r="530" spans="1:7" ht="15" customHeight="1" x14ac:dyDescent="0.25">
      <c r="A530" s="7" t="s">
        <v>1323</v>
      </c>
      <c r="B530" s="7" t="s">
        <v>1189</v>
      </c>
      <c r="C530" s="8" t="s">
        <v>63</v>
      </c>
      <c r="D530" s="8" t="s">
        <v>69</v>
      </c>
      <c r="E530" s="8" t="s">
        <v>131</v>
      </c>
      <c r="F530" s="8" t="s">
        <v>65</v>
      </c>
      <c r="G530" s="8" t="s">
        <v>1033</v>
      </c>
    </row>
    <row r="531" spans="1:7" ht="15" customHeight="1" x14ac:dyDescent="0.25">
      <c r="A531" s="7" t="s">
        <v>1324</v>
      </c>
      <c r="B531" s="7" t="s">
        <v>1118</v>
      </c>
      <c r="C531" s="8" t="s">
        <v>187</v>
      </c>
      <c r="D531" s="8" t="s">
        <v>57</v>
      </c>
      <c r="E531" s="8" t="s">
        <v>206</v>
      </c>
      <c r="F531" s="8" t="s">
        <v>214</v>
      </c>
      <c r="G531" s="8" t="s">
        <v>1325</v>
      </c>
    </row>
    <row r="532" spans="1:7" ht="15" customHeight="1" x14ac:dyDescent="0.25">
      <c r="A532" s="7" t="s">
        <v>1326</v>
      </c>
      <c r="B532" s="7" t="s">
        <v>979</v>
      </c>
      <c r="C532" s="8" t="s">
        <v>429</v>
      </c>
      <c r="D532" s="8" t="s">
        <v>233</v>
      </c>
      <c r="E532" s="8" t="s">
        <v>211</v>
      </c>
      <c r="F532" s="8" t="s">
        <v>59</v>
      </c>
      <c r="G532" s="8" t="s">
        <v>1327</v>
      </c>
    </row>
    <row r="533" spans="1:7" ht="15" customHeight="1" x14ac:dyDescent="0.25">
      <c r="A533" s="7" t="s">
        <v>1328</v>
      </c>
      <c r="B533" s="7" t="s">
        <v>974</v>
      </c>
      <c r="C533" s="8" t="s">
        <v>1329</v>
      </c>
      <c r="D533" s="8" t="s">
        <v>314</v>
      </c>
      <c r="E533" s="8" t="s">
        <v>118</v>
      </c>
      <c r="F533" s="8" t="s">
        <v>34</v>
      </c>
      <c r="G533" s="8" t="s">
        <v>1330</v>
      </c>
    </row>
    <row r="534" spans="1:7" ht="15" customHeight="1" x14ac:dyDescent="0.25">
      <c r="A534" s="7" t="s">
        <v>1331</v>
      </c>
      <c r="B534" s="7" t="s">
        <v>979</v>
      </c>
      <c r="C534" s="8" t="s">
        <v>903</v>
      </c>
      <c r="D534" s="8" t="s">
        <v>1052</v>
      </c>
      <c r="E534" s="8" t="s">
        <v>997</v>
      </c>
      <c r="F534" s="8" t="s">
        <v>59</v>
      </c>
      <c r="G534" s="8" t="s">
        <v>1282</v>
      </c>
    </row>
    <row r="535" spans="1:7" ht="15" customHeight="1" x14ac:dyDescent="0.25">
      <c r="A535" s="7" t="s">
        <v>1332</v>
      </c>
      <c r="B535" s="7" t="s">
        <v>979</v>
      </c>
      <c r="C535" s="8" t="s">
        <v>436</v>
      </c>
      <c r="D535" s="8" t="s">
        <v>714</v>
      </c>
      <c r="E535" s="8" t="s">
        <v>1134</v>
      </c>
      <c r="F535" s="8" t="s">
        <v>65</v>
      </c>
      <c r="G535" s="8" t="s">
        <v>1333</v>
      </c>
    </row>
    <row r="536" spans="1:7" ht="15" customHeight="1" x14ac:dyDescent="0.25">
      <c r="A536" s="7" t="s">
        <v>1334</v>
      </c>
      <c r="B536" s="7" t="s">
        <v>996</v>
      </c>
      <c r="C536" s="8" t="s">
        <v>1335</v>
      </c>
      <c r="D536" s="8" t="s">
        <v>285</v>
      </c>
      <c r="E536" s="8" t="s">
        <v>97</v>
      </c>
      <c r="F536" s="8" t="s">
        <v>39</v>
      </c>
      <c r="G536" s="8" t="s">
        <v>1336</v>
      </c>
    </row>
    <row r="537" spans="1:7" ht="15" customHeight="1" x14ac:dyDescent="0.25">
      <c r="A537" s="7" t="s">
        <v>1337</v>
      </c>
      <c r="B537" s="7" t="s">
        <v>964</v>
      </c>
      <c r="C537" s="8" t="s">
        <v>1338</v>
      </c>
      <c r="D537" s="8" t="s">
        <v>980</v>
      </c>
      <c r="E537" s="8" t="s">
        <v>352</v>
      </c>
      <c r="F537" s="8" t="s">
        <v>59</v>
      </c>
      <c r="G537" s="8" t="s">
        <v>1339</v>
      </c>
    </row>
    <row r="538" spans="1:7" ht="15" customHeight="1" x14ac:dyDescent="0.25">
      <c r="A538" s="7" t="s">
        <v>1340</v>
      </c>
      <c r="B538" s="7" t="s">
        <v>1341</v>
      </c>
      <c r="C538" s="8" t="s">
        <v>243</v>
      </c>
      <c r="D538" s="8" t="s">
        <v>1342</v>
      </c>
      <c r="E538" s="8" t="s">
        <v>44</v>
      </c>
      <c r="F538" s="8" t="s">
        <v>59</v>
      </c>
      <c r="G538" s="8" t="s">
        <v>1343</v>
      </c>
    </row>
    <row r="539" spans="1:7" ht="15" customHeight="1" x14ac:dyDescent="0.25">
      <c r="A539" s="7" t="s">
        <v>1344</v>
      </c>
      <c r="B539" s="7" t="s">
        <v>989</v>
      </c>
      <c r="C539" s="8" t="s">
        <v>242</v>
      </c>
      <c r="D539" s="8" t="s">
        <v>1345</v>
      </c>
      <c r="E539" s="8" t="s">
        <v>156</v>
      </c>
      <c r="F539" s="8" t="s">
        <v>86</v>
      </c>
      <c r="G539" s="8" t="s">
        <v>1292</v>
      </c>
    </row>
    <row r="540" spans="1:7" ht="15" customHeight="1" x14ac:dyDescent="0.25">
      <c r="A540" s="7" t="s">
        <v>1346</v>
      </c>
      <c r="B540" s="7" t="s">
        <v>1031</v>
      </c>
      <c r="C540" s="8" t="s">
        <v>79</v>
      </c>
      <c r="D540" s="8" t="s">
        <v>1096</v>
      </c>
      <c r="E540" s="8" t="s">
        <v>169</v>
      </c>
      <c r="F540" s="8" t="s">
        <v>363</v>
      </c>
      <c r="G540" s="8" t="s">
        <v>1347</v>
      </c>
    </row>
    <row r="541" spans="1:7" ht="15" customHeight="1" x14ac:dyDescent="0.25">
      <c r="A541" s="7" t="s">
        <v>1348</v>
      </c>
      <c r="B541" s="7" t="s">
        <v>1349</v>
      </c>
      <c r="C541" s="8" t="s">
        <v>51</v>
      </c>
      <c r="D541" s="8" t="s">
        <v>51</v>
      </c>
      <c r="E541" s="8" t="s">
        <v>166</v>
      </c>
      <c r="F541" s="8" t="s">
        <v>65</v>
      </c>
      <c r="G541" s="8" t="s">
        <v>1350</v>
      </c>
    </row>
    <row r="542" spans="1:7" ht="15" customHeight="1" x14ac:dyDescent="0.25">
      <c r="A542" s="7" t="s">
        <v>226</v>
      </c>
      <c r="B542" s="7" t="s">
        <v>24</v>
      </c>
      <c r="C542" s="8" t="s">
        <v>79</v>
      </c>
      <c r="D542" s="8" t="s">
        <v>227</v>
      </c>
      <c r="E542" s="8" t="s">
        <v>228</v>
      </c>
      <c r="F542" s="8" t="s">
        <v>65</v>
      </c>
      <c r="G542" s="8" t="s">
        <v>229</v>
      </c>
    </row>
    <row r="543" spans="1:7" ht="15" customHeight="1" x14ac:dyDescent="0.25">
      <c r="A543" s="7" t="s">
        <v>1351</v>
      </c>
      <c r="B543" s="7" t="s">
        <v>996</v>
      </c>
      <c r="C543" s="8" t="s">
        <v>1352</v>
      </c>
      <c r="D543" s="8" t="s">
        <v>1353</v>
      </c>
      <c r="E543" s="8" t="s">
        <v>182</v>
      </c>
      <c r="F543" s="8" t="s">
        <v>417</v>
      </c>
      <c r="G543" s="8" t="s">
        <v>1354</v>
      </c>
    </row>
    <row r="544" spans="1:7" ht="15" customHeight="1" x14ac:dyDescent="0.25">
      <c r="A544" s="7" t="s">
        <v>1355</v>
      </c>
      <c r="B544" s="7" t="s">
        <v>1239</v>
      </c>
      <c r="C544" s="8" t="s">
        <v>31</v>
      </c>
      <c r="D544" s="8" t="s">
        <v>37</v>
      </c>
      <c r="E544" s="8" t="s">
        <v>38</v>
      </c>
      <c r="F544" s="8" t="s">
        <v>34</v>
      </c>
      <c r="G544" s="8" t="s">
        <v>1356</v>
      </c>
    </row>
    <row r="545" spans="1:7" ht="15" customHeight="1" x14ac:dyDescent="0.25">
      <c r="A545" s="7" t="s">
        <v>1357</v>
      </c>
      <c r="B545" s="7" t="s">
        <v>979</v>
      </c>
      <c r="C545" s="8" t="s">
        <v>456</v>
      </c>
      <c r="D545" s="8" t="s">
        <v>180</v>
      </c>
      <c r="E545" s="8" t="s">
        <v>247</v>
      </c>
      <c r="F545" s="8" t="s">
        <v>39</v>
      </c>
      <c r="G545" s="8" t="s">
        <v>1358</v>
      </c>
    </row>
    <row r="546" spans="1:7" ht="15" customHeight="1" x14ac:dyDescent="0.25">
      <c r="A546" s="7" t="s">
        <v>1359</v>
      </c>
      <c r="B546" s="7" t="s">
        <v>979</v>
      </c>
      <c r="C546" s="8" t="s">
        <v>509</v>
      </c>
      <c r="D546" s="8" t="s">
        <v>1360</v>
      </c>
      <c r="E546" s="8" t="s">
        <v>144</v>
      </c>
      <c r="F546" s="8" t="s">
        <v>65</v>
      </c>
      <c r="G546" s="8" t="s">
        <v>1361</v>
      </c>
    </row>
    <row r="547" spans="1:7" ht="15" customHeight="1" x14ac:dyDescent="0.25">
      <c r="A547" s="7" t="s">
        <v>1362</v>
      </c>
      <c r="B547" s="7" t="s">
        <v>964</v>
      </c>
      <c r="C547" s="8" t="s">
        <v>1363</v>
      </c>
      <c r="D547" s="8" t="s">
        <v>149</v>
      </c>
      <c r="E547" s="8" t="s">
        <v>266</v>
      </c>
      <c r="F547" s="8" t="s">
        <v>1364</v>
      </c>
      <c r="G547" s="8" t="s">
        <v>887</v>
      </c>
    </row>
    <row r="548" spans="1:7" ht="15" customHeight="1" x14ac:dyDescent="0.25">
      <c r="A548" s="7" t="s">
        <v>1365</v>
      </c>
      <c r="B548" s="7" t="s">
        <v>979</v>
      </c>
      <c r="C548" s="8" t="s">
        <v>1366</v>
      </c>
      <c r="D548" s="8" t="s">
        <v>1008</v>
      </c>
      <c r="E548" s="8" t="s">
        <v>73</v>
      </c>
      <c r="F548" s="8" t="s">
        <v>363</v>
      </c>
      <c r="G548" s="8" t="s">
        <v>1367</v>
      </c>
    </row>
    <row r="549" spans="1:7" ht="15" customHeight="1" x14ac:dyDescent="0.25">
      <c r="A549" s="7" t="s">
        <v>1368</v>
      </c>
      <c r="B549" s="7" t="s">
        <v>964</v>
      </c>
      <c r="C549" s="8" t="s">
        <v>106</v>
      </c>
      <c r="D549" s="8" t="s">
        <v>69</v>
      </c>
      <c r="E549" s="8" t="s">
        <v>328</v>
      </c>
      <c r="F549" s="8" t="s">
        <v>119</v>
      </c>
      <c r="G549" s="8" t="s">
        <v>1369</v>
      </c>
    </row>
    <row r="550" spans="1:7" ht="15" customHeight="1" x14ac:dyDescent="0.25">
      <c r="A550" s="7" t="s">
        <v>1370</v>
      </c>
      <c r="B550" s="7" t="s">
        <v>1189</v>
      </c>
      <c r="C550" s="8" t="s">
        <v>63</v>
      </c>
      <c r="D550" s="8" t="s">
        <v>165</v>
      </c>
      <c r="E550" s="8" t="s">
        <v>70</v>
      </c>
      <c r="F550" s="8" t="s">
        <v>65</v>
      </c>
      <c r="G550" s="8" t="s">
        <v>1371</v>
      </c>
    </row>
    <row r="551" spans="1:7" ht="15" customHeight="1" x14ac:dyDescent="0.25">
      <c r="A551" s="7" t="s">
        <v>1372</v>
      </c>
      <c r="B551" s="7" t="s">
        <v>964</v>
      </c>
      <c r="C551" s="8" t="s">
        <v>57</v>
      </c>
      <c r="D551" s="8" t="s">
        <v>37</v>
      </c>
      <c r="E551" s="8" t="s">
        <v>1274</v>
      </c>
      <c r="F551" s="8" t="s">
        <v>59</v>
      </c>
      <c r="G551" s="8" t="s">
        <v>1373</v>
      </c>
    </row>
    <row r="552" spans="1:7" ht="15" customHeight="1" x14ac:dyDescent="0.25">
      <c r="A552" s="7" t="s">
        <v>1374</v>
      </c>
      <c r="B552" s="7" t="s">
        <v>964</v>
      </c>
      <c r="C552" s="8" t="s">
        <v>90</v>
      </c>
      <c r="D552" s="8" t="s">
        <v>1375</v>
      </c>
      <c r="E552" s="8" t="s">
        <v>1274</v>
      </c>
      <c r="F552" s="8" t="s">
        <v>788</v>
      </c>
      <c r="G552" s="8" t="s">
        <v>1376</v>
      </c>
    </row>
    <row r="553" spans="1:7" ht="15" customHeight="1" x14ac:dyDescent="0.25">
      <c r="A553" s="7" t="s">
        <v>1377</v>
      </c>
      <c r="B553" s="7" t="s">
        <v>974</v>
      </c>
      <c r="C553" s="8" t="s">
        <v>195</v>
      </c>
      <c r="D553" s="8" t="s">
        <v>1375</v>
      </c>
      <c r="E553" s="8" t="s">
        <v>239</v>
      </c>
      <c r="F553" s="8" t="s">
        <v>34</v>
      </c>
      <c r="G553" s="8" t="s">
        <v>1378</v>
      </c>
    </row>
    <row r="554" spans="1:7" ht="15" customHeight="1" x14ac:dyDescent="0.25">
      <c r="A554" s="7" t="s">
        <v>1379</v>
      </c>
      <c r="B554" s="7" t="s">
        <v>1380</v>
      </c>
      <c r="C554" s="8" t="s">
        <v>1381</v>
      </c>
      <c r="D554" s="8" t="s">
        <v>69</v>
      </c>
      <c r="E554" s="8" t="s">
        <v>396</v>
      </c>
      <c r="F554" s="8" t="s">
        <v>39</v>
      </c>
      <c r="G554" s="8" t="s">
        <v>1382</v>
      </c>
    </row>
    <row r="555" spans="1:7" ht="15" customHeight="1" x14ac:dyDescent="0.25">
      <c r="A555" s="7" t="s">
        <v>1383</v>
      </c>
      <c r="B555" s="7" t="s">
        <v>964</v>
      </c>
      <c r="C555" s="8" t="s">
        <v>314</v>
      </c>
      <c r="D555" s="8" t="s">
        <v>232</v>
      </c>
      <c r="E555" s="8" t="s">
        <v>33</v>
      </c>
      <c r="F555" s="8" t="s">
        <v>59</v>
      </c>
      <c r="G555" s="8" t="s">
        <v>1384</v>
      </c>
    </row>
    <row r="556" spans="1:7" ht="15" customHeight="1" x14ac:dyDescent="0.25">
      <c r="A556" s="7" t="s">
        <v>1284</v>
      </c>
      <c r="B556" s="7" t="s">
        <v>979</v>
      </c>
      <c r="C556" s="8" t="s">
        <v>233</v>
      </c>
      <c r="D556" s="8" t="s">
        <v>795</v>
      </c>
      <c r="E556" s="8" t="s">
        <v>336</v>
      </c>
      <c r="F556" s="8" t="s">
        <v>59</v>
      </c>
      <c r="G556" s="8" t="s">
        <v>1157</v>
      </c>
    </row>
    <row r="557" spans="1:7" ht="15" customHeight="1" x14ac:dyDescent="0.25">
      <c r="A557" s="7" t="s">
        <v>1385</v>
      </c>
      <c r="B557" s="7" t="s">
        <v>1239</v>
      </c>
      <c r="C557" s="8" t="s">
        <v>195</v>
      </c>
      <c r="D557" s="8" t="s">
        <v>1335</v>
      </c>
      <c r="E557" s="8" t="s">
        <v>107</v>
      </c>
      <c r="F557" s="8" t="s">
        <v>65</v>
      </c>
      <c r="G557" s="8" t="s">
        <v>1386</v>
      </c>
    </row>
    <row r="558" spans="1:7" ht="15" customHeight="1" x14ac:dyDescent="0.25">
      <c r="A558" s="7" t="s">
        <v>1387</v>
      </c>
      <c r="B558" s="7" t="s">
        <v>1031</v>
      </c>
      <c r="C558" s="8" t="s">
        <v>43</v>
      </c>
      <c r="D558" s="8" t="s">
        <v>220</v>
      </c>
      <c r="E558" s="8" t="s">
        <v>136</v>
      </c>
      <c r="F558" s="8" t="s">
        <v>34</v>
      </c>
      <c r="G558" s="8" t="s">
        <v>1160</v>
      </c>
    </row>
    <row r="559" spans="1:7" ht="15" customHeight="1" x14ac:dyDescent="0.25">
      <c r="A559" s="7" t="s">
        <v>1388</v>
      </c>
      <c r="B559" s="7" t="s">
        <v>1389</v>
      </c>
      <c r="C559" s="8" t="s">
        <v>172</v>
      </c>
      <c r="D559" s="8" t="s">
        <v>69</v>
      </c>
      <c r="E559" s="8" t="s">
        <v>38</v>
      </c>
      <c r="F559" s="8" t="s">
        <v>86</v>
      </c>
      <c r="G559" s="8" t="s">
        <v>1390</v>
      </c>
    </row>
    <row r="560" spans="1:7" ht="15" customHeight="1" x14ac:dyDescent="0.25">
      <c r="A560" s="7" t="s">
        <v>1391</v>
      </c>
      <c r="B560" s="7" t="s">
        <v>979</v>
      </c>
      <c r="C560" s="8" t="s">
        <v>1392</v>
      </c>
      <c r="D560" s="8" t="s">
        <v>444</v>
      </c>
      <c r="E560" s="8" t="s">
        <v>1009</v>
      </c>
      <c r="F560" s="8" t="s">
        <v>65</v>
      </c>
      <c r="G560" s="8" t="s">
        <v>471</v>
      </c>
    </row>
    <row r="561" spans="1:7" ht="15" customHeight="1" x14ac:dyDescent="0.25">
      <c r="A561" s="7" t="s">
        <v>1393</v>
      </c>
      <c r="B561" s="7" t="s">
        <v>964</v>
      </c>
      <c r="C561" s="8" t="s">
        <v>250</v>
      </c>
      <c r="D561" s="8" t="s">
        <v>279</v>
      </c>
      <c r="E561" s="8" t="s">
        <v>1037</v>
      </c>
      <c r="F561" s="8" t="s">
        <v>28</v>
      </c>
      <c r="G561" s="8" t="s">
        <v>1306</v>
      </c>
    </row>
    <row r="562" spans="1:7" ht="15" customHeight="1" x14ac:dyDescent="0.25">
      <c r="A562" s="7" t="s">
        <v>1394</v>
      </c>
      <c r="B562" s="7" t="s">
        <v>996</v>
      </c>
      <c r="C562" s="8" t="s">
        <v>1395</v>
      </c>
      <c r="D562" s="8" t="s">
        <v>692</v>
      </c>
      <c r="E562" s="8" t="s">
        <v>1396</v>
      </c>
      <c r="F562" s="8" t="s">
        <v>363</v>
      </c>
      <c r="G562" s="8" t="s">
        <v>1397</v>
      </c>
    </row>
    <row r="563" spans="1:7" ht="15" customHeight="1" x14ac:dyDescent="0.25">
      <c r="A563" s="7" t="s">
        <v>1398</v>
      </c>
      <c r="B563" s="7" t="s">
        <v>1189</v>
      </c>
      <c r="C563" s="8" t="s">
        <v>1399</v>
      </c>
      <c r="D563" s="8" t="s">
        <v>165</v>
      </c>
      <c r="E563" s="8" t="s">
        <v>328</v>
      </c>
      <c r="F563" s="8" t="s">
        <v>65</v>
      </c>
      <c r="G563" s="8" t="s">
        <v>1400</v>
      </c>
    </row>
    <row r="564" spans="1:7" ht="15" customHeight="1" x14ac:dyDescent="0.25">
      <c r="A564" s="7" t="s">
        <v>287</v>
      </c>
      <c r="B564" s="7" t="s">
        <v>24</v>
      </c>
      <c r="C564" s="8" t="s">
        <v>83</v>
      </c>
      <c r="D564" s="8" t="s">
        <v>84</v>
      </c>
      <c r="E564" s="8" t="s">
        <v>85</v>
      </c>
      <c r="F564" s="8" t="s">
        <v>65</v>
      </c>
      <c r="G564" s="8" t="s">
        <v>1401</v>
      </c>
    </row>
    <row r="565" spans="1:7" ht="15" customHeight="1" x14ac:dyDescent="0.25">
      <c r="A565" s="7" t="s">
        <v>1402</v>
      </c>
      <c r="B565" s="7" t="s">
        <v>1239</v>
      </c>
      <c r="C565" s="8" t="s">
        <v>1403</v>
      </c>
      <c r="D565" s="8" t="s">
        <v>117</v>
      </c>
      <c r="E565" s="8" t="s">
        <v>1274</v>
      </c>
      <c r="F565" s="8" t="s">
        <v>65</v>
      </c>
      <c r="G565" s="8" t="s">
        <v>934</v>
      </c>
    </row>
    <row r="566" spans="1:7" ht="15" customHeight="1" x14ac:dyDescent="0.25">
      <c r="A566" s="7" t="s">
        <v>297</v>
      </c>
      <c r="B566" s="7" t="s">
        <v>24</v>
      </c>
      <c r="C566" s="8" t="s">
        <v>298</v>
      </c>
      <c r="D566" s="8" t="s">
        <v>57</v>
      </c>
      <c r="E566" s="8" t="s">
        <v>251</v>
      </c>
      <c r="F566" s="8" t="s">
        <v>34</v>
      </c>
      <c r="G566" s="8" t="s">
        <v>299</v>
      </c>
    </row>
    <row r="567" spans="1:7" ht="15" customHeight="1" x14ac:dyDescent="0.25">
      <c r="A567" s="7" t="s">
        <v>1404</v>
      </c>
      <c r="B567" s="7" t="s">
        <v>1031</v>
      </c>
      <c r="C567" s="8" t="s">
        <v>633</v>
      </c>
      <c r="D567" s="8" t="s">
        <v>165</v>
      </c>
      <c r="E567" s="8" t="s">
        <v>94</v>
      </c>
      <c r="F567" s="8" t="s">
        <v>39</v>
      </c>
      <c r="G567" s="8" t="s">
        <v>1308</v>
      </c>
    </row>
    <row r="568" spans="1:7" ht="15" customHeight="1" x14ac:dyDescent="0.25">
      <c r="A568" s="7" t="s">
        <v>1405</v>
      </c>
      <c r="B568" s="7" t="s">
        <v>979</v>
      </c>
      <c r="C568" s="8" t="s">
        <v>1178</v>
      </c>
      <c r="D568" s="8" t="s">
        <v>1007</v>
      </c>
      <c r="E568" s="8" t="s">
        <v>1009</v>
      </c>
      <c r="F568" s="8" t="s">
        <v>59</v>
      </c>
      <c r="G568" s="8" t="s">
        <v>1235</v>
      </c>
    </row>
    <row r="569" spans="1:7" ht="15" customHeight="1" x14ac:dyDescent="0.25">
      <c r="A569" s="7" t="s">
        <v>1406</v>
      </c>
      <c r="B569" s="7" t="s">
        <v>964</v>
      </c>
      <c r="C569" s="8" t="s">
        <v>1407</v>
      </c>
      <c r="D569" s="8" t="s">
        <v>69</v>
      </c>
      <c r="E569" s="8" t="s">
        <v>156</v>
      </c>
      <c r="F569" s="8" t="s">
        <v>123</v>
      </c>
      <c r="G569" s="8" t="s">
        <v>1408</v>
      </c>
    </row>
    <row r="570" spans="1:7" ht="15" customHeight="1" x14ac:dyDescent="0.25">
      <c r="A570" s="7" t="s">
        <v>1409</v>
      </c>
      <c r="B570" s="7" t="s">
        <v>979</v>
      </c>
      <c r="C570" s="8" t="s">
        <v>1410</v>
      </c>
      <c r="D570" s="8" t="s">
        <v>1411</v>
      </c>
      <c r="E570" s="8" t="s">
        <v>1078</v>
      </c>
      <c r="F570" s="8" t="s">
        <v>28</v>
      </c>
      <c r="G570" s="8" t="s">
        <v>1412</v>
      </c>
    </row>
    <row r="571" spans="1:7" ht="15" customHeight="1" x14ac:dyDescent="0.25">
      <c r="A571" s="7" t="s">
        <v>302</v>
      </c>
      <c r="B571" s="7" t="s">
        <v>24</v>
      </c>
      <c r="C571" s="8" t="s">
        <v>31</v>
      </c>
      <c r="D571" s="8" t="s">
        <v>57</v>
      </c>
      <c r="E571" s="8" t="s">
        <v>94</v>
      </c>
      <c r="F571" s="8" t="s">
        <v>59</v>
      </c>
      <c r="G571" s="8" t="s">
        <v>303</v>
      </c>
    </row>
    <row r="572" spans="1:7" ht="15" customHeight="1" x14ac:dyDescent="0.25">
      <c r="A572" s="7" t="s">
        <v>304</v>
      </c>
      <c r="B572" s="7" t="s">
        <v>24</v>
      </c>
      <c r="C572" s="8" t="s">
        <v>159</v>
      </c>
      <c r="D572" s="8" t="s">
        <v>25</v>
      </c>
      <c r="E572" s="8" t="s">
        <v>76</v>
      </c>
      <c r="F572" s="8" t="s">
        <v>34</v>
      </c>
      <c r="G572" s="8" t="s">
        <v>305</v>
      </c>
    </row>
    <row r="573" spans="1:7" ht="15" customHeight="1" x14ac:dyDescent="0.25">
      <c r="A573" s="7" t="s">
        <v>1413</v>
      </c>
      <c r="B573" s="7" t="s">
        <v>1104</v>
      </c>
      <c r="C573" s="8" t="s">
        <v>117</v>
      </c>
      <c r="D573" s="8" t="s">
        <v>314</v>
      </c>
      <c r="E573" s="8" t="s">
        <v>76</v>
      </c>
      <c r="F573" s="8" t="s">
        <v>476</v>
      </c>
      <c r="G573" s="8" t="s">
        <v>1414</v>
      </c>
    </row>
    <row r="574" spans="1:7" ht="15" customHeight="1" x14ac:dyDescent="0.25">
      <c r="A574" s="7" t="s">
        <v>1415</v>
      </c>
      <c r="B574" s="7" t="s">
        <v>979</v>
      </c>
      <c r="C574" s="8" t="s">
        <v>429</v>
      </c>
      <c r="D574" s="8" t="s">
        <v>1008</v>
      </c>
      <c r="E574" s="8" t="s">
        <v>541</v>
      </c>
      <c r="F574" s="8" t="s">
        <v>39</v>
      </c>
      <c r="G574" s="8" t="s">
        <v>1416</v>
      </c>
    </row>
    <row r="575" spans="1:7" ht="15" customHeight="1" x14ac:dyDescent="0.25">
      <c r="A575" s="7" t="s">
        <v>1417</v>
      </c>
      <c r="B575" s="7" t="s">
        <v>964</v>
      </c>
      <c r="C575" s="8" t="s">
        <v>149</v>
      </c>
      <c r="D575" s="8" t="s">
        <v>314</v>
      </c>
      <c r="E575" s="8" t="s">
        <v>70</v>
      </c>
      <c r="F575" s="8" t="s">
        <v>34</v>
      </c>
      <c r="G575" s="8" t="s">
        <v>1035</v>
      </c>
    </row>
    <row r="576" spans="1:7" ht="15" customHeight="1" x14ac:dyDescent="0.25">
      <c r="A576" s="7" t="s">
        <v>1064</v>
      </c>
      <c r="B576" s="7" t="s">
        <v>964</v>
      </c>
      <c r="C576" s="8" t="s">
        <v>314</v>
      </c>
      <c r="D576" s="8" t="s">
        <v>1045</v>
      </c>
      <c r="E576" s="8" t="s">
        <v>257</v>
      </c>
      <c r="F576" s="8" t="s">
        <v>65</v>
      </c>
      <c r="G576" s="8" t="s">
        <v>1418</v>
      </c>
    </row>
    <row r="577" spans="1:7" ht="15" customHeight="1" x14ac:dyDescent="0.25">
      <c r="A577" s="7" t="s">
        <v>1419</v>
      </c>
      <c r="B577" s="7" t="s">
        <v>1031</v>
      </c>
      <c r="C577" s="8" t="s">
        <v>83</v>
      </c>
      <c r="D577" s="8" t="s">
        <v>57</v>
      </c>
      <c r="E577" s="8" t="s">
        <v>254</v>
      </c>
      <c r="F577" s="8" t="s">
        <v>86</v>
      </c>
      <c r="G577" s="8" t="s">
        <v>1420</v>
      </c>
    </row>
    <row r="578" spans="1:7" ht="15" customHeight="1" x14ac:dyDescent="0.25">
      <c r="A578" s="7" t="s">
        <v>1421</v>
      </c>
      <c r="B578" s="7" t="s">
        <v>1104</v>
      </c>
      <c r="C578" s="8" t="s">
        <v>165</v>
      </c>
      <c r="D578" s="8" t="s">
        <v>243</v>
      </c>
      <c r="E578" s="8" t="s">
        <v>352</v>
      </c>
      <c r="F578" s="8" t="s">
        <v>59</v>
      </c>
      <c r="G578" s="8" t="s">
        <v>1422</v>
      </c>
    </row>
    <row r="579" spans="1:7" ht="15" customHeight="1" x14ac:dyDescent="0.25">
      <c r="A579" s="7" t="s">
        <v>1423</v>
      </c>
      <c r="B579" s="7" t="s">
        <v>974</v>
      </c>
      <c r="C579" s="8" t="s">
        <v>556</v>
      </c>
      <c r="D579" s="8" t="s">
        <v>285</v>
      </c>
      <c r="E579" s="8" t="s">
        <v>360</v>
      </c>
      <c r="F579" s="8" t="s">
        <v>59</v>
      </c>
      <c r="G579" s="8" t="s">
        <v>1424</v>
      </c>
    </row>
    <row r="580" spans="1:7" ht="15" customHeight="1" x14ac:dyDescent="0.25">
      <c r="A580" s="7" t="s">
        <v>1425</v>
      </c>
      <c r="B580" s="7" t="s">
        <v>1426</v>
      </c>
      <c r="C580" s="8" t="s">
        <v>747</v>
      </c>
      <c r="D580" s="8" t="s">
        <v>57</v>
      </c>
      <c r="E580" s="8" t="s">
        <v>627</v>
      </c>
      <c r="F580" s="8" t="s">
        <v>59</v>
      </c>
      <c r="G580" s="8" t="s">
        <v>1427</v>
      </c>
    </row>
    <row r="581" spans="1:7" ht="15" customHeight="1" x14ac:dyDescent="0.25">
      <c r="A581" s="7" t="s">
        <v>1428</v>
      </c>
      <c r="B581" s="7" t="s">
        <v>964</v>
      </c>
      <c r="C581" s="8" t="s">
        <v>285</v>
      </c>
      <c r="D581" s="8" t="s">
        <v>1008</v>
      </c>
      <c r="E581" s="8" t="s">
        <v>328</v>
      </c>
      <c r="F581" s="8" t="s">
        <v>86</v>
      </c>
      <c r="G581" s="8" t="s">
        <v>1429</v>
      </c>
    </row>
    <row r="582" spans="1:7" ht="15" customHeight="1" x14ac:dyDescent="0.25">
      <c r="A582" s="7" t="s">
        <v>1430</v>
      </c>
      <c r="B582" s="7" t="s">
        <v>1118</v>
      </c>
      <c r="C582" s="8" t="s">
        <v>1431</v>
      </c>
      <c r="D582" s="8" t="s">
        <v>250</v>
      </c>
      <c r="E582" s="8" t="s">
        <v>1001</v>
      </c>
      <c r="F582" s="8" t="s">
        <v>119</v>
      </c>
      <c r="G582" s="8" t="s">
        <v>1242</v>
      </c>
    </row>
    <row r="583" spans="1:7" ht="15" customHeight="1" x14ac:dyDescent="0.25">
      <c r="A583" s="7" t="s">
        <v>1432</v>
      </c>
      <c r="B583" s="7" t="s">
        <v>979</v>
      </c>
      <c r="C583" s="8" t="s">
        <v>101</v>
      </c>
      <c r="D583" s="8" t="s">
        <v>949</v>
      </c>
      <c r="E583" s="8" t="s">
        <v>182</v>
      </c>
      <c r="F583" s="8" t="s">
        <v>59</v>
      </c>
      <c r="G583" s="8" t="s">
        <v>1046</v>
      </c>
    </row>
    <row r="584" spans="1:7" ht="15" customHeight="1" x14ac:dyDescent="0.25">
      <c r="A584" s="7" t="s">
        <v>1433</v>
      </c>
      <c r="B584" s="7" t="s">
        <v>1061</v>
      </c>
      <c r="C584" s="8" t="s">
        <v>265</v>
      </c>
      <c r="D584" s="8" t="s">
        <v>57</v>
      </c>
      <c r="E584" s="8" t="s">
        <v>139</v>
      </c>
      <c r="F584" s="8" t="s">
        <v>28</v>
      </c>
      <c r="G584" s="8" t="s">
        <v>1434</v>
      </c>
    </row>
    <row r="585" spans="1:7" ht="15" customHeight="1" x14ac:dyDescent="0.25">
      <c r="A585" s="7" t="s">
        <v>1435</v>
      </c>
      <c r="B585" s="7" t="s">
        <v>1213</v>
      </c>
      <c r="C585" s="8" t="s">
        <v>1335</v>
      </c>
      <c r="D585" s="8" t="s">
        <v>232</v>
      </c>
      <c r="E585" s="8" t="s">
        <v>80</v>
      </c>
      <c r="F585" s="8" t="s">
        <v>119</v>
      </c>
      <c r="G585" s="8" t="s">
        <v>1436</v>
      </c>
    </row>
    <row r="586" spans="1:7" ht="15" customHeight="1" x14ac:dyDescent="0.25">
      <c r="A586" s="7" t="s">
        <v>1437</v>
      </c>
      <c r="B586" s="7" t="s">
        <v>1004</v>
      </c>
      <c r="C586" s="8" t="s">
        <v>1438</v>
      </c>
      <c r="D586" s="8" t="s">
        <v>69</v>
      </c>
      <c r="E586" s="8" t="s">
        <v>80</v>
      </c>
      <c r="F586" s="8" t="s">
        <v>59</v>
      </c>
      <c r="G586" s="8" t="s">
        <v>1439</v>
      </c>
    </row>
    <row r="587" spans="1:7" ht="15" customHeight="1" x14ac:dyDescent="0.25">
      <c r="A587" s="7" t="s">
        <v>1440</v>
      </c>
      <c r="B587" s="7" t="s">
        <v>1004</v>
      </c>
      <c r="C587" s="8" t="s">
        <v>250</v>
      </c>
      <c r="D587" s="8" t="s">
        <v>1441</v>
      </c>
      <c r="E587" s="8" t="s">
        <v>200</v>
      </c>
      <c r="F587" s="8" t="s">
        <v>39</v>
      </c>
      <c r="G587" s="8" t="s">
        <v>1442</v>
      </c>
    </row>
    <row r="588" spans="1:7" ht="15" customHeight="1" x14ac:dyDescent="0.25">
      <c r="A588" s="7" t="s">
        <v>967</v>
      </c>
      <c r="B588" s="7" t="s">
        <v>964</v>
      </c>
      <c r="C588" s="8" t="s">
        <v>968</v>
      </c>
      <c r="D588" s="8" t="s">
        <v>444</v>
      </c>
      <c r="E588" s="8" t="s">
        <v>169</v>
      </c>
      <c r="F588" s="8" t="s">
        <v>65</v>
      </c>
      <c r="G588" s="8" t="s">
        <v>1443</v>
      </c>
    </row>
    <row r="589" spans="1:7" ht="15" customHeight="1" x14ac:dyDescent="0.25">
      <c r="A589" s="7" t="s">
        <v>970</v>
      </c>
      <c r="B589" s="7" t="s">
        <v>964</v>
      </c>
      <c r="C589" s="8" t="s">
        <v>117</v>
      </c>
      <c r="D589" s="8" t="s">
        <v>971</v>
      </c>
      <c r="E589" s="8" t="s">
        <v>251</v>
      </c>
      <c r="F589" s="8" t="s">
        <v>363</v>
      </c>
      <c r="G589" s="8" t="s">
        <v>1209</v>
      </c>
    </row>
    <row r="590" spans="1:7" ht="15" customHeight="1" x14ac:dyDescent="0.25">
      <c r="A590" s="7" t="s">
        <v>1444</v>
      </c>
      <c r="B590" s="7" t="s">
        <v>1445</v>
      </c>
      <c r="C590" s="8" t="s">
        <v>1446</v>
      </c>
      <c r="D590" s="8" t="s">
        <v>802</v>
      </c>
      <c r="E590" s="8" t="s">
        <v>254</v>
      </c>
      <c r="F590" s="8" t="s">
        <v>65</v>
      </c>
      <c r="G590" s="8" t="s">
        <v>1447</v>
      </c>
    </row>
    <row r="591" spans="1:7" ht="15" customHeight="1" x14ac:dyDescent="0.25">
      <c r="A591" s="7" t="s">
        <v>1448</v>
      </c>
      <c r="B591" s="7" t="s">
        <v>1449</v>
      </c>
      <c r="C591" s="8" t="s">
        <v>165</v>
      </c>
      <c r="D591" s="8" t="s">
        <v>1450</v>
      </c>
      <c r="E591" s="8" t="s">
        <v>73</v>
      </c>
      <c r="F591" s="8" t="s">
        <v>86</v>
      </c>
      <c r="G591" s="8" t="s">
        <v>1451</v>
      </c>
    </row>
    <row r="592" spans="1:7" ht="15" customHeight="1" x14ac:dyDescent="0.25">
      <c r="A592" s="7" t="s">
        <v>1452</v>
      </c>
      <c r="B592" s="7" t="s">
        <v>1453</v>
      </c>
      <c r="C592" s="8" t="s">
        <v>1454</v>
      </c>
      <c r="D592" s="8" t="s">
        <v>1455</v>
      </c>
      <c r="E592" s="8" t="s">
        <v>1456</v>
      </c>
      <c r="F592" s="8" t="s">
        <v>363</v>
      </c>
      <c r="G592" s="8" t="s">
        <v>1457</v>
      </c>
    </row>
    <row r="593" spans="1:7" ht="15" customHeight="1" x14ac:dyDescent="0.25">
      <c r="A593" s="7" t="s">
        <v>1458</v>
      </c>
      <c r="B593" s="7" t="s">
        <v>1004</v>
      </c>
      <c r="C593" s="8" t="s">
        <v>327</v>
      </c>
      <c r="D593" s="8" t="s">
        <v>1342</v>
      </c>
      <c r="E593" s="8" t="s">
        <v>352</v>
      </c>
      <c r="F593" s="8" t="s">
        <v>363</v>
      </c>
      <c r="G593" s="8" t="s">
        <v>1459</v>
      </c>
    </row>
    <row r="594" spans="1:7" ht="15" customHeight="1" x14ac:dyDescent="0.25">
      <c r="A594" s="7" t="s">
        <v>1460</v>
      </c>
      <c r="B594" s="7" t="s">
        <v>1461</v>
      </c>
      <c r="C594" s="8" t="s">
        <v>276</v>
      </c>
      <c r="D594" s="8" t="s">
        <v>43</v>
      </c>
      <c r="E594" s="8" t="s">
        <v>228</v>
      </c>
      <c r="F594" s="8" t="s">
        <v>417</v>
      </c>
      <c r="G594" s="8" t="s">
        <v>1462</v>
      </c>
    </row>
    <row r="595" spans="1:7" ht="15" customHeight="1" x14ac:dyDescent="0.25">
      <c r="A595" s="7" t="s">
        <v>988</v>
      </c>
      <c r="B595" s="7" t="s">
        <v>989</v>
      </c>
      <c r="C595" s="8" t="s">
        <v>990</v>
      </c>
      <c r="D595" s="8" t="s">
        <v>52</v>
      </c>
      <c r="E595" s="8" t="s">
        <v>33</v>
      </c>
      <c r="F595" s="8" t="s">
        <v>86</v>
      </c>
      <c r="G595" s="8" t="s">
        <v>1463</v>
      </c>
    </row>
    <row r="596" spans="1:7" ht="15" customHeight="1" x14ac:dyDescent="0.25">
      <c r="A596" s="7" t="s">
        <v>992</v>
      </c>
      <c r="B596" s="7" t="s">
        <v>964</v>
      </c>
      <c r="C596" s="8" t="s">
        <v>149</v>
      </c>
      <c r="D596" s="8" t="s">
        <v>702</v>
      </c>
      <c r="E596" s="8" t="s">
        <v>94</v>
      </c>
      <c r="F596" s="8" t="s">
        <v>59</v>
      </c>
      <c r="G596" s="8" t="s">
        <v>994</v>
      </c>
    </row>
    <row r="597" spans="1:7" ht="15" customHeight="1" x14ac:dyDescent="0.25">
      <c r="A597" s="7" t="s">
        <v>1464</v>
      </c>
      <c r="B597" s="7" t="s">
        <v>1004</v>
      </c>
      <c r="C597" s="8" t="s">
        <v>243</v>
      </c>
      <c r="D597" s="8" t="s">
        <v>1096</v>
      </c>
      <c r="E597" s="8" t="s">
        <v>58</v>
      </c>
      <c r="F597" s="8" t="s">
        <v>59</v>
      </c>
      <c r="G597" s="8" t="s">
        <v>1465</v>
      </c>
    </row>
    <row r="598" spans="1:7" ht="15" customHeight="1" x14ac:dyDescent="0.25">
      <c r="A598" s="7" t="s">
        <v>1466</v>
      </c>
      <c r="B598" s="7" t="s">
        <v>1467</v>
      </c>
      <c r="C598" s="8" t="s">
        <v>32</v>
      </c>
      <c r="D598" s="8" t="s">
        <v>250</v>
      </c>
      <c r="E598" s="8" t="s">
        <v>251</v>
      </c>
      <c r="F598" s="8" t="s">
        <v>65</v>
      </c>
      <c r="G598" s="8" t="s">
        <v>1468</v>
      </c>
    </row>
    <row r="599" spans="1:7" ht="15" customHeight="1" x14ac:dyDescent="0.25">
      <c r="A599" s="7" t="s">
        <v>1469</v>
      </c>
      <c r="B599" s="7" t="s">
        <v>1004</v>
      </c>
      <c r="C599" s="8" t="s">
        <v>51</v>
      </c>
      <c r="D599" s="8" t="s">
        <v>25</v>
      </c>
      <c r="E599" s="8" t="s">
        <v>80</v>
      </c>
      <c r="F599" s="8" t="s">
        <v>417</v>
      </c>
      <c r="G599" s="8" t="s">
        <v>1470</v>
      </c>
    </row>
    <row r="600" spans="1:7" ht="15" customHeight="1" x14ac:dyDescent="0.25">
      <c r="A600" s="7" t="s">
        <v>1003</v>
      </c>
      <c r="B600" s="7" t="s">
        <v>1004</v>
      </c>
      <c r="C600" s="8" t="s">
        <v>165</v>
      </c>
      <c r="D600" s="8" t="s">
        <v>69</v>
      </c>
      <c r="E600" s="8" t="s">
        <v>463</v>
      </c>
      <c r="F600" s="8" t="s">
        <v>59</v>
      </c>
      <c r="G600" s="8" t="s">
        <v>1471</v>
      </c>
    </row>
    <row r="601" spans="1:7" ht="15" customHeight="1" x14ac:dyDescent="0.25">
      <c r="A601" s="7" t="s">
        <v>1472</v>
      </c>
      <c r="B601" s="7" t="s">
        <v>1341</v>
      </c>
      <c r="C601" s="8" t="s">
        <v>1473</v>
      </c>
      <c r="D601" s="8" t="s">
        <v>1096</v>
      </c>
      <c r="E601" s="8" t="s">
        <v>85</v>
      </c>
      <c r="F601" s="8" t="s">
        <v>59</v>
      </c>
      <c r="G601" s="8" t="s">
        <v>1474</v>
      </c>
    </row>
    <row r="602" spans="1:7" ht="15" customHeight="1" x14ac:dyDescent="0.25">
      <c r="A602" s="7" t="s">
        <v>999</v>
      </c>
      <c r="B602" s="7" t="s">
        <v>964</v>
      </c>
      <c r="C602" s="8" t="s">
        <v>250</v>
      </c>
      <c r="D602" s="8" t="s">
        <v>1000</v>
      </c>
      <c r="E602" s="8" t="s">
        <v>1001</v>
      </c>
      <c r="F602" s="8" t="s">
        <v>39</v>
      </c>
      <c r="G602" s="8" t="s">
        <v>1475</v>
      </c>
    </row>
    <row r="603" spans="1:7" ht="15" customHeight="1" x14ac:dyDescent="0.25">
      <c r="A603" s="7" t="s">
        <v>1476</v>
      </c>
      <c r="B603" s="7" t="s">
        <v>1004</v>
      </c>
      <c r="C603" s="8" t="s">
        <v>57</v>
      </c>
      <c r="D603" s="8" t="s">
        <v>69</v>
      </c>
      <c r="E603" s="8" t="s">
        <v>70</v>
      </c>
      <c r="F603" s="8" t="s">
        <v>39</v>
      </c>
      <c r="G603" s="8" t="s">
        <v>1477</v>
      </c>
    </row>
    <row r="604" spans="1:7" ht="15" customHeight="1" x14ac:dyDescent="0.25">
      <c r="A604" s="7" t="s">
        <v>1478</v>
      </c>
      <c r="B604" s="7" t="s">
        <v>1126</v>
      </c>
      <c r="C604" s="8" t="s">
        <v>172</v>
      </c>
      <c r="D604" s="8" t="s">
        <v>69</v>
      </c>
      <c r="E604" s="8" t="s">
        <v>38</v>
      </c>
      <c r="F604" s="8" t="s">
        <v>59</v>
      </c>
      <c r="G604" s="8" t="s">
        <v>1479</v>
      </c>
    </row>
    <row r="605" spans="1:7" ht="15" customHeight="1" x14ac:dyDescent="0.25">
      <c r="A605" s="7" t="s">
        <v>1014</v>
      </c>
      <c r="B605" s="7" t="s">
        <v>1015</v>
      </c>
      <c r="C605" s="8" t="s">
        <v>32</v>
      </c>
      <c r="D605" s="8" t="s">
        <v>327</v>
      </c>
      <c r="E605" s="8" t="s">
        <v>156</v>
      </c>
      <c r="F605" s="8" t="s">
        <v>34</v>
      </c>
      <c r="G605" s="8" t="s">
        <v>1480</v>
      </c>
    </row>
    <row r="606" spans="1:7" ht="15" customHeight="1" x14ac:dyDescent="0.25">
      <c r="A606" s="7" t="s">
        <v>1481</v>
      </c>
      <c r="B606" s="7" t="s">
        <v>1445</v>
      </c>
      <c r="C606" s="8" t="s">
        <v>210</v>
      </c>
      <c r="D606" s="8" t="s">
        <v>467</v>
      </c>
      <c r="E606" s="8" t="s">
        <v>342</v>
      </c>
      <c r="F606" s="8" t="s">
        <v>28</v>
      </c>
      <c r="G606" s="8" t="s">
        <v>1482</v>
      </c>
    </row>
    <row r="607" spans="1:7" ht="15" customHeight="1" x14ac:dyDescent="0.25">
      <c r="A607" s="7" t="s">
        <v>1483</v>
      </c>
      <c r="B607" s="7" t="s">
        <v>1449</v>
      </c>
      <c r="C607" s="8" t="s">
        <v>344</v>
      </c>
      <c r="D607" s="8" t="s">
        <v>242</v>
      </c>
      <c r="E607" s="8" t="s">
        <v>453</v>
      </c>
      <c r="F607" s="8" t="s">
        <v>65</v>
      </c>
      <c r="G607" s="8" t="s">
        <v>1484</v>
      </c>
    </row>
    <row r="608" spans="1:7" ht="15" customHeight="1" x14ac:dyDescent="0.25">
      <c r="A608" s="7" t="s">
        <v>1485</v>
      </c>
      <c r="B608" s="7" t="s">
        <v>1449</v>
      </c>
      <c r="C608" s="8" t="s">
        <v>63</v>
      </c>
      <c r="D608" s="8" t="s">
        <v>165</v>
      </c>
      <c r="E608" s="8" t="s">
        <v>70</v>
      </c>
      <c r="F608" s="8" t="s">
        <v>59</v>
      </c>
      <c r="G608" s="8" t="s">
        <v>1486</v>
      </c>
    </row>
    <row r="609" spans="1:7" ht="15" customHeight="1" x14ac:dyDescent="0.25">
      <c r="A609" s="7" t="s">
        <v>1034</v>
      </c>
      <c r="B609" s="7" t="s">
        <v>964</v>
      </c>
      <c r="C609" s="8" t="s">
        <v>195</v>
      </c>
      <c r="D609" s="8" t="s">
        <v>314</v>
      </c>
      <c r="E609" s="8" t="s">
        <v>94</v>
      </c>
      <c r="F609" s="8" t="s">
        <v>34</v>
      </c>
      <c r="G609" s="8" t="s">
        <v>1035</v>
      </c>
    </row>
    <row r="610" spans="1:7" ht="15" customHeight="1" x14ac:dyDescent="0.25">
      <c r="A610" s="7" t="s">
        <v>1036</v>
      </c>
      <c r="B610" s="7" t="s">
        <v>964</v>
      </c>
      <c r="C610" s="8" t="s">
        <v>250</v>
      </c>
      <c r="D610" s="8" t="s">
        <v>279</v>
      </c>
      <c r="E610" s="8" t="s">
        <v>1037</v>
      </c>
      <c r="F610" s="8" t="s">
        <v>28</v>
      </c>
      <c r="G610" s="8" t="s">
        <v>1306</v>
      </c>
    </row>
    <row r="611" spans="1:7" ht="15" customHeight="1" x14ac:dyDescent="0.25">
      <c r="A611" s="7" t="s">
        <v>1487</v>
      </c>
      <c r="B611" s="7" t="s">
        <v>1004</v>
      </c>
      <c r="C611" s="8" t="s">
        <v>42</v>
      </c>
      <c r="D611" s="8" t="s">
        <v>69</v>
      </c>
      <c r="E611" s="8" t="s">
        <v>200</v>
      </c>
      <c r="F611" s="8" t="s">
        <v>39</v>
      </c>
      <c r="G611" s="8" t="s">
        <v>1488</v>
      </c>
    </row>
    <row r="612" spans="1:7" ht="15" customHeight="1" x14ac:dyDescent="0.25">
      <c r="A612" s="7" t="s">
        <v>1489</v>
      </c>
      <c r="B612" s="7" t="s">
        <v>1490</v>
      </c>
      <c r="C612" s="8" t="s">
        <v>614</v>
      </c>
      <c r="D612" s="8" t="s">
        <v>117</v>
      </c>
      <c r="E612" s="8" t="s">
        <v>85</v>
      </c>
      <c r="F612" s="8" t="s">
        <v>65</v>
      </c>
      <c r="G612" s="8" t="s">
        <v>1491</v>
      </c>
    </row>
    <row r="613" spans="1:7" ht="15" customHeight="1" x14ac:dyDescent="0.25">
      <c r="A613" s="7" t="s">
        <v>1047</v>
      </c>
      <c r="B613" s="7" t="s">
        <v>964</v>
      </c>
      <c r="C613" s="8" t="s">
        <v>221</v>
      </c>
      <c r="D613" s="8" t="s">
        <v>444</v>
      </c>
      <c r="E613" s="8" t="s">
        <v>257</v>
      </c>
      <c r="F613" s="8" t="s">
        <v>28</v>
      </c>
      <c r="G613" s="8" t="s">
        <v>1492</v>
      </c>
    </row>
    <row r="614" spans="1:7" ht="15" customHeight="1" x14ac:dyDescent="0.25">
      <c r="A614" s="7" t="s">
        <v>1493</v>
      </c>
      <c r="B614" s="7" t="s">
        <v>1449</v>
      </c>
      <c r="C614" s="8" t="s">
        <v>63</v>
      </c>
      <c r="D614" s="8" t="s">
        <v>802</v>
      </c>
      <c r="E614" s="8" t="s">
        <v>239</v>
      </c>
      <c r="F614" s="8" t="s">
        <v>119</v>
      </c>
      <c r="G614" s="8" t="s">
        <v>1494</v>
      </c>
    </row>
    <row r="615" spans="1:7" ht="15" customHeight="1" x14ac:dyDescent="0.25">
      <c r="A615" s="7" t="s">
        <v>1495</v>
      </c>
      <c r="B615" s="7" t="s">
        <v>1496</v>
      </c>
      <c r="C615" s="8" t="s">
        <v>745</v>
      </c>
      <c r="D615" s="8" t="s">
        <v>1497</v>
      </c>
      <c r="E615" s="8" t="s">
        <v>94</v>
      </c>
      <c r="F615" s="8" t="s">
        <v>34</v>
      </c>
      <c r="G615" s="8" t="s">
        <v>1498</v>
      </c>
    </row>
    <row r="616" spans="1:7" ht="15" customHeight="1" x14ac:dyDescent="0.25">
      <c r="A616" s="7" t="s">
        <v>23</v>
      </c>
      <c r="B616" s="7" t="s">
        <v>24</v>
      </c>
      <c r="C616" s="8" t="s">
        <v>25</v>
      </c>
      <c r="D616" s="8" t="s">
        <v>26</v>
      </c>
      <c r="E616" s="8" t="s">
        <v>27</v>
      </c>
      <c r="F616" s="8" t="s">
        <v>28</v>
      </c>
      <c r="G616" s="8" t="s">
        <v>29</v>
      </c>
    </row>
    <row r="617" spans="1:7" ht="15" customHeight="1" x14ac:dyDescent="0.25">
      <c r="A617" s="7" t="s">
        <v>1499</v>
      </c>
      <c r="B617" s="7" t="s">
        <v>1500</v>
      </c>
      <c r="C617" s="8" t="s">
        <v>1501</v>
      </c>
      <c r="D617" s="8" t="s">
        <v>1502</v>
      </c>
      <c r="E617" s="8" t="s">
        <v>1396</v>
      </c>
      <c r="F617" s="8" t="s">
        <v>119</v>
      </c>
      <c r="G617" s="8" t="s">
        <v>1503</v>
      </c>
    </row>
    <row r="618" spans="1:7" ht="15" customHeight="1" x14ac:dyDescent="0.25">
      <c r="A618" s="7" t="s">
        <v>1504</v>
      </c>
      <c r="B618" s="7" t="s">
        <v>1505</v>
      </c>
      <c r="C618" s="8" t="s">
        <v>1506</v>
      </c>
      <c r="D618" s="8" t="s">
        <v>1506</v>
      </c>
      <c r="E618" s="8" t="s">
        <v>166</v>
      </c>
      <c r="F618" s="8" t="s">
        <v>65</v>
      </c>
      <c r="G618" s="8" t="s">
        <v>1507</v>
      </c>
    </row>
    <row r="619" spans="1:7" ht="15" customHeight="1" x14ac:dyDescent="0.25">
      <c r="A619" s="7" t="s">
        <v>1508</v>
      </c>
      <c r="B619" s="7" t="s">
        <v>1509</v>
      </c>
      <c r="C619" s="8" t="s">
        <v>1510</v>
      </c>
      <c r="D619" s="8" t="s">
        <v>1511</v>
      </c>
      <c r="E619" s="8" t="s">
        <v>1009</v>
      </c>
      <c r="F619" s="8" t="s">
        <v>39</v>
      </c>
      <c r="G619" s="8" t="s">
        <v>1512</v>
      </c>
    </row>
    <row r="620" spans="1:7" ht="15" customHeight="1" x14ac:dyDescent="0.25">
      <c r="A620" s="7" t="s">
        <v>1513</v>
      </c>
      <c r="B620" s="7" t="s">
        <v>1004</v>
      </c>
      <c r="C620" s="8" t="s">
        <v>388</v>
      </c>
      <c r="D620" s="8" t="s">
        <v>1514</v>
      </c>
      <c r="E620" s="8" t="s">
        <v>58</v>
      </c>
      <c r="F620" s="8" t="s">
        <v>59</v>
      </c>
      <c r="G620" s="8" t="s">
        <v>1515</v>
      </c>
    </row>
    <row r="621" spans="1:7" ht="15" customHeight="1" x14ac:dyDescent="0.25">
      <c r="A621" s="7" t="s">
        <v>1064</v>
      </c>
      <c r="B621" s="7" t="s">
        <v>964</v>
      </c>
      <c r="C621" s="8" t="s">
        <v>314</v>
      </c>
      <c r="D621" s="8" t="s">
        <v>903</v>
      </c>
      <c r="E621" s="8" t="s">
        <v>598</v>
      </c>
      <c r="F621" s="8" t="s">
        <v>65</v>
      </c>
      <c r="G621" s="8" t="s">
        <v>1516</v>
      </c>
    </row>
    <row r="622" spans="1:7" ht="15" customHeight="1" x14ac:dyDescent="0.25">
      <c r="A622" s="7" t="s">
        <v>1517</v>
      </c>
      <c r="B622" s="7" t="s">
        <v>1004</v>
      </c>
      <c r="C622" s="8" t="s">
        <v>25</v>
      </c>
      <c r="D622" s="8" t="s">
        <v>1514</v>
      </c>
      <c r="E622" s="8" t="s">
        <v>85</v>
      </c>
      <c r="F622" s="8" t="s">
        <v>28</v>
      </c>
      <c r="G622" s="8" t="s">
        <v>1518</v>
      </c>
    </row>
    <row r="623" spans="1:7" ht="15" customHeight="1" x14ac:dyDescent="0.25">
      <c r="A623" s="7" t="s">
        <v>1519</v>
      </c>
      <c r="B623" s="7" t="s">
        <v>1520</v>
      </c>
      <c r="C623" s="8" t="s">
        <v>243</v>
      </c>
      <c r="D623" s="8" t="s">
        <v>1521</v>
      </c>
      <c r="E623" s="8" t="s">
        <v>103</v>
      </c>
      <c r="F623" s="8" t="s">
        <v>28</v>
      </c>
      <c r="G623" s="8" t="s">
        <v>1522</v>
      </c>
    </row>
    <row r="624" spans="1:7" ht="15" customHeight="1" x14ac:dyDescent="0.25">
      <c r="A624" s="7" t="s">
        <v>30</v>
      </c>
      <c r="B624" s="7" t="s">
        <v>24</v>
      </c>
      <c r="C624" s="8" t="s">
        <v>31</v>
      </c>
      <c r="D624" s="8" t="s">
        <v>32</v>
      </c>
      <c r="E624" s="8" t="s">
        <v>33</v>
      </c>
      <c r="F624" s="8" t="s">
        <v>34</v>
      </c>
      <c r="G624" s="8" t="s">
        <v>35</v>
      </c>
    </row>
    <row r="625" spans="1:7" ht="15" customHeight="1" x14ac:dyDescent="0.25">
      <c r="A625" s="7" t="s">
        <v>36</v>
      </c>
      <c r="B625" s="7" t="s">
        <v>24</v>
      </c>
      <c r="C625" s="8" t="s">
        <v>31</v>
      </c>
      <c r="D625" s="8" t="s">
        <v>69</v>
      </c>
      <c r="E625" s="8" t="s">
        <v>169</v>
      </c>
      <c r="F625" s="8" t="s">
        <v>39</v>
      </c>
      <c r="G625" s="8" t="s">
        <v>40</v>
      </c>
    </row>
    <row r="626" spans="1:7" ht="15" customHeight="1" x14ac:dyDescent="0.25">
      <c r="A626" s="7" t="s">
        <v>1066</v>
      </c>
      <c r="B626" s="7" t="s">
        <v>964</v>
      </c>
      <c r="C626" s="8" t="s">
        <v>1067</v>
      </c>
      <c r="D626" s="8" t="s">
        <v>1068</v>
      </c>
      <c r="E626" s="8" t="s">
        <v>70</v>
      </c>
      <c r="F626" s="8" t="s">
        <v>59</v>
      </c>
      <c r="G626" s="8" t="s">
        <v>1069</v>
      </c>
    </row>
    <row r="627" spans="1:7" ht="15" customHeight="1" x14ac:dyDescent="0.25">
      <c r="A627" s="7" t="s">
        <v>1523</v>
      </c>
      <c r="B627" s="7" t="s">
        <v>1524</v>
      </c>
      <c r="C627" s="8" t="s">
        <v>1525</v>
      </c>
      <c r="D627" s="8" t="s">
        <v>702</v>
      </c>
      <c r="E627" s="8" t="s">
        <v>1073</v>
      </c>
      <c r="F627" s="8" t="s">
        <v>119</v>
      </c>
      <c r="G627" s="8" t="s">
        <v>1526</v>
      </c>
    </row>
    <row r="628" spans="1:7" ht="15" customHeight="1" x14ac:dyDescent="0.25">
      <c r="A628" s="7" t="s">
        <v>1527</v>
      </c>
      <c r="B628" s="7" t="s">
        <v>1528</v>
      </c>
      <c r="C628" s="8" t="s">
        <v>57</v>
      </c>
      <c r="D628" s="8" t="s">
        <v>149</v>
      </c>
      <c r="E628" s="8" t="s">
        <v>328</v>
      </c>
      <c r="F628" s="8" t="s">
        <v>123</v>
      </c>
      <c r="G628" s="8" t="s">
        <v>1529</v>
      </c>
    </row>
    <row r="629" spans="1:7" ht="15" customHeight="1" x14ac:dyDescent="0.25">
      <c r="A629" s="7" t="s">
        <v>1530</v>
      </c>
      <c r="B629" s="7" t="s">
        <v>1449</v>
      </c>
      <c r="C629" s="8" t="s">
        <v>63</v>
      </c>
      <c r="D629" s="8" t="s">
        <v>388</v>
      </c>
      <c r="E629" s="8" t="s">
        <v>73</v>
      </c>
      <c r="F629" s="8" t="s">
        <v>417</v>
      </c>
      <c r="G629" s="8" t="s">
        <v>1531</v>
      </c>
    </row>
    <row r="630" spans="1:7" ht="15" customHeight="1" x14ac:dyDescent="0.25">
      <c r="A630" s="7" t="s">
        <v>41</v>
      </c>
      <c r="B630" s="7" t="s">
        <v>24</v>
      </c>
      <c r="C630" s="8" t="s">
        <v>42</v>
      </c>
      <c r="D630" s="8" t="s">
        <v>43</v>
      </c>
      <c r="E630" s="8" t="s">
        <v>44</v>
      </c>
      <c r="F630" s="8" t="s">
        <v>28</v>
      </c>
      <c r="G630" s="8" t="s">
        <v>1098</v>
      </c>
    </row>
    <row r="631" spans="1:7" ht="15" customHeight="1" x14ac:dyDescent="0.25">
      <c r="A631" s="7" t="s">
        <v>1532</v>
      </c>
      <c r="B631" s="7" t="s">
        <v>1520</v>
      </c>
      <c r="C631" s="8" t="s">
        <v>43</v>
      </c>
      <c r="D631" s="8" t="s">
        <v>69</v>
      </c>
      <c r="E631" s="8" t="s">
        <v>1114</v>
      </c>
      <c r="F631" s="8" t="s">
        <v>417</v>
      </c>
      <c r="G631" s="8" t="s">
        <v>1533</v>
      </c>
    </row>
    <row r="632" spans="1:7" ht="15" customHeight="1" x14ac:dyDescent="0.25">
      <c r="A632" s="7" t="s">
        <v>1534</v>
      </c>
      <c r="B632" s="7" t="s">
        <v>1535</v>
      </c>
      <c r="C632" s="8" t="s">
        <v>79</v>
      </c>
      <c r="D632" s="8" t="s">
        <v>1096</v>
      </c>
      <c r="E632" s="8" t="s">
        <v>169</v>
      </c>
      <c r="F632" s="8" t="s">
        <v>65</v>
      </c>
      <c r="G632" s="8" t="s">
        <v>1536</v>
      </c>
    </row>
    <row r="633" spans="1:7" ht="15" customHeight="1" x14ac:dyDescent="0.25">
      <c r="A633" s="7" t="s">
        <v>1537</v>
      </c>
      <c r="B633" s="7" t="s">
        <v>1004</v>
      </c>
      <c r="C633" s="8" t="s">
        <v>243</v>
      </c>
      <c r="D633" s="8" t="s">
        <v>1538</v>
      </c>
      <c r="E633" s="8" t="s">
        <v>328</v>
      </c>
      <c r="F633" s="8" t="s">
        <v>39</v>
      </c>
      <c r="G633" s="8" t="s">
        <v>1539</v>
      </c>
    </row>
    <row r="634" spans="1:7" ht="15" customHeight="1" x14ac:dyDescent="0.25">
      <c r="A634" s="7" t="s">
        <v>46</v>
      </c>
      <c r="B634" s="7" t="s">
        <v>24</v>
      </c>
      <c r="C634" s="8" t="s">
        <v>47</v>
      </c>
      <c r="D634" s="8" t="s">
        <v>25</v>
      </c>
      <c r="E634" s="8" t="s">
        <v>48</v>
      </c>
      <c r="F634" s="8" t="s">
        <v>28</v>
      </c>
      <c r="G634" s="8" t="s">
        <v>49</v>
      </c>
    </row>
    <row r="635" spans="1:7" ht="15" customHeight="1" x14ac:dyDescent="0.25">
      <c r="A635" s="7" t="s">
        <v>1540</v>
      </c>
      <c r="B635" s="7" t="s">
        <v>1445</v>
      </c>
      <c r="C635" s="8" t="s">
        <v>1541</v>
      </c>
      <c r="D635" s="8" t="s">
        <v>1542</v>
      </c>
      <c r="E635" s="8" t="s">
        <v>228</v>
      </c>
      <c r="F635" s="8" t="s">
        <v>65</v>
      </c>
      <c r="G635" s="8" t="s">
        <v>1543</v>
      </c>
    </row>
    <row r="636" spans="1:7" ht="15" customHeight="1" x14ac:dyDescent="0.25">
      <c r="A636" s="7" t="s">
        <v>1101</v>
      </c>
      <c r="B636" s="7" t="s">
        <v>964</v>
      </c>
      <c r="C636" s="8" t="s">
        <v>693</v>
      </c>
      <c r="D636" s="8" t="s">
        <v>971</v>
      </c>
      <c r="E636" s="8" t="s">
        <v>570</v>
      </c>
      <c r="F636" s="8" t="s">
        <v>28</v>
      </c>
      <c r="G636" s="8" t="s">
        <v>1544</v>
      </c>
    </row>
    <row r="637" spans="1:7" ht="15" customHeight="1" x14ac:dyDescent="0.25">
      <c r="A637" s="7" t="s">
        <v>1103</v>
      </c>
      <c r="B637" s="7" t="s">
        <v>1104</v>
      </c>
      <c r="C637" s="8" t="s">
        <v>25</v>
      </c>
      <c r="D637" s="8" t="s">
        <v>149</v>
      </c>
      <c r="E637" s="8" t="s">
        <v>169</v>
      </c>
      <c r="F637" s="8" t="s">
        <v>34</v>
      </c>
      <c r="G637" s="8" t="s">
        <v>1105</v>
      </c>
    </row>
    <row r="638" spans="1:7" ht="15" customHeight="1" x14ac:dyDescent="0.25">
      <c r="A638" s="7" t="s">
        <v>1545</v>
      </c>
      <c r="B638" s="7" t="s">
        <v>1004</v>
      </c>
      <c r="C638" s="8" t="s">
        <v>250</v>
      </c>
      <c r="D638" s="8" t="s">
        <v>1096</v>
      </c>
      <c r="E638" s="8" t="s">
        <v>228</v>
      </c>
      <c r="F638" s="8" t="s">
        <v>59</v>
      </c>
      <c r="G638" s="8" t="s">
        <v>1546</v>
      </c>
    </row>
    <row r="639" spans="1:7" ht="15" customHeight="1" x14ac:dyDescent="0.25">
      <c r="A639" s="7" t="s">
        <v>1547</v>
      </c>
      <c r="B639" s="7" t="s">
        <v>1548</v>
      </c>
      <c r="C639" s="8" t="s">
        <v>1549</v>
      </c>
      <c r="D639" s="8" t="s">
        <v>1549</v>
      </c>
      <c r="E639" s="8" t="s">
        <v>166</v>
      </c>
      <c r="F639" s="8" t="s">
        <v>119</v>
      </c>
      <c r="G639" s="8" t="s">
        <v>1550</v>
      </c>
    </row>
    <row r="640" spans="1:7" ht="15" customHeight="1" x14ac:dyDescent="0.25">
      <c r="A640" s="7" t="s">
        <v>1551</v>
      </c>
      <c r="B640" s="7" t="s">
        <v>1552</v>
      </c>
      <c r="C640" s="8" t="s">
        <v>1553</v>
      </c>
      <c r="D640" s="8" t="s">
        <v>1538</v>
      </c>
      <c r="E640" s="8" t="s">
        <v>346</v>
      </c>
      <c r="F640" s="8" t="s">
        <v>28</v>
      </c>
      <c r="G640" s="8" t="s">
        <v>1554</v>
      </c>
    </row>
    <row r="641" spans="1:7" ht="15" customHeight="1" x14ac:dyDescent="0.25">
      <c r="A641" s="7" t="s">
        <v>1555</v>
      </c>
      <c r="B641" s="7" t="s">
        <v>1004</v>
      </c>
      <c r="C641" s="8" t="s">
        <v>1556</v>
      </c>
      <c r="D641" s="8" t="s">
        <v>682</v>
      </c>
      <c r="E641" s="8" t="s">
        <v>85</v>
      </c>
      <c r="F641" s="8" t="s">
        <v>59</v>
      </c>
      <c r="G641" s="8" t="s">
        <v>1557</v>
      </c>
    </row>
    <row r="642" spans="1:7" ht="15" customHeight="1" x14ac:dyDescent="0.25">
      <c r="A642" s="7" t="s">
        <v>1558</v>
      </c>
      <c r="B642" s="7" t="s">
        <v>1559</v>
      </c>
      <c r="C642" s="8" t="s">
        <v>25</v>
      </c>
      <c r="D642" s="8" t="s">
        <v>750</v>
      </c>
      <c r="E642" s="8" t="s">
        <v>94</v>
      </c>
      <c r="F642" s="8" t="s">
        <v>39</v>
      </c>
      <c r="G642" s="8" t="s">
        <v>1560</v>
      </c>
    </row>
    <row r="643" spans="1:7" ht="15" customHeight="1" x14ac:dyDescent="0.25">
      <c r="A643" s="7" t="s">
        <v>1106</v>
      </c>
      <c r="B643" s="7" t="s">
        <v>989</v>
      </c>
      <c r="C643" s="8" t="s">
        <v>1561</v>
      </c>
      <c r="D643" s="8" t="s">
        <v>314</v>
      </c>
      <c r="E643" s="8" t="s">
        <v>1274</v>
      </c>
      <c r="F643" s="8" t="s">
        <v>65</v>
      </c>
      <c r="G643" s="8" t="s">
        <v>1562</v>
      </c>
    </row>
    <row r="644" spans="1:7" ht="15" customHeight="1" x14ac:dyDescent="0.25">
      <c r="A644" s="7" t="s">
        <v>50</v>
      </c>
      <c r="B644" s="7" t="s">
        <v>24</v>
      </c>
      <c r="C644" s="8" t="s">
        <v>51</v>
      </c>
      <c r="D644" s="8" t="s">
        <v>52</v>
      </c>
      <c r="E644" s="8" t="s">
        <v>53</v>
      </c>
      <c r="F644" s="8" t="s">
        <v>39</v>
      </c>
      <c r="G644" s="8" t="s">
        <v>1116</v>
      </c>
    </row>
    <row r="645" spans="1:7" ht="15" customHeight="1" x14ac:dyDescent="0.25">
      <c r="A645" s="7" t="s">
        <v>1563</v>
      </c>
      <c r="B645" s="7" t="s">
        <v>1564</v>
      </c>
      <c r="C645" s="8" t="s">
        <v>1565</v>
      </c>
      <c r="D645" s="8" t="s">
        <v>1566</v>
      </c>
      <c r="E645" s="8" t="s">
        <v>1179</v>
      </c>
      <c r="F645" s="8" t="s">
        <v>34</v>
      </c>
      <c r="G645" s="8" t="s">
        <v>1567</v>
      </c>
    </row>
    <row r="646" spans="1:7" ht="15" customHeight="1" x14ac:dyDescent="0.25">
      <c r="A646" s="7" t="s">
        <v>1125</v>
      </c>
      <c r="B646" s="7" t="s">
        <v>1126</v>
      </c>
      <c r="C646" s="8" t="s">
        <v>172</v>
      </c>
      <c r="D646" s="8" t="s">
        <v>69</v>
      </c>
      <c r="E646" s="8" t="s">
        <v>38</v>
      </c>
      <c r="F646" s="8" t="s">
        <v>34</v>
      </c>
      <c r="G646" s="8" t="s">
        <v>1127</v>
      </c>
    </row>
    <row r="647" spans="1:7" ht="15" customHeight="1" x14ac:dyDescent="0.25">
      <c r="A647" s="7" t="s">
        <v>1568</v>
      </c>
      <c r="B647" s="7" t="s">
        <v>1569</v>
      </c>
      <c r="C647" s="8" t="s">
        <v>1570</v>
      </c>
      <c r="D647" s="8" t="s">
        <v>63</v>
      </c>
      <c r="E647" s="8" t="s">
        <v>752</v>
      </c>
      <c r="F647" s="8" t="s">
        <v>417</v>
      </c>
      <c r="G647" s="8" t="s">
        <v>1571</v>
      </c>
    </row>
    <row r="648" spans="1:7" ht="15" customHeight="1" x14ac:dyDescent="0.25">
      <c r="A648" s="7" t="s">
        <v>1572</v>
      </c>
      <c r="B648" s="7" t="s">
        <v>1445</v>
      </c>
      <c r="C648" s="8" t="s">
        <v>1573</v>
      </c>
      <c r="D648" s="8" t="s">
        <v>1574</v>
      </c>
      <c r="E648" s="8" t="s">
        <v>27</v>
      </c>
      <c r="F648" s="8" t="s">
        <v>65</v>
      </c>
      <c r="G648" s="8" t="s">
        <v>1575</v>
      </c>
    </row>
    <row r="649" spans="1:7" ht="15" customHeight="1" x14ac:dyDescent="0.25">
      <c r="A649" s="7" t="s">
        <v>1576</v>
      </c>
      <c r="B649" s="7" t="s">
        <v>1004</v>
      </c>
      <c r="C649" s="8" t="s">
        <v>220</v>
      </c>
      <c r="D649" s="8" t="s">
        <v>702</v>
      </c>
      <c r="E649" s="8" t="s">
        <v>598</v>
      </c>
      <c r="F649" s="8" t="s">
        <v>363</v>
      </c>
      <c r="G649" s="8" t="s">
        <v>1577</v>
      </c>
    </row>
    <row r="650" spans="1:7" ht="15" customHeight="1" x14ac:dyDescent="0.25">
      <c r="A650" s="7" t="s">
        <v>1578</v>
      </c>
      <c r="B650" s="7" t="s">
        <v>1449</v>
      </c>
      <c r="C650" s="8" t="s">
        <v>990</v>
      </c>
      <c r="D650" s="8" t="s">
        <v>327</v>
      </c>
      <c r="E650" s="8" t="s">
        <v>254</v>
      </c>
      <c r="F650" s="8" t="s">
        <v>86</v>
      </c>
      <c r="G650" s="8" t="s">
        <v>1579</v>
      </c>
    </row>
    <row r="651" spans="1:7" ht="15" customHeight="1" x14ac:dyDescent="0.25">
      <c r="A651" s="7" t="s">
        <v>1580</v>
      </c>
      <c r="B651" s="7" t="s">
        <v>1004</v>
      </c>
      <c r="C651" s="8" t="s">
        <v>250</v>
      </c>
      <c r="D651" s="8" t="s">
        <v>817</v>
      </c>
      <c r="E651" s="8" t="s">
        <v>547</v>
      </c>
      <c r="F651" s="8" t="s">
        <v>123</v>
      </c>
      <c r="G651" s="8" t="s">
        <v>1581</v>
      </c>
    </row>
    <row r="652" spans="1:7" ht="15" customHeight="1" x14ac:dyDescent="0.25">
      <c r="A652" s="7" t="s">
        <v>1582</v>
      </c>
      <c r="B652" s="7" t="s">
        <v>1500</v>
      </c>
      <c r="C652" s="8" t="s">
        <v>51</v>
      </c>
      <c r="D652" s="8" t="s">
        <v>1583</v>
      </c>
      <c r="E652" s="8" t="s">
        <v>360</v>
      </c>
      <c r="F652" s="8" t="s">
        <v>86</v>
      </c>
      <c r="G652" s="8" t="s">
        <v>1584</v>
      </c>
    </row>
    <row r="653" spans="1:7" ht="15" customHeight="1" x14ac:dyDescent="0.25">
      <c r="A653" s="7" t="s">
        <v>1585</v>
      </c>
      <c r="B653" s="7" t="s">
        <v>1586</v>
      </c>
      <c r="C653" s="8" t="s">
        <v>25</v>
      </c>
      <c r="D653" s="8" t="s">
        <v>614</v>
      </c>
      <c r="E653" s="8" t="s">
        <v>247</v>
      </c>
      <c r="F653" s="8" t="s">
        <v>86</v>
      </c>
      <c r="G653" s="8" t="s">
        <v>1587</v>
      </c>
    </row>
    <row r="654" spans="1:7" ht="15" customHeight="1" x14ac:dyDescent="0.25">
      <c r="A654" s="7" t="s">
        <v>1588</v>
      </c>
      <c r="B654" s="7" t="s">
        <v>1589</v>
      </c>
      <c r="C654" s="8" t="s">
        <v>1590</v>
      </c>
      <c r="D654" s="8" t="s">
        <v>623</v>
      </c>
      <c r="E654" s="8" t="s">
        <v>581</v>
      </c>
      <c r="F654" s="8" t="s">
        <v>86</v>
      </c>
      <c r="G654" s="8" t="s">
        <v>1591</v>
      </c>
    </row>
    <row r="655" spans="1:7" ht="15" customHeight="1" x14ac:dyDescent="0.25">
      <c r="A655" s="7" t="s">
        <v>1592</v>
      </c>
      <c r="B655" s="7" t="s">
        <v>1593</v>
      </c>
      <c r="C655" s="8" t="s">
        <v>617</v>
      </c>
      <c r="D655" s="8" t="s">
        <v>69</v>
      </c>
      <c r="E655" s="8" t="s">
        <v>752</v>
      </c>
      <c r="F655" s="8" t="s">
        <v>28</v>
      </c>
      <c r="G655" s="8" t="s">
        <v>612</v>
      </c>
    </row>
    <row r="656" spans="1:7" ht="15" customHeight="1" x14ac:dyDescent="0.25">
      <c r="A656" s="7" t="s">
        <v>1594</v>
      </c>
      <c r="B656" s="7" t="s">
        <v>1595</v>
      </c>
      <c r="C656" s="8" t="s">
        <v>31</v>
      </c>
      <c r="D656" s="8" t="s">
        <v>165</v>
      </c>
      <c r="E656" s="8" t="s">
        <v>200</v>
      </c>
      <c r="F656" s="8" t="s">
        <v>119</v>
      </c>
      <c r="G656" s="8" t="s">
        <v>1596</v>
      </c>
    </row>
    <row r="657" spans="1:7" ht="15" customHeight="1" x14ac:dyDescent="0.25">
      <c r="A657" s="7" t="s">
        <v>1597</v>
      </c>
      <c r="B657" s="7" t="s">
        <v>1004</v>
      </c>
      <c r="C657" s="8" t="s">
        <v>69</v>
      </c>
      <c r="D657" s="8" t="s">
        <v>1259</v>
      </c>
      <c r="E657" s="8" t="s">
        <v>257</v>
      </c>
      <c r="F657" s="8" t="s">
        <v>363</v>
      </c>
      <c r="G657" s="8" t="s">
        <v>1598</v>
      </c>
    </row>
    <row r="658" spans="1:7" ht="15" customHeight="1" x14ac:dyDescent="0.25">
      <c r="A658" s="7" t="s">
        <v>1599</v>
      </c>
      <c r="B658" s="7" t="s">
        <v>1004</v>
      </c>
      <c r="C658" s="8" t="s">
        <v>90</v>
      </c>
      <c r="D658" s="8" t="s">
        <v>1259</v>
      </c>
      <c r="E658" s="8" t="s">
        <v>169</v>
      </c>
      <c r="F658" s="8" t="s">
        <v>363</v>
      </c>
      <c r="G658" s="8" t="s">
        <v>1600</v>
      </c>
    </row>
    <row r="659" spans="1:7" ht="15" customHeight="1" x14ac:dyDescent="0.25">
      <c r="A659" s="7" t="s">
        <v>1144</v>
      </c>
      <c r="B659" s="7" t="s">
        <v>974</v>
      </c>
      <c r="C659" s="8" t="s">
        <v>117</v>
      </c>
      <c r="D659" s="8" t="s">
        <v>556</v>
      </c>
      <c r="E659" s="8" t="s">
        <v>182</v>
      </c>
      <c r="F659" s="8" t="s">
        <v>59</v>
      </c>
      <c r="G659" s="8" t="s">
        <v>1145</v>
      </c>
    </row>
    <row r="660" spans="1:7" ht="15" customHeight="1" x14ac:dyDescent="0.25">
      <c r="A660" s="7" t="s">
        <v>55</v>
      </c>
      <c r="B660" s="7" t="s">
        <v>24</v>
      </c>
      <c r="C660" s="8" t="s">
        <v>56</v>
      </c>
      <c r="D660" s="8" t="s">
        <v>57</v>
      </c>
      <c r="E660" s="8" t="s">
        <v>58</v>
      </c>
      <c r="F660" s="8" t="s">
        <v>59</v>
      </c>
      <c r="G660" s="8" t="s">
        <v>1146</v>
      </c>
    </row>
    <row r="661" spans="1:7" ht="15" customHeight="1" x14ac:dyDescent="0.25">
      <c r="A661" s="7" t="s">
        <v>1601</v>
      </c>
      <c r="B661" s="7" t="s">
        <v>1548</v>
      </c>
      <c r="C661" s="8" t="s">
        <v>1602</v>
      </c>
      <c r="D661" s="8" t="s">
        <v>1603</v>
      </c>
      <c r="E661" s="8" t="s">
        <v>1315</v>
      </c>
      <c r="F661" s="8" t="s">
        <v>86</v>
      </c>
      <c r="G661" s="8" t="s">
        <v>1604</v>
      </c>
    </row>
    <row r="662" spans="1:7" ht="15" customHeight="1" x14ac:dyDescent="0.25">
      <c r="A662" s="7" t="s">
        <v>1605</v>
      </c>
      <c r="B662" s="7" t="s">
        <v>1606</v>
      </c>
      <c r="C662" s="8" t="s">
        <v>79</v>
      </c>
      <c r="D662" s="8" t="s">
        <v>149</v>
      </c>
      <c r="E662" s="8" t="s">
        <v>94</v>
      </c>
      <c r="F662" s="8" t="s">
        <v>363</v>
      </c>
      <c r="G662" s="8" t="s">
        <v>1607</v>
      </c>
    </row>
    <row r="663" spans="1:7" ht="15" customHeight="1" x14ac:dyDescent="0.25">
      <c r="A663" s="7" t="s">
        <v>1608</v>
      </c>
      <c r="B663" s="7" t="s">
        <v>1449</v>
      </c>
      <c r="C663" s="8" t="s">
        <v>1609</v>
      </c>
      <c r="D663" s="8" t="s">
        <v>220</v>
      </c>
      <c r="E663" s="8" t="s">
        <v>33</v>
      </c>
      <c r="F663" s="8" t="s">
        <v>28</v>
      </c>
      <c r="G663" s="8" t="s">
        <v>1610</v>
      </c>
    </row>
    <row r="664" spans="1:7" ht="15" customHeight="1" x14ac:dyDescent="0.25">
      <c r="A664" s="7" t="s">
        <v>1611</v>
      </c>
      <c r="B664" s="7" t="s">
        <v>1612</v>
      </c>
      <c r="C664" s="8" t="s">
        <v>220</v>
      </c>
      <c r="D664" s="8" t="s">
        <v>1613</v>
      </c>
      <c r="E664" s="8" t="s">
        <v>346</v>
      </c>
      <c r="F664" s="8" t="s">
        <v>59</v>
      </c>
      <c r="G664" s="8" t="s">
        <v>1614</v>
      </c>
    </row>
    <row r="665" spans="1:7" ht="15" customHeight="1" x14ac:dyDescent="0.25">
      <c r="A665" s="7" t="s">
        <v>1615</v>
      </c>
      <c r="B665" s="7" t="s">
        <v>1616</v>
      </c>
      <c r="C665" s="8" t="s">
        <v>556</v>
      </c>
      <c r="D665" s="8" t="s">
        <v>702</v>
      </c>
      <c r="E665" s="8" t="s">
        <v>70</v>
      </c>
      <c r="F665" s="8" t="s">
        <v>86</v>
      </c>
      <c r="G665" s="8" t="s">
        <v>1617</v>
      </c>
    </row>
    <row r="666" spans="1:7" ht="15" customHeight="1" x14ac:dyDescent="0.25">
      <c r="A666" s="7" t="s">
        <v>1618</v>
      </c>
      <c r="B666" s="7" t="s">
        <v>1619</v>
      </c>
      <c r="C666" s="8" t="s">
        <v>117</v>
      </c>
      <c r="D666" s="8" t="s">
        <v>702</v>
      </c>
      <c r="E666" s="8" t="s">
        <v>27</v>
      </c>
      <c r="F666" s="8" t="s">
        <v>59</v>
      </c>
      <c r="G666" s="8" t="s">
        <v>1620</v>
      </c>
    </row>
    <row r="667" spans="1:7" ht="15" customHeight="1" x14ac:dyDescent="0.25">
      <c r="A667" s="7" t="s">
        <v>1621</v>
      </c>
      <c r="B667" s="7" t="s">
        <v>1004</v>
      </c>
      <c r="C667" s="8" t="s">
        <v>1622</v>
      </c>
      <c r="D667" s="8" t="s">
        <v>165</v>
      </c>
      <c r="E667" s="8" t="s">
        <v>182</v>
      </c>
      <c r="F667" s="8" t="s">
        <v>59</v>
      </c>
      <c r="G667" s="8" t="s">
        <v>1623</v>
      </c>
    </row>
    <row r="668" spans="1:7" ht="15" customHeight="1" x14ac:dyDescent="0.25">
      <c r="A668" s="7" t="s">
        <v>1624</v>
      </c>
      <c r="B668" s="7" t="s">
        <v>1453</v>
      </c>
      <c r="C668" s="8" t="s">
        <v>1625</v>
      </c>
      <c r="D668" s="8" t="s">
        <v>57</v>
      </c>
      <c r="E668" s="8" t="s">
        <v>169</v>
      </c>
      <c r="F668" s="8" t="s">
        <v>417</v>
      </c>
      <c r="G668" s="8" t="s">
        <v>1626</v>
      </c>
    </row>
    <row r="669" spans="1:7" ht="15" customHeight="1" x14ac:dyDescent="0.25">
      <c r="A669" s="7" t="s">
        <v>1627</v>
      </c>
      <c r="B669" s="7" t="s">
        <v>1490</v>
      </c>
      <c r="C669" s="8" t="s">
        <v>42</v>
      </c>
      <c r="D669" s="8" t="s">
        <v>25</v>
      </c>
      <c r="E669" s="8" t="s">
        <v>1073</v>
      </c>
      <c r="F669" s="8" t="s">
        <v>214</v>
      </c>
      <c r="G669" s="8" t="s">
        <v>1628</v>
      </c>
    </row>
    <row r="670" spans="1:7" ht="15" customHeight="1" x14ac:dyDescent="0.25">
      <c r="A670" s="7" t="s">
        <v>61</v>
      </c>
      <c r="B670" s="7" t="s">
        <v>24</v>
      </c>
      <c r="C670" s="8" t="s">
        <v>62</v>
      </c>
      <c r="D670" s="8" t="s">
        <v>63</v>
      </c>
      <c r="E670" s="8" t="s">
        <v>64</v>
      </c>
      <c r="F670" s="8" t="s">
        <v>65</v>
      </c>
      <c r="G670" s="8" t="s">
        <v>66</v>
      </c>
    </row>
    <row r="671" spans="1:7" ht="15" customHeight="1" x14ac:dyDescent="0.25">
      <c r="A671" s="7" t="s">
        <v>1629</v>
      </c>
      <c r="B671" s="7" t="s">
        <v>1449</v>
      </c>
      <c r="C671" s="8" t="s">
        <v>265</v>
      </c>
      <c r="D671" s="8" t="s">
        <v>63</v>
      </c>
      <c r="E671" s="8" t="s">
        <v>239</v>
      </c>
      <c r="F671" s="8" t="s">
        <v>363</v>
      </c>
      <c r="G671" s="8" t="s">
        <v>1630</v>
      </c>
    </row>
    <row r="672" spans="1:7" ht="15" customHeight="1" x14ac:dyDescent="0.25">
      <c r="A672" s="7" t="s">
        <v>1631</v>
      </c>
      <c r="B672" s="7" t="s">
        <v>1341</v>
      </c>
      <c r="C672" s="8" t="s">
        <v>220</v>
      </c>
      <c r="D672" s="8" t="s">
        <v>556</v>
      </c>
      <c r="E672" s="8" t="s">
        <v>372</v>
      </c>
      <c r="F672" s="8" t="s">
        <v>34</v>
      </c>
      <c r="G672" s="8" t="s">
        <v>1632</v>
      </c>
    </row>
    <row r="673" spans="1:7" ht="15" customHeight="1" x14ac:dyDescent="0.25">
      <c r="A673" s="7" t="s">
        <v>1633</v>
      </c>
      <c r="B673" s="7" t="s">
        <v>1634</v>
      </c>
      <c r="C673" s="8" t="s">
        <v>1635</v>
      </c>
      <c r="D673" s="8" t="s">
        <v>693</v>
      </c>
      <c r="E673" s="8" t="s">
        <v>239</v>
      </c>
      <c r="F673" s="8" t="s">
        <v>39</v>
      </c>
      <c r="G673" s="8" t="s">
        <v>1636</v>
      </c>
    </row>
    <row r="674" spans="1:7" ht="15" customHeight="1" x14ac:dyDescent="0.25">
      <c r="A674" s="7" t="s">
        <v>1153</v>
      </c>
      <c r="B674" s="7" t="s">
        <v>1154</v>
      </c>
      <c r="C674" s="8" t="s">
        <v>828</v>
      </c>
      <c r="D674" s="8" t="s">
        <v>63</v>
      </c>
      <c r="E674" s="8" t="s">
        <v>94</v>
      </c>
      <c r="F674" s="8" t="s">
        <v>59</v>
      </c>
      <c r="G674" s="8" t="s">
        <v>1155</v>
      </c>
    </row>
    <row r="675" spans="1:7" ht="15" customHeight="1" x14ac:dyDescent="0.25">
      <c r="A675" s="7" t="s">
        <v>74</v>
      </c>
      <c r="B675" s="7" t="s">
        <v>24</v>
      </c>
      <c r="C675" s="8" t="s">
        <v>47</v>
      </c>
      <c r="D675" s="8" t="s">
        <v>75</v>
      </c>
      <c r="E675" s="8" t="s">
        <v>76</v>
      </c>
      <c r="F675" s="8" t="s">
        <v>65</v>
      </c>
      <c r="G675" s="8" t="s">
        <v>77</v>
      </c>
    </row>
    <row r="676" spans="1:7" ht="15" customHeight="1" x14ac:dyDescent="0.25">
      <c r="A676" s="7" t="s">
        <v>1637</v>
      </c>
      <c r="B676" s="7" t="s">
        <v>1638</v>
      </c>
      <c r="C676" s="8" t="s">
        <v>623</v>
      </c>
      <c r="D676" s="8" t="s">
        <v>1639</v>
      </c>
      <c r="E676" s="8" t="s">
        <v>1134</v>
      </c>
      <c r="F676" s="8" t="s">
        <v>86</v>
      </c>
      <c r="G676" s="8" t="s">
        <v>1640</v>
      </c>
    </row>
    <row r="677" spans="1:7" ht="15" customHeight="1" x14ac:dyDescent="0.25">
      <c r="A677" s="7" t="s">
        <v>1641</v>
      </c>
      <c r="B677" s="7" t="s">
        <v>1461</v>
      </c>
      <c r="C677" s="8" t="s">
        <v>1642</v>
      </c>
      <c r="D677" s="8" t="s">
        <v>250</v>
      </c>
      <c r="E677" s="8" t="s">
        <v>254</v>
      </c>
      <c r="F677" s="8" t="s">
        <v>65</v>
      </c>
      <c r="G677" s="8" t="s">
        <v>1643</v>
      </c>
    </row>
    <row r="678" spans="1:7" ht="15" customHeight="1" x14ac:dyDescent="0.25">
      <c r="A678" s="7" t="s">
        <v>1644</v>
      </c>
      <c r="B678" s="7" t="s">
        <v>1445</v>
      </c>
      <c r="C678" s="8" t="s">
        <v>1645</v>
      </c>
      <c r="D678" s="8" t="s">
        <v>1646</v>
      </c>
      <c r="E678" s="8" t="s">
        <v>94</v>
      </c>
      <c r="F678" s="8" t="s">
        <v>65</v>
      </c>
      <c r="G678" s="8" t="s">
        <v>1647</v>
      </c>
    </row>
    <row r="679" spans="1:7" ht="15" customHeight="1" x14ac:dyDescent="0.25">
      <c r="A679" s="7" t="s">
        <v>1148</v>
      </c>
      <c r="B679" s="7" t="s">
        <v>964</v>
      </c>
      <c r="C679" s="8" t="s">
        <v>285</v>
      </c>
      <c r="D679" s="8" t="s">
        <v>971</v>
      </c>
      <c r="E679" s="8" t="s">
        <v>228</v>
      </c>
      <c r="F679" s="8" t="s">
        <v>59</v>
      </c>
      <c r="G679" s="8" t="s">
        <v>1648</v>
      </c>
    </row>
    <row r="680" spans="1:7" ht="15" customHeight="1" x14ac:dyDescent="0.25">
      <c r="A680" s="7" t="s">
        <v>1649</v>
      </c>
      <c r="B680" s="7" t="s">
        <v>1593</v>
      </c>
      <c r="C680" s="8" t="s">
        <v>1650</v>
      </c>
      <c r="D680" s="8" t="s">
        <v>63</v>
      </c>
      <c r="E680" s="8" t="s">
        <v>33</v>
      </c>
      <c r="F680" s="8" t="s">
        <v>86</v>
      </c>
      <c r="G680" s="8" t="s">
        <v>1651</v>
      </c>
    </row>
    <row r="681" spans="1:7" ht="15" customHeight="1" x14ac:dyDescent="0.25">
      <c r="A681" s="7" t="s">
        <v>1652</v>
      </c>
      <c r="B681" s="7" t="s">
        <v>1564</v>
      </c>
      <c r="C681" s="8" t="s">
        <v>209</v>
      </c>
      <c r="D681" s="8" t="s">
        <v>1653</v>
      </c>
      <c r="E681" s="8" t="s">
        <v>797</v>
      </c>
      <c r="F681" s="8" t="s">
        <v>86</v>
      </c>
      <c r="G681" s="8" t="s">
        <v>1654</v>
      </c>
    </row>
    <row r="682" spans="1:7" ht="15" customHeight="1" x14ac:dyDescent="0.25">
      <c r="A682" s="7" t="s">
        <v>1655</v>
      </c>
      <c r="B682" s="7" t="s">
        <v>1341</v>
      </c>
      <c r="C682" s="8" t="s">
        <v>165</v>
      </c>
      <c r="D682" s="8" t="s">
        <v>243</v>
      </c>
      <c r="E682" s="8" t="s">
        <v>352</v>
      </c>
      <c r="F682" s="8" t="s">
        <v>363</v>
      </c>
      <c r="G682" s="8" t="s">
        <v>1656</v>
      </c>
    </row>
    <row r="683" spans="1:7" ht="15" customHeight="1" x14ac:dyDescent="0.25">
      <c r="A683" s="7" t="s">
        <v>1657</v>
      </c>
      <c r="B683" s="7" t="s">
        <v>1490</v>
      </c>
      <c r="C683" s="8" t="s">
        <v>63</v>
      </c>
      <c r="D683" s="8" t="s">
        <v>165</v>
      </c>
      <c r="E683" s="8" t="s">
        <v>70</v>
      </c>
      <c r="F683" s="8" t="s">
        <v>363</v>
      </c>
      <c r="G683" s="8" t="s">
        <v>1658</v>
      </c>
    </row>
    <row r="684" spans="1:7" ht="15" customHeight="1" x14ac:dyDescent="0.25">
      <c r="A684" s="7" t="s">
        <v>1659</v>
      </c>
      <c r="B684" s="7" t="s">
        <v>1461</v>
      </c>
      <c r="C684" s="8" t="s">
        <v>388</v>
      </c>
      <c r="D684" s="8" t="s">
        <v>69</v>
      </c>
      <c r="E684" s="8" t="s">
        <v>76</v>
      </c>
      <c r="F684" s="8" t="s">
        <v>34</v>
      </c>
      <c r="G684" s="8" t="s">
        <v>1660</v>
      </c>
    </row>
    <row r="685" spans="1:7" ht="15" customHeight="1" x14ac:dyDescent="0.25">
      <c r="A685" s="7" t="s">
        <v>1661</v>
      </c>
      <c r="B685" s="7" t="s">
        <v>1449</v>
      </c>
      <c r="C685" s="8" t="s">
        <v>79</v>
      </c>
      <c r="D685" s="8" t="s">
        <v>1549</v>
      </c>
      <c r="E685" s="8" t="s">
        <v>107</v>
      </c>
      <c r="F685" s="8" t="s">
        <v>86</v>
      </c>
      <c r="G685" s="8" t="s">
        <v>1662</v>
      </c>
    </row>
    <row r="686" spans="1:7" ht="15" customHeight="1" x14ac:dyDescent="0.25">
      <c r="A686" s="7" t="s">
        <v>81</v>
      </c>
      <c r="B686" s="7" t="s">
        <v>82</v>
      </c>
      <c r="C686" s="8" t="s">
        <v>83</v>
      </c>
      <c r="D686" s="8" t="s">
        <v>84</v>
      </c>
      <c r="E686" s="8" t="s">
        <v>85</v>
      </c>
      <c r="F686" s="8" t="s">
        <v>86</v>
      </c>
      <c r="G686" s="8" t="s">
        <v>1663</v>
      </c>
    </row>
    <row r="687" spans="1:7" ht="15" customHeight="1" x14ac:dyDescent="0.25">
      <c r="A687" s="7" t="s">
        <v>1664</v>
      </c>
      <c r="B687" s="7" t="s">
        <v>1665</v>
      </c>
      <c r="C687" s="8" t="s">
        <v>1666</v>
      </c>
      <c r="D687" s="8" t="s">
        <v>1667</v>
      </c>
      <c r="E687" s="8" t="s">
        <v>1668</v>
      </c>
      <c r="F687" s="8" t="s">
        <v>119</v>
      </c>
      <c r="G687" s="8" t="s">
        <v>1669</v>
      </c>
    </row>
    <row r="688" spans="1:7" ht="15" customHeight="1" x14ac:dyDescent="0.25">
      <c r="A688" s="7" t="s">
        <v>1166</v>
      </c>
      <c r="B688" s="7" t="s">
        <v>989</v>
      </c>
      <c r="C688" s="8" t="s">
        <v>1043</v>
      </c>
      <c r="D688" s="8" t="s">
        <v>533</v>
      </c>
      <c r="E688" s="8" t="s">
        <v>251</v>
      </c>
      <c r="F688" s="8" t="s">
        <v>34</v>
      </c>
      <c r="G688" s="8" t="s">
        <v>1167</v>
      </c>
    </row>
    <row r="689" spans="1:7" ht="15" customHeight="1" x14ac:dyDescent="0.25">
      <c r="A689" s="7" t="s">
        <v>1670</v>
      </c>
      <c r="B689" s="7" t="s">
        <v>1449</v>
      </c>
      <c r="C689" s="8" t="s">
        <v>165</v>
      </c>
      <c r="D689" s="8" t="s">
        <v>90</v>
      </c>
      <c r="E689" s="8" t="s">
        <v>73</v>
      </c>
      <c r="F689" s="8" t="s">
        <v>34</v>
      </c>
      <c r="G689" s="8" t="s">
        <v>1671</v>
      </c>
    </row>
    <row r="690" spans="1:7" ht="15" customHeight="1" x14ac:dyDescent="0.25">
      <c r="A690" s="7" t="s">
        <v>1672</v>
      </c>
      <c r="B690" s="7" t="s">
        <v>1673</v>
      </c>
      <c r="C690" s="8" t="s">
        <v>1674</v>
      </c>
      <c r="D690" s="8" t="s">
        <v>165</v>
      </c>
      <c r="E690" s="8" t="s">
        <v>424</v>
      </c>
      <c r="F690" s="8" t="s">
        <v>65</v>
      </c>
      <c r="G690" s="8" t="s">
        <v>1675</v>
      </c>
    </row>
    <row r="691" spans="1:7" ht="15" customHeight="1" x14ac:dyDescent="0.25">
      <c r="A691" s="7" t="s">
        <v>88</v>
      </c>
      <c r="B691" s="7" t="s">
        <v>24</v>
      </c>
      <c r="C691" s="8" t="s">
        <v>89</v>
      </c>
      <c r="D691" s="8" t="s">
        <v>90</v>
      </c>
      <c r="E691" s="8" t="s">
        <v>48</v>
      </c>
      <c r="F691" s="8" t="s">
        <v>28</v>
      </c>
      <c r="G691" s="8" t="s">
        <v>91</v>
      </c>
    </row>
    <row r="692" spans="1:7" ht="15" customHeight="1" x14ac:dyDescent="0.25">
      <c r="A692" s="7" t="s">
        <v>1676</v>
      </c>
      <c r="B692" s="7" t="s">
        <v>1004</v>
      </c>
      <c r="C692" s="8" t="s">
        <v>1677</v>
      </c>
      <c r="D692" s="8" t="s">
        <v>1342</v>
      </c>
      <c r="E692" s="8" t="s">
        <v>281</v>
      </c>
      <c r="F692" s="8" t="s">
        <v>363</v>
      </c>
      <c r="G692" s="8" t="s">
        <v>1678</v>
      </c>
    </row>
    <row r="693" spans="1:7" ht="15" customHeight="1" x14ac:dyDescent="0.25">
      <c r="A693" s="7" t="s">
        <v>1679</v>
      </c>
      <c r="B693" s="7" t="s">
        <v>1680</v>
      </c>
      <c r="C693" s="8" t="s">
        <v>165</v>
      </c>
      <c r="D693" s="8" t="s">
        <v>90</v>
      </c>
      <c r="E693" s="8" t="s">
        <v>73</v>
      </c>
      <c r="F693" s="8" t="s">
        <v>65</v>
      </c>
      <c r="G693" s="8" t="s">
        <v>1681</v>
      </c>
    </row>
    <row r="694" spans="1:7" ht="15" customHeight="1" x14ac:dyDescent="0.25">
      <c r="A694" s="7" t="s">
        <v>92</v>
      </c>
      <c r="B694" s="7" t="s">
        <v>24</v>
      </c>
      <c r="C694" s="8" t="s">
        <v>93</v>
      </c>
      <c r="D694" s="8" t="s">
        <v>25</v>
      </c>
      <c r="E694" s="8" t="s">
        <v>94</v>
      </c>
      <c r="F694" s="8" t="s">
        <v>59</v>
      </c>
      <c r="G694" s="8" t="s">
        <v>95</v>
      </c>
    </row>
    <row r="695" spans="1:7" ht="15" customHeight="1" x14ac:dyDescent="0.25">
      <c r="A695" s="7" t="s">
        <v>1682</v>
      </c>
      <c r="B695" s="7" t="s">
        <v>1445</v>
      </c>
      <c r="C695" s="8" t="s">
        <v>327</v>
      </c>
      <c r="D695" s="8" t="s">
        <v>1683</v>
      </c>
      <c r="E695" s="8" t="s">
        <v>352</v>
      </c>
      <c r="F695" s="8" t="s">
        <v>65</v>
      </c>
      <c r="G695" s="8" t="s">
        <v>1684</v>
      </c>
    </row>
    <row r="696" spans="1:7" ht="15" customHeight="1" x14ac:dyDescent="0.25">
      <c r="A696" s="7" t="s">
        <v>1192</v>
      </c>
      <c r="B696" s="7" t="s">
        <v>964</v>
      </c>
      <c r="C696" s="8" t="s">
        <v>195</v>
      </c>
      <c r="D696" s="8" t="s">
        <v>702</v>
      </c>
      <c r="E696" s="8" t="s">
        <v>342</v>
      </c>
      <c r="F696" s="8" t="s">
        <v>34</v>
      </c>
      <c r="G696" s="8" t="s">
        <v>1685</v>
      </c>
    </row>
    <row r="697" spans="1:7" ht="15" customHeight="1" x14ac:dyDescent="0.25">
      <c r="A697" s="7" t="s">
        <v>1686</v>
      </c>
      <c r="B697" s="7" t="s">
        <v>1687</v>
      </c>
      <c r="C697" s="8" t="s">
        <v>1688</v>
      </c>
      <c r="D697" s="8" t="s">
        <v>702</v>
      </c>
      <c r="E697" s="8" t="s">
        <v>1689</v>
      </c>
      <c r="F697" s="8" t="s">
        <v>65</v>
      </c>
      <c r="G697" s="8" t="s">
        <v>1690</v>
      </c>
    </row>
    <row r="698" spans="1:7" ht="15" customHeight="1" x14ac:dyDescent="0.25">
      <c r="A698" s="7" t="s">
        <v>1691</v>
      </c>
      <c r="B698" s="7" t="s">
        <v>1564</v>
      </c>
      <c r="C698" s="8" t="s">
        <v>1692</v>
      </c>
      <c r="D698" s="8" t="s">
        <v>1693</v>
      </c>
      <c r="E698" s="8" t="s">
        <v>1279</v>
      </c>
      <c r="F698" s="8" t="s">
        <v>28</v>
      </c>
      <c r="G698" s="8" t="s">
        <v>1694</v>
      </c>
    </row>
    <row r="699" spans="1:7" ht="15" customHeight="1" x14ac:dyDescent="0.25">
      <c r="A699" s="7" t="s">
        <v>1695</v>
      </c>
      <c r="B699" s="7" t="s">
        <v>1341</v>
      </c>
      <c r="C699" s="8" t="s">
        <v>1696</v>
      </c>
      <c r="D699" s="8" t="s">
        <v>735</v>
      </c>
      <c r="E699" s="8" t="s">
        <v>1179</v>
      </c>
      <c r="F699" s="8" t="s">
        <v>34</v>
      </c>
      <c r="G699" s="8" t="s">
        <v>1697</v>
      </c>
    </row>
    <row r="700" spans="1:7" ht="15" customHeight="1" x14ac:dyDescent="0.25">
      <c r="A700" s="7" t="s">
        <v>1698</v>
      </c>
      <c r="B700" s="7" t="s">
        <v>1699</v>
      </c>
      <c r="C700" s="8" t="s">
        <v>1700</v>
      </c>
      <c r="D700" s="8" t="s">
        <v>1701</v>
      </c>
      <c r="E700" s="8" t="s">
        <v>107</v>
      </c>
      <c r="F700" s="8" t="s">
        <v>86</v>
      </c>
      <c r="G700" s="8" t="s">
        <v>1702</v>
      </c>
    </row>
    <row r="701" spans="1:7" ht="15" customHeight="1" x14ac:dyDescent="0.25">
      <c r="A701" s="7" t="s">
        <v>96</v>
      </c>
      <c r="B701" s="7" t="s">
        <v>24</v>
      </c>
      <c r="C701" s="8" t="s">
        <v>32</v>
      </c>
      <c r="D701" s="8" t="s">
        <v>25</v>
      </c>
      <c r="E701" s="8" t="s">
        <v>97</v>
      </c>
      <c r="F701" s="8" t="s">
        <v>86</v>
      </c>
      <c r="G701" s="8" t="s">
        <v>98</v>
      </c>
    </row>
    <row r="702" spans="1:7" ht="15" customHeight="1" x14ac:dyDescent="0.25">
      <c r="A702" s="7" t="s">
        <v>115</v>
      </c>
      <c r="B702" s="7" t="s">
        <v>24</v>
      </c>
      <c r="C702" s="8" t="s">
        <v>116</v>
      </c>
      <c r="D702" s="8" t="s">
        <v>117</v>
      </c>
      <c r="E702" s="8" t="s">
        <v>118</v>
      </c>
      <c r="F702" s="8" t="s">
        <v>119</v>
      </c>
      <c r="G702" s="8" t="s">
        <v>120</v>
      </c>
    </row>
    <row r="703" spans="1:7" ht="15" customHeight="1" x14ac:dyDescent="0.25">
      <c r="A703" s="7" t="s">
        <v>1703</v>
      </c>
      <c r="B703" s="7" t="s">
        <v>1552</v>
      </c>
      <c r="C703" s="8" t="s">
        <v>1704</v>
      </c>
      <c r="D703" s="8" t="s">
        <v>556</v>
      </c>
      <c r="E703" s="8" t="s">
        <v>127</v>
      </c>
      <c r="F703" s="8" t="s">
        <v>28</v>
      </c>
      <c r="G703" s="8" t="s">
        <v>1705</v>
      </c>
    </row>
    <row r="704" spans="1:7" ht="15" customHeight="1" x14ac:dyDescent="0.25">
      <c r="A704" s="7" t="s">
        <v>1706</v>
      </c>
      <c r="B704" s="7" t="s">
        <v>1707</v>
      </c>
      <c r="C704" s="8" t="s">
        <v>1708</v>
      </c>
      <c r="D704" s="8" t="s">
        <v>345</v>
      </c>
      <c r="E704" s="8" t="s">
        <v>328</v>
      </c>
      <c r="F704" s="8" t="s">
        <v>59</v>
      </c>
      <c r="G704" s="8" t="s">
        <v>1709</v>
      </c>
    </row>
    <row r="705" spans="1:7" ht="15" customHeight="1" x14ac:dyDescent="0.25">
      <c r="A705" s="7" t="s">
        <v>1710</v>
      </c>
      <c r="B705" s="7" t="s">
        <v>1711</v>
      </c>
      <c r="C705" s="8" t="s">
        <v>614</v>
      </c>
      <c r="D705" s="8" t="s">
        <v>614</v>
      </c>
      <c r="E705" s="8" t="s">
        <v>166</v>
      </c>
      <c r="F705" s="8" t="s">
        <v>119</v>
      </c>
      <c r="G705" s="8" t="s">
        <v>1712</v>
      </c>
    </row>
    <row r="706" spans="1:7" ht="15" customHeight="1" x14ac:dyDescent="0.25">
      <c r="A706" s="7" t="s">
        <v>1236</v>
      </c>
      <c r="B706" s="7" t="s">
        <v>964</v>
      </c>
      <c r="C706" s="8" t="s">
        <v>285</v>
      </c>
      <c r="D706" s="8" t="s">
        <v>444</v>
      </c>
      <c r="E706" s="8" t="s">
        <v>131</v>
      </c>
      <c r="F706" s="8" t="s">
        <v>28</v>
      </c>
      <c r="G706" s="8" t="s">
        <v>1713</v>
      </c>
    </row>
    <row r="707" spans="1:7" ht="15" customHeight="1" x14ac:dyDescent="0.25">
      <c r="A707" s="7" t="s">
        <v>1714</v>
      </c>
      <c r="B707" s="7" t="s">
        <v>964</v>
      </c>
      <c r="C707" s="8" t="s">
        <v>1715</v>
      </c>
      <c r="D707" s="8" t="s">
        <v>331</v>
      </c>
      <c r="E707" s="8" t="s">
        <v>94</v>
      </c>
      <c r="F707" s="8" t="s">
        <v>65</v>
      </c>
      <c r="G707" s="8" t="s">
        <v>1716</v>
      </c>
    </row>
    <row r="708" spans="1:7" ht="15" customHeight="1" x14ac:dyDescent="0.25">
      <c r="A708" s="7" t="s">
        <v>1717</v>
      </c>
      <c r="B708" s="7" t="s">
        <v>1004</v>
      </c>
      <c r="C708" s="8" t="s">
        <v>327</v>
      </c>
      <c r="D708" s="8" t="s">
        <v>1375</v>
      </c>
      <c r="E708" s="8" t="s">
        <v>80</v>
      </c>
      <c r="F708" s="8" t="s">
        <v>39</v>
      </c>
      <c r="G708" s="8" t="s">
        <v>1718</v>
      </c>
    </row>
    <row r="709" spans="1:7" ht="15" customHeight="1" x14ac:dyDescent="0.25">
      <c r="A709" s="7" t="s">
        <v>1719</v>
      </c>
      <c r="B709" s="7" t="s">
        <v>1500</v>
      </c>
      <c r="C709" s="8" t="s">
        <v>344</v>
      </c>
      <c r="D709" s="8" t="s">
        <v>1502</v>
      </c>
      <c r="E709" s="8" t="s">
        <v>581</v>
      </c>
      <c r="F709" s="8" t="s">
        <v>119</v>
      </c>
      <c r="G709" s="8" t="s">
        <v>1720</v>
      </c>
    </row>
    <row r="710" spans="1:7" ht="15" customHeight="1" x14ac:dyDescent="0.25">
      <c r="A710" s="7" t="s">
        <v>1721</v>
      </c>
      <c r="B710" s="7" t="s">
        <v>1004</v>
      </c>
      <c r="C710" s="8" t="s">
        <v>79</v>
      </c>
      <c r="D710" s="8" t="s">
        <v>250</v>
      </c>
      <c r="E710" s="8" t="s">
        <v>281</v>
      </c>
      <c r="F710" s="8" t="s">
        <v>59</v>
      </c>
      <c r="G710" s="8" t="s">
        <v>1722</v>
      </c>
    </row>
    <row r="711" spans="1:7" ht="15" customHeight="1" x14ac:dyDescent="0.25">
      <c r="A711" s="7" t="s">
        <v>1723</v>
      </c>
      <c r="B711" s="7" t="s">
        <v>1724</v>
      </c>
      <c r="C711" s="8" t="s">
        <v>1725</v>
      </c>
      <c r="D711" s="8" t="s">
        <v>1726</v>
      </c>
      <c r="E711" s="8" t="s">
        <v>239</v>
      </c>
      <c r="F711" s="8" t="s">
        <v>28</v>
      </c>
      <c r="G711" s="8" t="s">
        <v>1727</v>
      </c>
    </row>
    <row r="712" spans="1:7" ht="15" customHeight="1" x14ac:dyDescent="0.25">
      <c r="A712" s="7" t="s">
        <v>1728</v>
      </c>
      <c r="B712" s="7" t="s">
        <v>1729</v>
      </c>
      <c r="C712" s="8" t="s">
        <v>130</v>
      </c>
      <c r="D712" s="8" t="s">
        <v>130</v>
      </c>
      <c r="E712" s="8" t="s">
        <v>166</v>
      </c>
      <c r="F712" s="8" t="s">
        <v>363</v>
      </c>
      <c r="G712" s="8" t="s">
        <v>1730</v>
      </c>
    </row>
    <row r="713" spans="1:7" ht="15" customHeight="1" x14ac:dyDescent="0.25">
      <c r="A713" s="7" t="s">
        <v>1731</v>
      </c>
      <c r="B713" s="7" t="s">
        <v>1015</v>
      </c>
      <c r="C713" s="8" t="s">
        <v>1732</v>
      </c>
      <c r="D713" s="8" t="s">
        <v>69</v>
      </c>
      <c r="E713" s="8" t="s">
        <v>33</v>
      </c>
      <c r="F713" s="8" t="s">
        <v>65</v>
      </c>
      <c r="G713" s="8" t="s">
        <v>1733</v>
      </c>
    </row>
    <row r="714" spans="1:7" ht="15" customHeight="1" x14ac:dyDescent="0.25">
      <c r="A714" s="7" t="s">
        <v>1734</v>
      </c>
      <c r="B714" s="7" t="s">
        <v>1634</v>
      </c>
      <c r="C714" s="8" t="s">
        <v>614</v>
      </c>
      <c r="D714" s="8" t="s">
        <v>69</v>
      </c>
      <c r="E714" s="8" t="s">
        <v>222</v>
      </c>
      <c r="F714" s="8" t="s">
        <v>39</v>
      </c>
      <c r="G714" s="8" t="s">
        <v>1735</v>
      </c>
    </row>
    <row r="715" spans="1:7" ht="15" customHeight="1" x14ac:dyDescent="0.25">
      <c r="A715" s="7" t="s">
        <v>1212</v>
      </c>
      <c r="B715" s="7" t="s">
        <v>1213</v>
      </c>
      <c r="C715" s="8" t="s">
        <v>1214</v>
      </c>
      <c r="D715" s="8" t="s">
        <v>1068</v>
      </c>
      <c r="E715" s="8" t="s">
        <v>58</v>
      </c>
      <c r="F715" s="8" t="s">
        <v>65</v>
      </c>
      <c r="G715" s="8" t="s">
        <v>1215</v>
      </c>
    </row>
    <row r="716" spans="1:7" ht="15" customHeight="1" x14ac:dyDescent="0.25">
      <c r="A716" s="7" t="s">
        <v>110</v>
      </c>
      <c r="B716" s="7" t="s">
        <v>100</v>
      </c>
      <c r="C716" s="8" t="s">
        <v>111</v>
      </c>
      <c r="D716" s="8" t="s">
        <v>112</v>
      </c>
      <c r="E716" s="8" t="s">
        <v>113</v>
      </c>
      <c r="F716" s="8" t="s">
        <v>65</v>
      </c>
      <c r="G716" s="8" t="s">
        <v>114</v>
      </c>
    </row>
    <row r="717" spans="1:7" ht="15" customHeight="1" x14ac:dyDescent="0.25">
      <c r="A717" s="7" t="s">
        <v>1736</v>
      </c>
      <c r="B717" s="7" t="s">
        <v>1520</v>
      </c>
      <c r="C717" s="8" t="s">
        <v>1737</v>
      </c>
      <c r="D717" s="8" t="s">
        <v>43</v>
      </c>
      <c r="E717" s="8" t="s">
        <v>715</v>
      </c>
      <c r="F717" s="8" t="s">
        <v>39</v>
      </c>
      <c r="G717" s="8" t="s">
        <v>1738</v>
      </c>
    </row>
    <row r="718" spans="1:7" ht="15" customHeight="1" x14ac:dyDescent="0.25">
      <c r="A718" s="7" t="s">
        <v>1739</v>
      </c>
      <c r="B718" s="7" t="s">
        <v>1004</v>
      </c>
      <c r="C718" s="8" t="s">
        <v>250</v>
      </c>
      <c r="D718" s="8" t="s">
        <v>285</v>
      </c>
      <c r="E718" s="8" t="s">
        <v>70</v>
      </c>
      <c r="F718" s="8" t="s">
        <v>123</v>
      </c>
      <c r="G718" s="8" t="s">
        <v>1740</v>
      </c>
    </row>
    <row r="719" spans="1:7" ht="15" customHeight="1" x14ac:dyDescent="0.25">
      <c r="A719" s="7" t="s">
        <v>1741</v>
      </c>
      <c r="B719" s="7" t="s">
        <v>1742</v>
      </c>
      <c r="C719" s="8" t="s">
        <v>63</v>
      </c>
      <c r="D719" s="8" t="s">
        <v>57</v>
      </c>
      <c r="E719" s="8" t="s">
        <v>463</v>
      </c>
      <c r="F719" s="8" t="s">
        <v>28</v>
      </c>
      <c r="G719" s="8" t="s">
        <v>1743</v>
      </c>
    </row>
    <row r="720" spans="1:7" ht="15" customHeight="1" x14ac:dyDescent="0.25">
      <c r="A720" s="7" t="s">
        <v>1744</v>
      </c>
      <c r="B720" s="7" t="s">
        <v>1445</v>
      </c>
      <c r="C720" s="8" t="s">
        <v>1745</v>
      </c>
      <c r="D720" s="8" t="s">
        <v>274</v>
      </c>
      <c r="E720" s="8" t="s">
        <v>453</v>
      </c>
      <c r="F720" s="8" t="s">
        <v>65</v>
      </c>
      <c r="G720" s="8" t="s">
        <v>1746</v>
      </c>
    </row>
    <row r="721" spans="1:7" ht="15" customHeight="1" x14ac:dyDescent="0.25">
      <c r="A721" s="7" t="s">
        <v>1747</v>
      </c>
      <c r="B721" s="7" t="s">
        <v>1748</v>
      </c>
      <c r="C721" s="8" t="s">
        <v>556</v>
      </c>
      <c r="D721" s="8" t="s">
        <v>1749</v>
      </c>
      <c r="E721" s="8" t="s">
        <v>797</v>
      </c>
      <c r="F721" s="8" t="s">
        <v>28</v>
      </c>
      <c r="G721" s="8" t="s">
        <v>1750</v>
      </c>
    </row>
    <row r="722" spans="1:7" ht="15" customHeight="1" x14ac:dyDescent="0.25">
      <c r="A722" s="7" t="s">
        <v>1751</v>
      </c>
      <c r="B722" s="7" t="s">
        <v>1004</v>
      </c>
      <c r="C722" s="8" t="s">
        <v>220</v>
      </c>
      <c r="D722" s="8" t="s">
        <v>1068</v>
      </c>
      <c r="E722" s="8" t="s">
        <v>169</v>
      </c>
      <c r="F722" s="8" t="s">
        <v>39</v>
      </c>
      <c r="G722" s="8" t="s">
        <v>1752</v>
      </c>
    </row>
    <row r="723" spans="1:7" ht="15" customHeight="1" x14ac:dyDescent="0.25">
      <c r="A723" s="7" t="s">
        <v>1753</v>
      </c>
      <c r="B723" s="7" t="s">
        <v>1673</v>
      </c>
      <c r="C723" s="8" t="s">
        <v>25</v>
      </c>
      <c r="D723" s="8" t="s">
        <v>57</v>
      </c>
      <c r="E723" s="8" t="s">
        <v>424</v>
      </c>
      <c r="F723" s="8" t="s">
        <v>65</v>
      </c>
      <c r="G723" s="8" t="s">
        <v>1754</v>
      </c>
    </row>
    <row r="724" spans="1:7" ht="15" customHeight="1" x14ac:dyDescent="0.25">
      <c r="A724" s="7" t="s">
        <v>121</v>
      </c>
      <c r="B724" s="7" t="s">
        <v>82</v>
      </c>
      <c r="C724" s="8" t="s">
        <v>122</v>
      </c>
      <c r="D724" s="8" t="s">
        <v>57</v>
      </c>
      <c r="E724" s="8" t="s">
        <v>103</v>
      </c>
      <c r="F724" s="8" t="s">
        <v>123</v>
      </c>
      <c r="G724" s="8" t="s">
        <v>124</v>
      </c>
    </row>
    <row r="725" spans="1:7" ht="15" customHeight="1" x14ac:dyDescent="0.25">
      <c r="A725" s="7" t="s">
        <v>125</v>
      </c>
      <c r="B725" s="7" t="s">
        <v>100</v>
      </c>
      <c r="C725" s="8" t="s">
        <v>111</v>
      </c>
      <c r="D725" s="8" t="s">
        <v>126</v>
      </c>
      <c r="E725" s="8" t="s">
        <v>127</v>
      </c>
      <c r="F725" s="8" t="s">
        <v>65</v>
      </c>
      <c r="G725" s="8" t="s">
        <v>128</v>
      </c>
    </row>
    <row r="726" spans="1:7" ht="15" customHeight="1" x14ac:dyDescent="0.25">
      <c r="A726" s="7" t="s">
        <v>1755</v>
      </c>
      <c r="B726" s="7" t="s">
        <v>1449</v>
      </c>
      <c r="C726" s="8" t="s">
        <v>122</v>
      </c>
      <c r="D726" s="8" t="s">
        <v>1756</v>
      </c>
      <c r="E726" s="8" t="s">
        <v>515</v>
      </c>
      <c r="F726" s="8" t="s">
        <v>65</v>
      </c>
      <c r="G726" s="8" t="s">
        <v>1757</v>
      </c>
    </row>
    <row r="727" spans="1:7" ht="15" customHeight="1" x14ac:dyDescent="0.25">
      <c r="A727" s="7" t="s">
        <v>1758</v>
      </c>
      <c r="B727" s="7" t="s">
        <v>964</v>
      </c>
      <c r="C727" s="8" t="s">
        <v>556</v>
      </c>
      <c r="D727" s="8" t="s">
        <v>702</v>
      </c>
      <c r="E727" s="8" t="s">
        <v>70</v>
      </c>
      <c r="F727" s="8" t="s">
        <v>39</v>
      </c>
      <c r="G727" s="8" t="s">
        <v>1267</v>
      </c>
    </row>
    <row r="728" spans="1:7" ht="15" customHeight="1" x14ac:dyDescent="0.25">
      <c r="A728" s="7" t="s">
        <v>1759</v>
      </c>
      <c r="B728" s="7" t="s">
        <v>1665</v>
      </c>
      <c r="C728" s="8" t="s">
        <v>1760</v>
      </c>
      <c r="D728" s="8" t="s">
        <v>1667</v>
      </c>
      <c r="E728" s="8" t="s">
        <v>1206</v>
      </c>
      <c r="F728" s="8" t="s">
        <v>86</v>
      </c>
      <c r="G728" s="8" t="s">
        <v>1761</v>
      </c>
    </row>
    <row r="729" spans="1:7" ht="15" customHeight="1" x14ac:dyDescent="0.25">
      <c r="A729" s="7" t="s">
        <v>129</v>
      </c>
      <c r="B729" s="7" t="s">
        <v>24</v>
      </c>
      <c r="C729" s="8" t="s">
        <v>130</v>
      </c>
      <c r="D729" s="8" t="s">
        <v>31</v>
      </c>
      <c r="E729" s="8" t="s">
        <v>131</v>
      </c>
      <c r="F729" s="8" t="s">
        <v>34</v>
      </c>
      <c r="G729" s="8" t="s">
        <v>1245</v>
      </c>
    </row>
    <row r="730" spans="1:7" ht="15" customHeight="1" x14ac:dyDescent="0.25">
      <c r="A730" s="7" t="s">
        <v>1762</v>
      </c>
      <c r="B730" s="7" t="s">
        <v>1595</v>
      </c>
      <c r="C730" s="8" t="s">
        <v>63</v>
      </c>
      <c r="D730" s="8" t="s">
        <v>57</v>
      </c>
      <c r="E730" s="8" t="s">
        <v>463</v>
      </c>
      <c r="F730" s="8" t="s">
        <v>119</v>
      </c>
      <c r="G730" s="8" t="s">
        <v>1763</v>
      </c>
    </row>
    <row r="731" spans="1:7" ht="15" customHeight="1" x14ac:dyDescent="0.25">
      <c r="A731" s="7" t="s">
        <v>1764</v>
      </c>
      <c r="B731" s="7" t="s">
        <v>1004</v>
      </c>
      <c r="C731" s="8" t="s">
        <v>117</v>
      </c>
      <c r="D731" s="8" t="s">
        <v>314</v>
      </c>
      <c r="E731" s="8" t="s">
        <v>76</v>
      </c>
      <c r="F731" s="8" t="s">
        <v>39</v>
      </c>
      <c r="G731" s="8" t="s">
        <v>1765</v>
      </c>
    </row>
    <row r="732" spans="1:7" ht="15" customHeight="1" x14ac:dyDescent="0.25">
      <c r="A732" s="7" t="s">
        <v>1766</v>
      </c>
      <c r="B732" s="7" t="s">
        <v>1634</v>
      </c>
      <c r="C732" s="8" t="s">
        <v>149</v>
      </c>
      <c r="D732" s="8" t="s">
        <v>285</v>
      </c>
      <c r="E732" s="8" t="s">
        <v>73</v>
      </c>
      <c r="F732" s="8" t="s">
        <v>65</v>
      </c>
      <c r="G732" s="8" t="s">
        <v>1767</v>
      </c>
    </row>
    <row r="733" spans="1:7" ht="15" customHeight="1" x14ac:dyDescent="0.25">
      <c r="A733" s="7" t="s">
        <v>138</v>
      </c>
      <c r="B733" s="7" t="s">
        <v>82</v>
      </c>
      <c r="C733" s="8" t="s">
        <v>31</v>
      </c>
      <c r="D733" s="8" t="s">
        <v>43</v>
      </c>
      <c r="E733" s="8" t="s">
        <v>139</v>
      </c>
      <c r="F733" s="8" t="s">
        <v>28</v>
      </c>
      <c r="G733" s="8" t="s">
        <v>140</v>
      </c>
    </row>
    <row r="734" spans="1:7" ht="15" customHeight="1" x14ac:dyDescent="0.25">
      <c r="A734" s="7" t="s">
        <v>1768</v>
      </c>
      <c r="B734" s="7" t="s">
        <v>1769</v>
      </c>
      <c r="C734" s="8" t="s">
        <v>25</v>
      </c>
      <c r="D734" s="8" t="s">
        <v>250</v>
      </c>
      <c r="E734" s="8" t="s">
        <v>156</v>
      </c>
      <c r="F734" s="8" t="s">
        <v>59</v>
      </c>
      <c r="G734" s="8" t="s">
        <v>1770</v>
      </c>
    </row>
    <row r="735" spans="1:7" ht="15" customHeight="1" x14ac:dyDescent="0.25">
      <c r="A735" s="7" t="s">
        <v>1771</v>
      </c>
      <c r="B735" s="7" t="s">
        <v>1772</v>
      </c>
      <c r="C735" s="8" t="s">
        <v>483</v>
      </c>
      <c r="D735" s="8" t="s">
        <v>314</v>
      </c>
      <c r="E735" s="8" t="s">
        <v>206</v>
      </c>
      <c r="F735" s="8" t="s">
        <v>28</v>
      </c>
      <c r="G735" s="8" t="s">
        <v>1773</v>
      </c>
    </row>
    <row r="736" spans="1:7" ht="15" customHeight="1" x14ac:dyDescent="0.25">
      <c r="A736" s="7" t="s">
        <v>1774</v>
      </c>
      <c r="B736" s="7" t="s">
        <v>1449</v>
      </c>
      <c r="C736" s="8" t="s">
        <v>43</v>
      </c>
      <c r="D736" s="8" t="s">
        <v>750</v>
      </c>
      <c r="E736" s="8" t="s">
        <v>1114</v>
      </c>
      <c r="F736" s="8" t="s">
        <v>119</v>
      </c>
      <c r="G736" s="8" t="s">
        <v>1775</v>
      </c>
    </row>
    <row r="737" spans="1:7" ht="15" customHeight="1" x14ac:dyDescent="0.25">
      <c r="A737" s="7" t="s">
        <v>1254</v>
      </c>
      <c r="B737" s="7" t="s">
        <v>1154</v>
      </c>
      <c r="C737" s="8" t="s">
        <v>1255</v>
      </c>
      <c r="D737" s="8" t="s">
        <v>57</v>
      </c>
      <c r="E737" s="8" t="s">
        <v>1037</v>
      </c>
      <c r="F737" s="8" t="s">
        <v>28</v>
      </c>
      <c r="G737" s="8" t="s">
        <v>1256</v>
      </c>
    </row>
    <row r="738" spans="1:7" ht="15" customHeight="1" x14ac:dyDescent="0.25">
      <c r="A738" s="7" t="s">
        <v>1776</v>
      </c>
      <c r="B738" s="7" t="s">
        <v>1616</v>
      </c>
      <c r="C738" s="8" t="s">
        <v>1026</v>
      </c>
      <c r="D738" s="8" t="s">
        <v>483</v>
      </c>
      <c r="E738" s="8" t="s">
        <v>336</v>
      </c>
      <c r="F738" s="8" t="s">
        <v>28</v>
      </c>
      <c r="G738" s="8" t="s">
        <v>1777</v>
      </c>
    </row>
    <row r="739" spans="1:7" ht="15" customHeight="1" x14ac:dyDescent="0.25">
      <c r="A739" s="7" t="s">
        <v>1778</v>
      </c>
      <c r="B739" s="7" t="s">
        <v>1520</v>
      </c>
      <c r="C739" s="8" t="s">
        <v>1779</v>
      </c>
      <c r="D739" s="8" t="s">
        <v>1497</v>
      </c>
      <c r="E739" s="8" t="s">
        <v>144</v>
      </c>
      <c r="F739" s="8" t="s">
        <v>65</v>
      </c>
      <c r="G739" s="8" t="s">
        <v>1780</v>
      </c>
    </row>
    <row r="740" spans="1:7" ht="15" customHeight="1" x14ac:dyDescent="0.25">
      <c r="A740" s="7" t="s">
        <v>1781</v>
      </c>
      <c r="B740" s="7" t="s">
        <v>1461</v>
      </c>
      <c r="C740" s="8" t="s">
        <v>377</v>
      </c>
      <c r="D740" s="8" t="s">
        <v>702</v>
      </c>
      <c r="E740" s="8" t="s">
        <v>547</v>
      </c>
      <c r="F740" s="8" t="s">
        <v>34</v>
      </c>
      <c r="G740" s="8" t="s">
        <v>1782</v>
      </c>
    </row>
    <row r="741" spans="1:7" ht="15" customHeight="1" x14ac:dyDescent="0.25">
      <c r="A741" s="7" t="s">
        <v>1783</v>
      </c>
      <c r="B741" s="7" t="s">
        <v>1784</v>
      </c>
      <c r="C741" s="8" t="s">
        <v>1785</v>
      </c>
      <c r="D741" s="8" t="s">
        <v>1785</v>
      </c>
      <c r="E741" s="8" t="s">
        <v>166</v>
      </c>
      <c r="F741" s="8" t="s">
        <v>119</v>
      </c>
      <c r="G741" s="8" t="s">
        <v>1786</v>
      </c>
    </row>
    <row r="742" spans="1:7" ht="15" customHeight="1" x14ac:dyDescent="0.25">
      <c r="A742" s="7" t="s">
        <v>1248</v>
      </c>
      <c r="B742" s="7" t="s">
        <v>1213</v>
      </c>
      <c r="C742" s="8" t="s">
        <v>32</v>
      </c>
      <c r="D742" s="8" t="s">
        <v>69</v>
      </c>
      <c r="E742" s="8" t="s">
        <v>58</v>
      </c>
      <c r="F742" s="8" t="s">
        <v>363</v>
      </c>
      <c r="G742" s="8" t="s">
        <v>1249</v>
      </c>
    </row>
    <row r="743" spans="1:7" ht="15" customHeight="1" x14ac:dyDescent="0.25">
      <c r="A743" s="7" t="s">
        <v>1787</v>
      </c>
      <c r="B743" s="7" t="s">
        <v>1461</v>
      </c>
      <c r="C743" s="8" t="s">
        <v>165</v>
      </c>
      <c r="D743" s="8" t="s">
        <v>314</v>
      </c>
      <c r="E743" s="8" t="s">
        <v>53</v>
      </c>
      <c r="F743" s="8" t="s">
        <v>39</v>
      </c>
      <c r="G743" s="8" t="s">
        <v>1788</v>
      </c>
    </row>
    <row r="744" spans="1:7" ht="15" customHeight="1" x14ac:dyDescent="0.25">
      <c r="A744" s="7" t="s">
        <v>1789</v>
      </c>
      <c r="B744" s="7" t="s">
        <v>1687</v>
      </c>
      <c r="C744" s="8" t="s">
        <v>51</v>
      </c>
      <c r="D744" s="8" t="s">
        <v>25</v>
      </c>
      <c r="E744" s="8" t="s">
        <v>80</v>
      </c>
      <c r="F744" s="8" t="s">
        <v>34</v>
      </c>
      <c r="G744" s="8" t="s">
        <v>1790</v>
      </c>
    </row>
    <row r="745" spans="1:7" ht="15" customHeight="1" x14ac:dyDescent="0.25">
      <c r="A745" s="7" t="s">
        <v>1791</v>
      </c>
      <c r="B745" s="7" t="s">
        <v>1453</v>
      </c>
      <c r="C745" s="8" t="s">
        <v>1446</v>
      </c>
      <c r="D745" s="8" t="s">
        <v>69</v>
      </c>
      <c r="E745" s="8" t="s">
        <v>570</v>
      </c>
      <c r="F745" s="8" t="s">
        <v>59</v>
      </c>
      <c r="G745" s="8" t="s">
        <v>1792</v>
      </c>
    </row>
    <row r="746" spans="1:7" ht="15" customHeight="1" x14ac:dyDescent="0.25">
      <c r="A746" s="7" t="s">
        <v>1793</v>
      </c>
      <c r="B746" s="7" t="s">
        <v>1794</v>
      </c>
      <c r="C746" s="8" t="s">
        <v>159</v>
      </c>
      <c r="D746" s="8" t="s">
        <v>57</v>
      </c>
      <c r="E746" s="8" t="s">
        <v>27</v>
      </c>
      <c r="F746" s="8" t="s">
        <v>321</v>
      </c>
      <c r="G746" s="8" t="s">
        <v>1795</v>
      </c>
    </row>
    <row r="747" spans="1:7" ht="15" customHeight="1" x14ac:dyDescent="0.25">
      <c r="A747" s="7" t="s">
        <v>1796</v>
      </c>
      <c r="B747" s="7" t="s">
        <v>964</v>
      </c>
      <c r="C747" s="8" t="s">
        <v>250</v>
      </c>
      <c r="D747" s="8" t="s">
        <v>702</v>
      </c>
      <c r="E747" s="8" t="s">
        <v>131</v>
      </c>
      <c r="F747" s="8" t="s">
        <v>34</v>
      </c>
      <c r="G747" s="8" t="s">
        <v>1296</v>
      </c>
    </row>
    <row r="748" spans="1:7" ht="15" customHeight="1" x14ac:dyDescent="0.25">
      <c r="A748" s="7" t="s">
        <v>1797</v>
      </c>
      <c r="B748" s="7" t="s">
        <v>1004</v>
      </c>
      <c r="C748" s="8" t="s">
        <v>25</v>
      </c>
      <c r="D748" s="8" t="s">
        <v>43</v>
      </c>
      <c r="E748" s="8" t="s">
        <v>33</v>
      </c>
      <c r="F748" s="8" t="s">
        <v>321</v>
      </c>
      <c r="G748" s="8" t="s">
        <v>1798</v>
      </c>
    </row>
    <row r="749" spans="1:7" ht="15" customHeight="1" x14ac:dyDescent="0.25">
      <c r="A749" s="7" t="s">
        <v>1799</v>
      </c>
      <c r="B749" s="7" t="s">
        <v>1586</v>
      </c>
      <c r="C749" s="8" t="s">
        <v>165</v>
      </c>
      <c r="D749" s="8" t="s">
        <v>79</v>
      </c>
      <c r="E749" s="8" t="s">
        <v>144</v>
      </c>
      <c r="F749" s="8" t="s">
        <v>65</v>
      </c>
      <c r="G749" s="8" t="s">
        <v>1800</v>
      </c>
    </row>
    <row r="750" spans="1:7" ht="15" customHeight="1" x14ac:dyDescent="0.25">
      <c r="A750" s="7" t="s">
        <v>1801</v>
      </c>
      <c r="B750" s="7" t="s">
        <v>1802</v>
      </c>
      <c r="C750" s="8" t="s">
        <v>584</v>
      </c>
      <c r="D750" s="8" t="s">
        <v>1803</v>
      </c>
      <c r="E750" s="8" t="s">
        <v>44</v>
      </c>
      <c r="F750" s="8" t="s">
        <v>39</v>
      </c>
      <c r="G750" s="8" t="s">
        <v>1804</v>
      </c>
    </row>
    <row r="751" spans="1:7" ht="15" customHeight="1" x14ac:dyDescent="0.25">
      <c r="A751" s="7" t="s">
        <v>1805</v>
      </c>
      <c r="B751" s="7" t="s">
        <v>964</v>
      </c>
      <c r="C751" s="8" t="s">
        <v>556</v>
      </c>
      <c r="D751" s="8" t="s">
        <v>444</v>
      </c>
      <c r="E751" s="8" t="s">
        <v>328</v>
      </c>
      <c r="F751" s="8" t="s">
        <v>59</v>
      </c>
      <c r="G751" s="8" t="s">
        <v>1806</v>
      </c>
    </row>
    <row r="752" spans="1:7" ht="15" customHeight="1" x14ac:dyDescent="0.25">
      <c r="A752" s="7" t="s">
        <v>1807</v>
      </c>
      <c r="B752" s="7" t="s">
        <v>1500</v>
      </c>
      <c r="C752" s="8" t="s">
        <v>93</v>
      </c>
      <c r="D752" s="8" t="s">
        <v>1583</v>
      </c>
      <c r="E752" s="8" t="s">
        <v>1808</v>
      </c>
      <c r="F752" s="8" t="s">
        <v>65</v>
      </c>
      <c r="G752" s="8" t="s">
        <v>1809</v>
      </c>
    </row>
    <row r="753" spans="1:7" ht="15" customHeight="1" x14ac:dyDescent="0.25">
      <c r="A753" s="7" t="s">
        <v>1810</v>
      </c>
      <c r="B753" s="7" t="s">
        <v>989</v>
      </c>
      <c r="C753" s="8" t="s">
        <v>1811</v>
      </c>
      <c r="D753" s="8" t="s">
        <v>1812</v>
      </c>
      <c r="E753" s="8" t="s">
        <v>239</v>
      </c>
      <c r="F753" s="8" t="s">
        <v>119</v>
      </c>
      <c r="G753" s="8" t="s">
        <v>1813</v>
      </c>
    </row>
    <row r="754" spans="1:7" ht="15" customHeight="1" x14ac:dyDescent="0.25">
      <c r="A754" s="7" t="s">
        <v>1814</v>
      </c>
      <c r="B754" s="7" t="s">
        <v>1794</v>
      </c>
      <c r="C754" s="8" t="s">
        <v>1815</v>
      </c>
      <c r="D754" s="8" t="s">
        <v>69</v>
      </c>
      <c r="E754" s="8" t="s">
        <v>33</v>
      </c>
      <c r="F754" s="8" t="s">
        <v>28</v>
      </c>
      <c r="G754" s="8" t="s">
        <v>1816</v>
      </c>
    </row>
    <row r="755" spans="1:7" ht="15" customHeight="1" x14ac:dyDescent="0.25">
      <c r="A755" s="7" t="s">
        <v>1817</v>
      </c>
      <c r="B755" s="7" t="s">
        <v>1818</v>
      </c>
      <c r="C755" s="8" t="s">
        <v>90</v>
      </c>
      <c r="D755" s="8" t="s">
        <v>149</v>
      </c>
      <c r="E755" s="8" t="s">
        <v>76</v>
      </c>
      <c r="F755" s="8" t="s">
        <v>59</v>
      </c>
      <c r="G755" s="8" t="s">
        <v>1819</v>
      </c>
    </row>
    <row r="756" spans="1:7" ht="15" customHeight="1" x14ac:dyDescent="0.25">
      <c r="A756" s="7" t="s">
        <v>1820</v>
      </c>
      <c r="B756" s="7" t="s">
        <v>1821</v>
      </c>
      <c r="C756" s="8" t="s">
        <v>388</v>
      </c>
      <c r="D756" s="8" t="s">
        <v>69</v>
      </c>
      <c r="E756" s="8" t="s">
        <v>76</v>
      </c>
      <c r="F756" s="8" t="s">
        <v>86</v>
      </c>
      <c r="G756" s="8" t="s">
        <v>1822</v>
      </c>
    </row>
    <row r="757" spans="1:7" ht="15" customHeight="1" x14ac:dyDescent="0.25">
      <c r="A757" s="7" t="s">
        <v>1823</v>
      </c>
      <c r="B757" s="7" t="s">
        <v>1824</v>
      </c>
      <c r="C757" s="8" t="s">
        <v>614</v>
      </c>
      <c r="D757" s="8" t="s">
        <v>69</v>
      </c>
      <c r="E757" s="8" t="s">
        <v>222</v>
      </c>
      <c r="F757" s="8" t="s">
        <v>65</v>
      </c>
      <c r="G757" s="8" t="s">
        <v>1825</v>
      </c>
    </row>
    <row r="758" spans="1:7" ht="15" customHeight="1" x14ac:dyDescent="0.25">
      <c r="A758" s="7" t="s">
        <v>1826</v>
      </c>
      <c r="B758" s="7" t="s">
        <v>1616</v>
      </c>
      <c r="C758" s="8" t="s">
        <v>1827</v>
      </c>
      <c r="D758" s="8" t="s">
        <v>475</v>
      </c>
      <c r="E758" s="8" t="s">
        <v>715</v>
      </c>
      <c r="F758" s="8" t="s">
        <v>65</v>
      </c>
      <c r="G758" s="8" t="s">
        <v>1828</v>
      </c>
    </row>
    <row r="759" spans="1:7" ht="15" customHeight="1" x14ac:dyDescent="0.25">
      <c r="A759" s="7" t="s">
        <v>1829</v>
      </c>
      <c r="B759" s="7" t="s">
        <v>1830</v>
      </c>
      <c r="C759" s="8" t="s">
        <v>1625</v>
      </c>
      <c r="D759" s="8" t="s">
        <v>1625</v>
      </c>
      <c r="E759" s="8" t="s">
        <v>166</v>
      </c>
      <c r="F759" s="8" t="s">
        <v>65</v>
      </c>
      <c r="G759" s="8" t="s">
        <v>1831</v>
      </c>
    </row>
    <row r="760" spans="1:7" ht="15" customHeight="1" x14ac:dyDescent="0.25">
      <c r="A760" s="7" t="s">
        <v>1832</v>
      </c>
      <c r="B760" s="7" t="s">
        <v>1467</v>
      </c>
      <c r="C760" s="8" t="s">
        <v>63</v>
      </c>
      <c r="D760" s="8" t="s">
        <v>250</v>
      </c>
      <c r="E760" s="8" t="s">
        <v>169</v>
      </c>
      <c r="F760" s="8" t="s">
        <v>28</v>
      </c>
      <c r="G760" s="8" t="s">
        <v>1833</v>
      </c>
    </row>
    <row r="761" spans="1:7" ht="15" customHeight="1" x14ac:dyDescent="0.25">
      <c r="A761" s="7" t="s">
        <v>1834</v>
      </c>
      <c r="B761" s="7" t="s">
        <v>1520</v>
      </c>
      <c r="C761" s="8" t="s">
        <v>1549</v>
      </c>
      <c r="D761" s="8" t="s">
        <v>1835</v>
      </c>
      <c r="E761" s="8" t="s">
        <v>182</v>
      </c>
      <c r="F761" s="8" t="s">
        <v>59</v>
      </c>
      <c r="G761" s="8" t="s">
        <v>1836</v>
      </c>
    </row>
    <row r="762" spans="1:7" ht="15" customHeight="1" x14ac:dyDescent="0.25">
      <c r="A762" s="7" t="s">
        <v>1837</v>
      </c>
      <c r="B762" s="7" t="s">
        <v>1004</v>
      </c>
      <c r="C762" s="8" t="s">
        <v>43</v>
      </c>
      <c r="D762" s="8" t="s">
        <v>69</v>
      </c>
      <c r="E762" s="8" t="s">
        <v>1114</v>
      </c>
      <c r="F762" s="8" t="s">
        <v>59</v>
      </c>
      <c r="G762" s="8" t="s">
        <v>1838</v>
      </c>
    </row>
    <row r="763" spans="1:7" ht="15" customHeight="1" x14ac:dyDescent="0.25">
      <c r="A763" s="7" t="s">
        <v>1839</v>
      </c>
      <c r="B763" s="7" t="s">
        <v>1840</v>
      </c>
      <c r="C763" s="8" t="s">
        <v>649</v>
      </c>
      <c r="D763" s="8" t="s">
        <v>1502</v>
      </c>
      <c r="E763" s="8" t="s">
        <v>424</v>
      </c>
      <c r="F763" s="8" t="s">
        <v>119</v>
      </c>
      <c r="G763" s="8" t="s">
        <v>1841</v>
      </c>
    </row>
    <row r="764" spans="1:7" ht="15" customHeight="1" x14ac:dyDescent="0.25">
      <c r="A764" s="7" t="s">
        <v>1842</v>
      </c>
      <c r="B764" s="7" t="s">
        <v>1500</v>
      </c>
      <c r="C764" s="8" t="s">
        <v>1843</v>
      </c>
      <c r="D764" s="8" t="s">
        <v>1844</v>
      </c>
      <c r="E764" s="8" t="s">
        <v>1206</v>
      </c>
      <c r="F764" s="8" t="s">
        <v>86</v>
      </c>
      <c r="G764" s="8" t="s">
        <v>1845</v>
      </c>
    </row>
    <row r="765" spans="1:7" ht="15" customHeight="1" x14ac:dyDescent="0.25">
      <c r="A765" s="7" t="s">
        <v>1846</v>
      </c>
      <c r="B765" s="7" t="s">
        <v>1520</v>
      </c>
      <c r="C765" s="8" t="s">
        <v>327</v>
      </c>
      <c r="D765" s="8" t="s">
        <v>195</v>
      </c>
      <c r="E765" s="8" t="s">
        <v>997</v>
      </c>
      <c r="F765" s="8" t="s">
        <v>65</v>
      </c>
      <c r="G765" s="8" t="s">
        <v>1847</v>
      </c>
    </row>
    <row r="766" spans="1:7" ht="15" customHeight="1" x14ac:dyDescent="0.25">
      <c r="A766" s="7" t="s">
        <v>1848</v>
      </c>
      <c r="B766" s="7" t="s">
        <v>1445</v>
      </c>
      <c r="C766" s="8" t="s">
        <v>1849</v>
      </c>
      <c r="D766" s="8" t="s">
        <v>1850</v>
      </c>
      <c r="E766" s="8" t="s">
        <v>254</v>
      </c>
      <c r="F766" s="8" t="s">
        <v>65</v>
      </c>
      <c r="G766" s="8" t="s">
        <v>1851</v>
      </c>
    </row>
    <row r="767" spans="1:7" ht="15" customHeight="1" x14ac:dyDescent="0.25">
      <c r="A767" s="7" t="s">
        <v>1852</v>
      </c>
      <c r="B767" s="7" t="s">
        <v>1853</v>
      </c>
      <c r="C767" s="8" t="s">
        <v>1854</v>
      </c>
      <c r="D767" s="8" t="s">
        <v>678</v>
      </c>
      <c r="E767" s="8" t="s">
        <v>424</v>
      </c>
      <c r="F767" s="8" t="s">
        <v>65</v>
      </c>
      <c r="G767" s="8" t="s">
        <v>1855</v>
      </c>
    </row>
    <row r="768" spans="1:7" ht="15" customHeight="1" x14ac:dyDescent="0.25">
      <c r="A768" s="7" t="s">
        <v>1273</v>
      </c>
      <c r="B768" s="7" t="s">
        <v>964</v>
      </c>
      <c r="C768" s="8" t="s">
        <v>117</v>
      </c>
      <c r="D768" s="8" t="s">
        <v>1000</v>
      </c>
      <c r="E768" s="8" t="s">
        <v>1274</v>
      </c>
      <c r="F768" s="8" t="s">
        <v>34</v>
      </c>
      <c r="G768" s="8" t="s">
        <v>1275</v>
      </c>
    </row>
    <row r="769" spans="1:7" ht="15" customHeight="1" x14ac:dyDescent="0.25">
      <c r="A769" s="7" t="s">
        <v>1856</v>
      </c>
      <c r="B769" s="7" t="s">
        <v>1461</v>
      </c>
      <c r="C769" s="8" t="s">
        <v>69</v>
      </c>
      <c r="D769" s="8" t="s">
        <v>556</v>
      </c>
      <c r="E769" s="8" t="s">
        <v>94</v>
      </c>
      <c r="F769" s="8" t="s">
        <v>65</v>
      </c>
      <c r="G769" s="8" t="s">
        <v>1857</v>
      </c>
    </row>
    <row r="770" spans="1:7" ht="15" customHeight="1" x14ac:dyDescent="0.25">
      <c r="A770" s="7" t="s">
        <v>146</v>
      </c>
      <c r="B770" s="7" t="s">
        <v>24</v>
      </c>
      <c r="C770" s="8" t="s">
        <v>63</v>
      </c>
      <c r="D770" s="8" t="s">
        <v>25</v>
      </c>
      <c r="E770" s="8" t="s">
        <v>144</v>
      </c>
      <c r="F770" s="8" t="s">
        <v>34</v>
      </c>
      <c r="G770" s="8" t="s">
        <v>147</v>
      </c>
    </row>
    <row r="771" spans="1:7" ht="15" customHeight="1" x14ac:dyDescent="0.25">
      <c r="A771" s="7" t="s">
        <v>1858</v>
      </c>
      <c r="B771" s="7" t="s">
        <v>1859</v>
      </c>
      <c r="C771" s="8" t="s">
        <v>1860</v>
      </c>
      <c r="D771" s="8" t="s">
        <v>43</v>
      </c>
      <c r="E771" s="8" t="s">
        <v>346</v>
      </c>
      <c r="F771" s="8" t="s">
        <v>86</v>
      </c>
      <c r="G771" s="8" t="s">
        <v>1861</v>
      </c>
    </row>
    <row r="772" spans="1:7" ht="15" customHeight="1" x14ac:dyDescent="0.25">
      <c r="A772" s="7" t="s">
        <v>1862</v>
      </c>
      <c r="B772" s="7" t="s">
        <v>1520</v>
      </c>
      <c r="C772" s="8" t="s">
        <v>1863</v>
      </c>
      <c r="D772" s="8" t="s">
        <v>1864</v>
      </c>
      <c r="E772" s="8" t="s">
        <v>113</v>
      </c>
      <c r="F772" s="8" t="s">
        <v>34</v>
      </c>
      <c r="G772" s="8" t="s">
        <v>1865</v>
      </c>
    </row>
    <row r="773" spans="1:7" ht="15" customHeight="1" x14ac:dyDescent="0.25">
      <c r="A773" s="7" t="s">
        <v>152</v>
      </c>
      <c r="B773" s="7" t="s">
        <v>24</v>
      </c>
      <c r="C773" s="8" t="s">
        <v>63</v>
      </c>
      <c r="D773" s="8" t="s">
        <v>69</v>
      </c>
      <c r="E773" s="8" t="s">
        <v>131</v>
      </c>
      <c r="F773" s="8" t="s">
        <v>65</v>
      </c>
      <c r="G773" s="8" t="s">
        <v>153</v>
      </c>
    </row>
    <row r="774" spans="1:7" ht="15" customHeight="1" x14ac:dyDescent="0.25">
      <c r="A774" s="7" t="s">
        <v>1866</v>
      </c>
      <c r="B774" s="7" t="s">
        <v>1802</v>
      </c>
      <c r="C774" s="8" t="s">
        <v>31</v>
      </c>
      <c r="D774" s="8" t="s">
        <v>57</v>
      </c>
      <c r="E774" s="8" t="s">
        <v>94</v>
      </c>
      <c r="F774" s="8" t="s">
        <v>201</v>
      </c>
      <c r="G774" s="8" t="s">
        <v>1867</v>
      </c>
    </row>
    <row r="775" spans="1:7" ht="15" customHeight="1" x14ac:dyDescent="0.25">
      <c r="A775" s="7" t="s">
        <v>1868</v>
      </c>
      <c r="B775" s="7" t="s">
        <v>1004</v>
      </c>
      <c r="C775" s="8" t="s">
        <v>149</v>
      </c>
      <c r="D775" s="8" t="s">
        <v>444</v>
      </c>
      <c r="E775" s="8" t="s">
        <v>169</v>
      </c>
      <c r="F775" s="8" t="s">
        <v>123</v>
      </c>
      <c r="G775" s="8" t="s">
        <v>1869</v>
      </c>
    </row>
    <row r="776" spans="1:7" ht="15" customHeight="1" x14ac:dyDescent="0.25">
      <c r="A776" s="7" t="s">
        <v>1870</v>
      </c>
      <c r="B776" s="7" t="s">
        <v>1118</v>
      </c>
      <c r="C776" s="8" t="s">
        <v>172</v>
      </c>
      <c r="D776" s="8" t="s">
        <v>57</v>
      </c>
      <c r="E776" s="8" t="s">
        <v>169</v>
      </c>
      <c r="F776" s="8" t="s">
        <v>59</v>
      </c>
      <c r="G776" s="8" t="s">
        <v>1317</v>
      </c>
    </row>
    <row r="777" spans="1:7" ht="15" customHeight="1" x14ac:dyDescent="0.25">
      <c r="A777" s="7" t="s">
        <v>1871</v>
      </c>
      <c r="B777" s="7" t="s">
        <v>1449</v>
      </c>
      <c r="C777" s="8" t="s">
        <v>57</v>
      </c>
      <c r="D777" s="8" t="s">
        <v>52</v>
      </c>
      <c r="E777" s="8" t="s">
        <v>70</v>
      </c>
      <c r="F777" s="8" t="s">
        <v>564</v>
      </c>
      <c r="G777" s="8" t="s">
        <v>823</v>
      </c>
    </row>
    <row r="778" spans="1:7" ht="15" customHeight="1" x14ac:dyDescent="0.25">
      <c r="A778" s="7" t="s">
        <v>1872</v>
      </c>
      <c r="B778" s="7" t="s">
        <v>1873</v>
      </c>
      <c r="C778" s="8" t="s">
        <v>1874</v>
      </c>
      <c r="D778" s="8" t="s">
        <v>910</v>
      </c>
      <c r="E778" s="8" t="s">
        <v>1078</v>
      </c>
      <c r="F778" s="8" t="s">
        <v>119</v>
      </c>
      <c r="G778" s="8" t="s">
        <v>1875</v>
      </c>
    </row>
    <row r="779" spans="1:7" ht="15" customHeight="1" x14ac:dyDescent="0.25">
      <c r="A779" s="7" t="s">
        <v>1876</v>
      </c>
      <c r="B779" s="7" t="s">
        <v>1877</v>
      </c>
      <c r="C779" s="8" t="s">
        <v>1749</v>
      </c>
      <c r="D779" s="8" t="s">
        <v>1878</v>
      </c>
      <c r="E779" s="8" t="s">
        <v>424</v>
      </c>
      <c r="F779" s="8" t="s">
        <v>39</v>
      </c>
      <c r="G779" s="8" t="s">
        <v>1879</v>
      </c>
    </row>
    <row r="780" spans="1:7" ht="15" customHeight="1" x14ac:dyDescent="0.25">
      <c r="A780" s="7" t="s">
        <v>1880</v>
      </c>
      <c r="B780" s="7" t="s">
        <v>1840</v>
      </c>
      <c r="C780" s="8" t="s">
        <v>1881</v>
      </c>
      <c r="D780" s="8" t="s">
        <v>1583</v>
      </c>
      <c r="E780" s="8" t="s">
        <v>262</v>
      </c>
      <c r="F780" s="8" t="s">
        <v>86</v>
      </c>
      <c r="G780" s="8" t="s">
        <v>1882</v>
      </c>
    </row>
    <row r="781" spans="1:7" ht="15" customHeight="1" x14ac:dyDescent="0.25">
      <c r="A781" s="7" t="s">
        <v>1883</v>
      </c>
      <c r="B781" s="7" t="s">
        <v>1449</v>
      </c>
      <c r="C781" s="8" t="s">
        <v>25</v>
      </c>
      <c r="D781" s="8" t="s">
        <v>1884</v>
      </c>
      <c r="E781" s="8" t="s">
        <v>346</v>
      </c>
      <c r="F781" s="8" t="s">
        <v>59</v>
      </c>
      <c r="G781" s="8" t="s">
        <v>1885</v>
      </c>
    </row>
    <row r="782" spans="1:7" ht="15" customHeight="1" x14ac:dyDescent="0.25">
      <c r="A782" s="7" t="s">
        <v>1886</v>
      </c>
      <c r="B782" s="7" t="s">
        <v>1004</v>
      </c>
      <c r="C782" s="8" t="s">
        <v>220</v>
      </c>
      <c r="D782" s="8" t="s">
        <v>279</v>
      </c>
      <c r="E782" s="8" t="s">
        <v>53</v>
      </c>
      <c r="F782" s="8" t="s">
        <v>214</v>
      </c>
      <c r="G782" s="8" t="s">
        <v>1887</v>
      </c>
    </row>
    <row r="783" spans="1:7" ht="15" customHeight="1" x14ac:dyDescent="0.25">
      <c r="A783" s="7" t="s">
        <v>1888</v>
      </c>
      <c r="B783" s="7" t="s">
        <v>1453</v>
      </c>
      <c r="C783" s="8" t="s">
        <v>659</v>
      </c>
      <c r="D783" s="8" t="s">
        <v>195</v>
      </c>
      <c r="E783" s="8" t="s">
        <v>53</v>
      </c>
      <c r="F783" s="8" t="s">
        <v>363</v>
      </c>
      <c r="G783" s="8" t="s">
        <v>1889</v>
      </c>
    </row>
    <row r="784" spans="1:7" ht="15" customHeight="1" x14ac:dyDescent="0.25">
      <c r="A784" s="7" t="s">
        <v>1890</v>
      </c>
      <c r="B784" s="7" t="s">
        <v>1461</v>
      </c>
      <c r="C784" s="8" t="s">
        <v>614</v>
      </c>
      <c r="D784" s="8" t="s">
        <v>149</v>
      </c>
      <c r="E784" s="8" t="s">
        <v>156</v>
      </c>
      <c r="F784" s="8" t="s">
        <v>214</v>
      </c>
      <c r="G784" s="8" t="s">
        <v>1891</v>
      </c>
    </row>
    <row r="785" spans="1:7" ht="15" customHeight="1" x14ac:dyDescent="0.25">
      <c r="A785" s="7" t="s">
        <v>1892</v>
      </c>
      <c r="B785" s="7" t="s">
        <v>1729</v>
      </c>
      <c r="C785" s="8" t="s">
        <v>747</v>
      </c>
      <c r="D785" s="8" t="s">
        <v>172</v>
      </c>
      <c r="E785" s="8" t="s">
        <v>1134</v>
      </c>
      <c r="F785" s="8" t="s">
        <v>28</v>
      </c>
      <c r="G785" s="8" t="s">
        <v>1893</v>
      </c>
    </row>
    <row r="786" spans="1:7" ht="15" customHeight="1" x14ac:dyDescent="0.25">
      <c r="A786" s="7" t="s">
        <v>148</v>
      </c>
      <c r="B786" s="7" t="s">
        <v>24</v>
      </c>
      <c r="C786" s="8" t="s">
        <v>116</v>
      </c>
      <c r="D786" s="8" t="s">
        <v>149</v>
      </c>
      <c r="E786" s="8" t="s">
        <v>150</v>
      </c>
      <c r="F786" s="8" t="s">
        <v>86</v>
      </c>
      <c r="G786" s="8" t="s">
        <v>151</v>
      </c>
    </row>
    <row r="787" spans="1:7" ht="15" customHeight="1" x14ac:dyDescent="0.25">
      <c r="A787" s="7" t="s">
        <v>1894</v>
      </c>
      <c r="B787" s="7" t="s">
        <v>1004</v>
      </c>
      <c r="C787" s="8" t="s">
        <v>327</v>
      </c>
      <c r="D787" s="8" t="s">
        <v>285</v>
      </c>
      <c r="E787" s="8" t="s">
        <v>352</v>
      </c>
      <c r="F787" s="8" t="s">
        <v>363</v>
      </c>
      <c r="G787" s="8" t="s">
        <v>1895</v>
      </c>
    </row>
    <row r="788" spans="1:7" ht="15" customHeight="1" x14ac:dyDescent="0.25">
      <c r="A788" s="7" t="s">
        <v>1896</v>
      </c>
      <c r="B788" s="7" t="s">
        <v>1593</v>
      </c>
      <c r="C788" s="8" t="s">
        <v>238</v>
      </c>
      <c r="D788" s="8" t="s">
        <v>69</v>
      </c>
      <c r="E788" s="8" t="s">
        <v>251</v>
      </c>
      <c r="F788" s="8" t="s">
        <v>28</v>
      </c>
      <c r="G788" s="8" t="s">
        <v>1897</v>
      </c>
    </row>
    <row r="789" spans="1:7" ht="15" customHeight="1" x14ac:dyDescent="0.25">
      <c r="A789" s="7" t="s">
        <v>1898</v>
      </c>
      <c r="B789" s="7" t="s">
        <v>1899</v>
      </c>
      <c r="C789" s="8" t="s">
        <v>828</v>
      </c>
      <c r="D789" s="8" t="s">
        <v>57</v>
      </c>
      <c r="E789" s="8" t="s">
        <v>598</v>
      </c>
      <c r="F789" s="8" t="s">
        <v>65</v>
      </c>
      <c r="G789" s="8" t="s">
        <v>1900</v>
      </c>
    </row>
    <row r="790" spans="1:7" ht="15" customHeight="1" x14ac:dyDescent="0.25">
      <c r="A790" s="7" t="s">
        <v>1901</v>
      </c>
      <c r="B790" s="7" t="s">
        <v>1902</v>
      </c>
      <c r="C790" s="8" t="s">
        <v>388</v>
      </c>
      <c r="D790" s="8" t="s">
        <v>345</v>
      </c>
      <c r="E790" s="8" t="s">
        <v>103</v>
      </c>
      <c r="F790" s="8" t="s">
        <v>86</v>
      </c>
      <c r="G790" s="8" t="s">
        <v>1903</v>
      </c>
    </row>
    <row r="791" spans="1:7" ht="15" customHeight="1" x14ac:dyDescent="0.25">
      <c r="A791" s="7" t="s">
        <v>1904</v>
      </c>
      <c r="B791" s="7" t="s">
        <v>1905</v>
      </c>
      <c r="C791" s="8" t="s">
        <v>483</v>
      </c>
      <c r="D791" s="8" t="s">
        <v>1906</v>
      </c>
      <c r="E791" s="8" t="s">
        <v>150</v>
      </c>
      <c r="F791" s="8" t="s">
        <v>59</v>
      </c>
      <c r="G791" s="8" t="s">
        <v>1907</v>
      </c>
    </row>
    <row r="792" spans="1:7" ht="15" customHeight="1" x14ac:dyDescent="0.25">
      <c r="A792" s="7" t="s">
        <v>1908</v>
      </c>
      <c r="B792" s="7" t="s">
        <v>1840</v>
      </c>
      <c r="C792" s="8" t="s">
        <v>1909</v>
      </c>
      <c r="D792" s="8" t="s">
        <v>1910</v>
      </c>
      <c r="E792" s="8" t="s">
        <v>350</v>
      </c>
      <c r="F792" s="8" t="s">
        <v>86</v>
      </c>
      <c r="G792" s="8" t="s">
        <v>1911</v>
      </c>
    </row>
    <row r="793" spans="1:7" ht="15" customHeight="1" x14ac:dyDescent="0.25">
      <c r="A793" s="7" t="s">
        <v>1912</v>
      </c>
      <c r="B793" s="7" t="s">
        <v>1449</v>
      </c>
      <c r="C793" s="8" t="s">
        <v>1446</v>
      </c>
      <c r="D793" s="8" t="s">
        <v>1913</v>
      </c>
      <c r="E793" s="8" t="s">
        <v>150</v>
      </c>
      <c r="F793" s="8" t="s">
        <v>86</v>
      </c>
      <c r="G793" s="8" t="s">
        <v>1914</v>
      </c>
    </row>
    <row r="794" spans="1:7" ht="15" customHeight="1" x14ac:dyDescent="0.25">
      <c r="A794" s="7" t="s">
        <v>1915</v>
      </c>
      <c r="B794" s="7" t="s">
        <v>1467</v>
      </c>
      <c r="C794" s="8" t="s">
        <v>165</v>
      </c>
      <c r="D794" s="8" t="s">
        <v>149</v>
      </c>
      <c r="E794" s="8" t="s">
        <v>131</v>
      </c>
      <c r="F794" s="8" t="s">
        <v>86</v>
      </c>
      <c r="G794" s="8" t="s">
        <v>1916</v>
      </c>
    </row>
    <row r="795" spans="1:7" ht="15" customHeight="1" x14ac:dyDescent="0.25">
      <c r="A795" s="7" t="s">
        <v>1917</v>
      </c>
      <c r="B795" s="7" t="s">
        <v>1524</v>
      </c>
      <c r="C795" s="8" t="s">
        <v>1918</v>
      </c>
      <c r="D795" s="8" t="s">
        <v>1919</v>
      </c>
      <c r="E795" s="8" t="s">
        <v>797</v>
      </c>
      <c r="F795" s="8" t="s">
        <v>86</v>
      </c>
      <c r="G795" s="8" t="s">
        <v>1920</v>
      </c>
    </row>
    <row r="796" spans="1:7" ht="15" customHeight="1" x14ac:dyDescent="0.25">
      <c r="A796" s="7" t="s">
        <v>1921</v>
      </c>
      <c r="B796" s="7" t="s">
        <v>1922</v>
      </c>
      <c r="C796" s="8" t="s">
        <v>806</v>
      </c>
      <c r="D796" s="8" t="s">
        <v>1923</v>
      </c>
      <c r="E796" s="8" t="s">
        <v>64</v>
      </c>
      <c r="F796" s="8" t="s">
        <v>65</v>
      </c>
      <c r="G796" s="8" t="s">
        <v>1924</v>
      </c>
    </row>
    <row r="797" spans="1:7" ht="15" customHeight="1" x14ac:dyDescent="0.25">
      <c r="A797" s="7" t="s">
        <v>1925</v>
      </c>
      <c r="B797" s="7" t="s">
        <v>1794</v>
      </c>
      <c r="C797" s="8" t="s">
        <v>57</v>
      </c>
      <c r="D797" s="8" t="s">
        <v>79</v>
      </c>
      <c r="E797" s="8" t="s">
        <v>107</v>
      </c>
      <c r="F797" s="8" t="s">
        <v>65</v>
      </c>
      <c r="G797" s="8" t="s">
        <v>1926</v>
      </c>
    </row>
    <row r="798" spans="1:7" ht="15" customHeight="1" x14ac:dyDescent="0.25">
      <c r="A798" s="7" t="s">
        <v>1927</v>
      </c>
      <c r="B798" s="7" t="s">
        <v>1821</v>
      </c>
      <c r="C798" s="8" t="s">
        <v>388</v>
      </c>
      <c r="D798" s="8" t="s">
        <v>69</v>
      </c>
      <c r="E798" s="8" t="s">
        <v>76</v>
      </c>
      <c r="F798" s="8" t="s">
        <v>65</v>
      </c>
      <c r="G798" s="8" t="s">
        <v>1928</v>
      </c>
    </row>
    <row r="799" spans="1:7" ht="15" customHeight="1" x14ac:dyDescent="0.25">
      <c r="A799" s="7" t="s">
        <v>1929</v>
      </c>
      <c r="B799" s="7" t="s">
        <v>1930</v>
      </c>
      <c r="C799" s="8" t="s">
        <v>69</v>
      </c>
      <c r="D799" s="8" t="s">
        <v>149</v>
      </c>
      <c r="E799" s="8" t="s">
        <v>70</v>
      </c>
      <c r="F799" s="8" t="s">
        <v>28</v>
      </c>
      <c r="G799" s="8" t="s">
        <v>1931</v>
      </c>
    </row>
    <row r="800" spans="1:7" ht="15" customHeight="1" x14ac:dyDescent="0.25">
      <c r="A800" s="7" t="s">
        <v>1932</v>
      </c>
      <c r="B800" s="7" t="s">
        <v>1349</v>
      </c>
      <c r="C800" s="8" t="s">
        <v>1933</v>
      </c>
      <c r="D800" s="8" t="s">
        <v>63</v>
      </c>
      <c r="E800" s="8" t="s">
        <v>251</v>
      </c>
      <c r="F800" s="8" t="s">
        <v>65</v>
      </c>
      <c r="G800" s="8" t="s">
        <v>1934</v>
      </c>
    </row>
    <row r="801" spans="1:7" ht="15" customHeight="1" x14ac:dyDescent="0.25">
      <c r="A801" s="7" t="s">
        <v>1935</v>
      </c>
      <c r="B801" s="7" t="s">
        <v>1449</v>
      </c>
      <c r="C801" s="8" t="s">
        <v>90</v>
      </c>
      <c r="D801" s="8" t="s">
        <v>250</v>
      </c>
      <c r="E801" s="8" t="s">
        <v>463</v>
      </c>
      <c r="F801" s="8" t="s">
        <v>28</v>
      </c>
      <c r="G801" s="8" t="s">
        <v>1936</v>
      </c>
    </row>
    <row r="802" spans="1:7" ht="15" customHeight="1" x14ac:dyDescent="0.25">
      <c r="A802" s="7" t="s">
        <v>1937</v>
      </c>
      <c r="B802" s="7" t="s">
        <v>1496</v>
      </c>
      <c r="C802" s="8" t="s">
        <v>1938</v>
      </c>
      <c r="D802" s="8" t="s">
        <v>43</v>
      </c>
      <c r="E802" s="8" t="s">
        <v>336</v>
      </c>
      <c r="F802" s="8" t="s">
        <v>363</v>
      </c>
      <c r="G802" s="8" t="s">
        <v>1939</v>
      </c>
    </row>
    <row r="803" spans="1:7" ht="15" customHeight="1" x14ac:dyDescent="0.25">
      <c r="A803" s="7" t="s">
        <v>1940</v>
      </c>
      <c r="B803" s="7" t="s">
        <v>1941</v>
      </c>
      <c r="C803" s="8" t="s">
        <v>243</v>
      </c>
      <c r="D803" s="8" t="s">
        <v>1942</v>
      </c>
      <c r="E803" s="8" t="s">
        <v>103</v>
      </c>
      <c r="F803" s="8" t="s">
        <v>65</v>
      </c>
      <c r="G803" s="8" t="s">
        <v>1943</v>
      </c>
    </row>
    <row r="804" spans="1:7" ht="15" customHeight="1" x14ac:dyDescent="0.25">
      <c r="A804" s="7" t="s">
        <v>154</v>
      </c>
      <c r="B804" s="7" t="s">
        <v>24</v>
      </c>
      <c r="C804" s="8" t="s">
        <v>31</v>
      </c>
      <c r="D804" s="8" t="s">
        <v>155</v>
      </c>
      <c r="E804" s="8" t="s">
        <v>156</v>
      </c>
      <c r="F804" s="8" t="s">
        <v>119</v>
      </c>
      <c r="G804" s="8" t="s">
        <v>157</v>
      </c>
    </row>
    <row r="805" spans="1:7" ht="15" customHeight="1" x14ac:dyDescent="0.25">
      <c r="A805" s="7" t="s">
        <v>1944</v>
      </c>
      <c r="B805" s="7" t="s">
        <v>1945</v>
      </c>
      <c r="C805" s="8" t="s">
        <v>51</v>
      </c>
      <c r="D805" s="8" t="s">
        <v>57</v>
      </c>
      <c r="E805" s="8" t="s">
        <v>131</v>
      </c>
      <c r="F805" s="8" t="s">
        <v>59</v>
      </c>
      <c r="G805" s="8" t="s">
        <v>1946</v>
      </c>
    </row>
    <row r="806" spans="1:7" ht="15" customHeight="1" x14ac:dyDescent="0.25">
      <c r="A806" s="7" t="s">
        <v>1947</v>
      </c>
      <c r="B806" s="7" t="s">
        <v>1634</v>
      </c>
      <c r="C806" s="8" t="s">
        <v>117</v>
      </c>
      <c r="D806" s="8" t="s">
        <v>1948</v>
      </c>
      <c r="E806" s="8" t="s">
        <v>27</v>
      </c>
      <c r="F806" s="8" t="s">
        <v>28</v>
      </c>
      <c r="G806" s="8" t="s">
        <v>1949</v>
      </c>
    </row>
    <row r="807" spans="1:7" ht="15" customHeight="1" x14ac:dyDescent="0.25">
      <c r="A807" s="7" t="s">
        <v>1950</v>
      </c>
      <c r="B807" s="7" t="s">
        <v>1951</v>
      </c>
      <c r="C807" s="8" t="s">
        <v>1952</v>
      </c>
      <c r="D807" s="8" t="s">
        <v>69</v>
      </c>
      <c r="E807" s="8" t="s">
        <v>352</v>
      </c>
      <c r="F807" s="8" t="s">
        <v>34</v>
      </c>
      <c r="G807" s="8" t="s">
        <v>400</v>
      </c>
    </row>
    <row r="808" spans="1:7" ht="15" customHeight="1" x14ac:dyDescent="0.25">
      <c r="A808" s="7" t="s">
        <v>1953</v>
      </c>
      <c r="B808" s="7" t="s">
        <v>1818</v>
      </c>
      <c r="C808" s="8" t="s">
        <v>69</v>
      </c>
      <c r="D808" s="8" t="s">
        <v>1942</v>
      </c>
      <c r="E808" s="8" t="s">
        <v>94</v>
      </c>
      <c r="F808" s="8" t="s">
        <v>59</v>
      </c>
      <c r="G808" s="8" t="s">
        <v>1954</v>
      </c>
    </row>
    <row r="809" spans="1:7" ht="15" customHeight="1" x14ac:dyDescent="0.25">
      <c r="A809" s="7" t="s">
        <v>1955</v>
      </c>
      <c r="B809" s="7" t="s">
        <v>1453</v>
      </c>
      <c r="C809" s="8" t="s">
        <v>1956</v>
      </c>
      <c r="D809" s="8" t="s">
        <v>69</v>
      </c>
      <c r="E809" s="8" t="s">
        <v>228</v>
      </c>
      <c r="F809" s="8" t="s">
        <v>59</v>
      </c>
      <c r="G809" s="8" t="s">
        <v>1636</v>
      </c>
    </row>
    <row r="810" spans="1:7" ht="15" customHeight="1" x14ac:dyDescent="0.25">
      <c r="A810" s="7" t="s">
        <v>1957</v>
      </c>
      <c r="B810" s="7" t="s">
        <v>1958</v>
      </c>
      <c r="C810" s="8" t="s">
        <v>172</v>
      </c>
      <c r="D810" s="8" t="s">
        <v>172</v>
      </c>
      <c r="E810" s="8" t="s">
        <v>166</v>
      </c>
      <c r="F810" s="8" t="s">
        <v>65</v>
      </c>
      <c r="G810" s="8" t="s">
        <v>1959</v>
      </c>
    </row>
    <row r="811" spans="1:7" ht="15" customHeight="1" x14ac:dyDescent="0.25">
      <c r="A811" s="7" t="s">
        <v>1960</v>
      </c>
      <c r="B811" s="7" t="s">
        <v>1616</v>
      </c>
      <c r="C811" s="8" t="s">
        <v>250</v>
      </c>
      <c r="D811" s="8" t="s">
        <v>285</v>
      </c>
      <c r="E811" s="8" t="s">
        <v>70</v>
      </c>
      <c r="F811" s="8" t="s">
        <v>119</v>
      </c>
      <c r="G811" s="8" t="s">
        <v>1961</v>
      </c>
    </row>
    <row r="812" spans="1:7" ht="15" customHeight="1" x14ac:dyDescent="0.25">
      <c r="A812" s="7" t="s">
        <v>1962</v>
      </c>
      <c r="B812" s="7" t="s">
        <v>1963</v>
      </c>
      <c r="C812" s="8" t="s">
        <v>1964</v>
      </c>
      <c r="D812" s="8" t="s">
        <v>807</v>
      </c>
      <c r="E812" s="8" t="s">
        <v>127</v>
      </c>
      <c r="F812" s="8" t="s">
        <v>119</v>
      </c>
      <c r="G812" s="8" t="s">
        <v>1965</v>
      </c>
    </row>
    <row r="813" spans="1:7" ht="15" customHeight="1" x14ac:dyDescent="0.25">
      <c r="A813" s="7" t="s">
        <v>1966</v>
      </c>
      <c r="B813" s="7" t="s">
        <v>1840</v>
      </c>
      <c r="C813" s="8" t="s">
        <v>1967</v>
      </c>
      <c r="D813" s="8" t="s">
        <v>1968</v>
      </c>
      <c r="E813" s="8" t="s">
        <v>942</v>
      </c>
      <c r="F813" s="8" t="s">
        <v>59</v>
      </c>
      <c r="G813" s="8" t="s">
        <v>446</v>
      </c>
    </row>
    <row r="814" spans="1:7" ht="15" customHeight="1" x14ac:dyDescent="0.25">
      <c r="A814" s="7" t="s">
        <v>1969</v>
      </c>
      <c r="B814" s="7" t="s">
        <v>1461</v>
      </c>
      <c r="C814" s="8" t="s">
        <v>1553</v>
      </c>
      <c r="D814" s="8" t="s">
        <v>909</v>
      </c>
      <c r="E814" s="8" t="s">
        <v>1114</v>
      </c>
      <c r="F814" s="8" t="s">
        <v>65</v>
      </c>
      <c r="G814" s="8" t="s">
        <v>1970</v>
      </c>
    </row>
    <row r="815" spans="1:7" ht="15" customHeight="1" x14ac:dyDescent="0.25">
      <c r="A815" s="7" t="s">
        <v>1971</v>
      </c>
      <c r="B815" s="7" t="s">
        <v>1004</v>
      </c>
      <c r="C815" s="8" t="s">
        <v>57</v>
      </c>
      <c r="D815" s="8" t="s">
        <v>250</v>
      </c>
      <c r="E815" s="8" t="s">
        <v>200</v>
      </c>
      <c r="F815" s="8" t="s">
        <v>214</v>
      </c>
      <c r="G815" s="8" t="s">
        <v>1972</v>
      </c>
    </row>
    <row r="816" spans="1:7" ht="15" customHeight="1" x14ac:dyDescent="0.25">
      <c r="A816" s="7" t="s">
        <v>1973</v>
      </c>
      <c r="B816" s="7" t="s">
        <v>1593</v>
      </c>
      <c r="C816" s="8" t="s">
        <v>57</v>
      </c>
      <c r="D816" s="8" t="s">
        <v>69</v>
      </c>
      <c r="E816" s="8" t="s">
        <v>70</v>
      </c>
      <c r="F816" s="8" t="s">
        <v>86</v>
      </c>
      <c r="G816" s="8" t="s">
        <v>1974</v>
      </c>
    </row>
    <row r="817" spans="1:7" ht="15" customHeight="1" x14ac:dyDescent="0.25">
      <c r="A817" s="7" t="s">
        <v>1975</v>
      </c>
      <c r="B817" s="7" t="s">
        <v>1524</v>
      </c>
      <c r="C817" s="8" t="s">
        <v>1976</v>
      </c>
      <c r="D817" s="8" t="s">
        <v>279</v>
      </c>
      <c r="E817" s="8" t="s">
        <v>182</v>
      </c>
      <c r="F817" s="8" t="s">
        <v>119</v>
      </c>
      <c r="G817" s="8" t="s">
        <v>1977</v>
      </c>
    </row>
    <row r="818" spans="1:7" ht="15" customHeight="1" x14ac:dyDescent="0.25">
      <c r="A818" s="7" t="s">
        <v>1978</v>
      </c>
      <c r="B818" s="7" t="s">
        <v>1979</v>
      </c>
      <c r="C818" s="8" t="s">
        <v>57</v>
      </c>
      <c r="D818" s="8" t="s">
        <v>79</v>
      </c>
      <c r="E818" s="8" t="s">
        <v>107</v>
      </c>
      <c r="F818" s="8" t="s">
        <v>39</v>
      </c>
      <c r="G818" s="8" t="s">
        <v>1980</v>
      </c>
    </row>
    <row r="819" spans="1:7" ht="15" customHeight="1" x14ac:dyDescent="0.25">
      <c r="A819" s="7" t="s">
        <v>1981</v>
      </c>
      <c r="B819" s="7" t="s">
        <v>1453</v>
      </c>
      <c r="C819" s="8" t="s">
        <v>106</v>
      </c>
      <c r="D819" s="8" t="s">
        <v>678</v>
      </c>
      <c r="E819" s="8" t="s">
        <v>453</v>
      </c>
      <c r="F819" s="8" t="s">
        <v>34</v>
      </c>
      <c r="G819" s="8" t="s">
        <v>1982</v>
      </c>
    </row>
    <row r="820" spans="1:7" ht="15" customHeight="1" x14ac:dyDescent="0.25">
      <c r="A820" s="7" t="s">
        <v>158</v>
      </c>
      <c r="B820" s="7" t="s">
        <v>24</v>
      </c>
      <c r="C820" s="8" t="s">
        <v>159</v>
      </c>
      <c r="D820" s="8" t="s">
        <v>57</v>
      </c>
      <c r="E820" s="8" t="s">
        <v>27</v>
      </c>
      <c r="F820" s="8" t="s">
        <v>34</v>
      </c>
      <c r="G820" s="8" t="s">
        <v>1983</v>
      </c>
    </row>
    <row r="821" spans="1:7" ht="15" customHeight="1" x14ac:dyDescent="0.25">
      <c r="A821" s="7" t="s">
        <v>1984</v>
      </c>
      <c r="B821" s="7" t="s">
        <v>1524</v>
      </c>
      <c r="C821" s="8" t="s">
        <v>1985</v>
      </c>
      <c r="D821" s="8" t="s">
        <v>1986</v>
      </c>
      <c r="E821" s="8" t="s">
        <v>350</v>
      </c>
      <c r="F821" s="8" t="s">
        <v>86</v>
      </c>
      <c r="G821" s="8" t="s">
        <v>1987</v>
      </c>
    </row>
    <row r="822" spans="1:7" ht="15" customHeight="1" x14ac:dyDescent="0.25">
      <c r="A822" s="7" t="s">
        <v>1988</v>
      </c>
      <c r="B822" s="7" t="s">
        <v>1772</v>
      </c>
      <c r="C822" s="8" t="s">
        <v>63</v>
      </c>
      <c r="D822" s="8" t="s">
        <v>1603</v>
      </c>
      <c r="E822" s="8" t="s">
        <v>118</v>
      </c>
      <c r="F822" s="8" t="s">
        <v>476</v>
      </c>
      <c r="G822" s="8" t="s">
        <v>1989</v>
      </c>
    </row>
    <row r="823" spans="1:7" ht="15" customHeight="1" x14ac:dyDescent="0.25">
      <c r="A823" s="7" t="s">
        <v>1990</v>
      </c>
      <c r="B823" s="7" t="s">
        <v>1449</v>
      </c>
      <c r="C823" s="8" t="s">
        <v>1991</v>
      </c>
      <c r="D823" s="8" t="s">
        <v>1992</v>
      </c>
      <c r="E823" s="8" t="s">
        <v>76</v>
      </c>
      <c r="F823" s="8" t="s">
        <v>86</v>
      </c>
      <c r="G823" s="8" t="s">
        <v>1993</v>
      </c>
    </row>
    <row r="824" spans="1:7" ht="15" customHeight="1" x14ac:dyDescent="0.25">
      <c r="A824" s="7" t="s">
        <v>1994</v>
      </c>
      <c r="B824" s="7" t="s">
        <v>1490</v>
      </c>
      <c r="C824" s="8" t="s">
        <v>1923</v>
      </c>
      <c r="D824" s="8" t="s">
        <v>1995</v>
      </c>
      <c r="E824" s="8" t="s">
        <v>1009</v>
      </c>
      <c r="F824" s="8" t="s">
        <v>86</v>
      </c>
      <c r="G824" s="8" t="s">
        <v>1996</v>
      </c>
    </row>
    <row r="825" spans="1:7" ht="15" customHeight="1" x14ac:dyDescent="0.25">
      <c r="A825" s="7" t="s">
        <v>161</v>
      </c>
      <c r="B825" s="7" t="s">
        <v>24</v>
      </c>
      <c r="C825" s="8" t="s">
        <v>162</v>
      </c>
      <c r="D825" s="8" t="s">
        <v>26</v>
      </c>
      <c r="E825" s="8" t="s">
        <v>58</v>
      </c>
      <c r="F825" s="8" t="s">
        <v>65</v>
      </c>
      <c r="G825" s="8" t="s">
        <v>163</v>
      </c>
    </row>
    <row r="826" spans="1:7" ht="15" customHeight="1" x14ac:dyDescent="0.25">
      <c r="A826" s="7" t="s">
        <v>1997</v>
      </c>
      <c r="B826" s="7" t="s">
        <v>1616</v>
      </c>
      <c r="C826" s="8" t="s">
        <v>117</v>
      </c>
      <c r="D826" s="8" t="s">
        <v>1998</v>
      </c>
      <c r="E826" s="8" t="s">
        <v>107</v>
      </c>
      <c r="F826" s="8" t="s">
        <v>65</v>
      </c>
      <c r="G826" s="8" t="s">
        <v>1999</v>
      </c>
    </row>
    <row r="827" spans="1:7" ht="15" customHeight="1" x14ac:dyDescent="0.25">
      <c r="A827" s="7" t="s">
        <v>2000</v>
      </c>
      <c r="B827" s="7" t="s">
        <v>1707</v>
      </c>
      <c r="C827" s="8" t="s">
        <v>2001</v>
      </c>
      <c r="D827" s="8" t="s">
        <v>2002</v>
      </c>
      <c r="E827" s="8" t="s">
        <v>1078</v>
      </c>
      <c r="F827" s="8" t="s">
        <v>86</v>
      </c>
      <c r="G827" s="8" t="s">
        <v>2003</v>
      </c>
    </row>
    <row r="828" spans="1:7" ht="15" customHeight="1" x14ac:dyDescent="0.25">
      <c r="A828" s="7" t="s">
        <v>2004</v>
      </c>
      <c r="B828" s="7" t="s">
        <v>1461</v>
      </c>
      <c r="C828" s="8" t="s">
        <v>165</v>
      </c>
      <c r="D828" s="8" t="s">
        <v>165</v>
      </c>
      <c r="E828" s="8" t="s">
        <v>166</v>
      </c>
      <c r="F828" s="8" t="s">
        <v>34</v>
      </c>
      <c r="G828" s="8" t="s">
        <v>2005</v>
      </c>
    </row>
    <row r="829" spans="1:7" ht="15" customHeight="1" x14ac:dyDescent="0.25">
      <c r="A829" s="7" t="s">
        <v>2006</v>
      </c>
      <c r="B829" s="7" t="s">
        <v>964</v>
      </c>
      <c r="C829" s="8" t="s">
        <v>149</v>
      </c>
      <c r="D829" s="8" t="s">
        <v>279</v>
      </c>
      <c r="E829" s="8" t="s">
        <v>328</v>
      </c>
      <c r="F829" s="8" t="s">
        <v>28</v>
      </c>
      <c r="G829" s="8" t="s">
        <v>2007</v>
      </c>
    </row>
    <row r="830" spans="1:7" ht="15" customHeight="1" x14ac:dyDescent="0.25">
      <c r="A830" s="7" t="s">
        <v>2008</v>
      </c>
      <c r="B830" s="7" t="s">
        <v>2009</v>
      </c>
      <c r="C830" s="8" t="s">
        <v>1214</v>
      </c>
      <c r="D830" s="8" t="s">
        <v>2010</v>
      </c>
      <c r="E830" s="8" t="s">
        <v>211</v>
      </c>
      <c r="F830" s="8" t="s">
        <v>363</v>
      </c>
      <c r="G830" s="8" t="s">
        <v>2011</v>
      </c>
    </row>
    <row r="831" spans="1:7" ht="15" customHeight="1" x14ac:dyDescent="0.25">
      <c r="A831" s="7" t="s">
        <v>2012</v>
      </c>
      <c r="B831" s="7" t="s">
        <v>2013</v>
      </c>
      <c r="C831" s="8" t="s">
        <v>159</v>
      </c>
      <c r="D831" s="8" t="s">
        <v>57</v>
      </c>
      <c r="E831" s="8" t="s">
        <v>27</v>
      </c>
      <c r="F831" s="8" t="s">
        <v>59</v>
      </c>
      <c r="G831" s="8" t="s">
        <v>2014</v>
      </c>
    </row>
    <row r="832" spans="1:7" ht="15" customHeight="1" x14ac:dyDescent="0.25">
      <c r="A832" s="7" t="s">
        <v>2015</v>
      </c>
      <c r="B832" s="7" t="s">
        <v>1520</v>
      </c>
      <c r="C832" s="8" t="s">
        <v>2016</v>
      </c>
      <c r="D832" s="8" t="s">
        <v>2017</v>
      </c>
      <c r="E832" s="8" t="s">
        <v>127</v>
      </c>
      <c r="F832" s="8" t="s">
        <v>28</v>
      </c>
      <c r="G832" s="8" t="s">
        <v>2018</v>
      </c>
    </row>
    <row r="833" spans="1:7" ht="15" customHeight="1" x14ac:dyDescent="0.25">
      <c r="A833" s="7" t="s">
        <v>2019</v>
      </c>
      <c r="B833" s="7" t="s">
        <v>1559</v>
      </c>
      <c r="C833" s="8" t="s">
        <v>32</v>
      </c>
      <c r="D833" s="8" t="s">
        <v>750</v>
      </c>
      <c r="E833" s="8" t="s">
        <v>58</v>
      </c>
      <c r="F833" s="8" t="s">
        <v>28</v>
      </c>
      <c r="G833" s="8" t="s">
        <v>2020</v>
      </c>
    </row>
    <row r="834" spans="1:7" ht="15" customHeight="1" x14ac:dyDescent="0.25">
      <c r="A834" s="7" t="s">
        <v>2021</v>
      </c>
      <c r="B834" s="7" t="s">
        <v>1859</v>
      </c>
      <c r="C834" s="8" t="s">
        <v>2022</v>
      </c>
      <c r="D834" s="8" t="s">
        <v>57</v>
      </c>
      <c r="E834" s="8" t="s">
        <v>136</v>
      </c>
      <c r="F834" s="8" t="s">
        <v>86</v>
      </c>
      <c r="G834" s="8" t="s">
        <v>2023</v>
      </c>
    </row>
    <row r="835" spans="1:7" ht="15" customHeight="1" x14ac:dyDescent="0.25">
      <c r="A835" s="7" t="s">
        <v>164</v>
      </c>
      <c r="B835" s="7" t="s">
        <v>24</v>
      </c>
      <c r="C835" s="8" t="s">
        <v>165</v>
      </c>
      <c r="D835" s="8" t="s">
        <v>165</v>
      </c>
      <c r="E835" s="8" t="s">
        <v>166</v>
      </c>
      <c r="F835" s="8" t="s">
        <v>65</v>
      </c>
      <c r="G835" s="8" t="s">
        <v>167</v>
      </c>
    </row>
    <row r="836" spans="1:7" ht="15" customHeight="1" x14ac:dyDescent="0.25">
      <c r="A836" s="7" t="s">
        <v>2024</v>
      </c>
      <c r="B836" s="7" t="s">
        <v>1445</v>
      </c>
      <c r="C836" s="8" t="s">
        <v>32</v>
      </c>
      <c r="D836" s="8" t="s">
        <v>2025</v>
      </c>
      <c r="E836" s="8" t="s">
        <v>350</v>
      </c>
      <c r="F836" s="8" t="s">
        <v>59</v>
      </c>
      <c r="G836" s="8" t="s">
        <v>2026</v>
      </c>
    </row>
    <row r="837" spans="1:7" ht="15" customHeight="1" x14ac:dyDescent="0.25">
      <c r="A837" s="7" t="s">
        <v>2027</v>
      </c>
      <c r="B837" s="7" t="s">
        <v>1500</v>
      </c>
      <c r="C837" s="8" t="s">
        <v>2028</v>
      </c>
      <c r="D837" s="8" t="s">
        <v>1645</v>
      </c>
      <c r="E837" s="8" t="s">
        <v>1009</v>
      </c>
      <c r="F837" s="8" t="s">
        <v>86</v>
      </c>
      <c r="G837" s="8" t="s">
        <v>2029</v>
      </c>
    </row>
    <row r="838" spans="1:7" ht="15" customHeight="1" x14ac:dyDescent="0.25">
      <c r="A838" s="7" t="s">
        <v>168</v>
      </c>
      <c r="B838" s="7" t="s">
        <v>24</v>
      </c>
      <c r="C838" s="8" t="s">
        <v>31</v>
      </c>
      <c r="D838" s="8" t="s">
        <v>69</v>
      </c>
      <c r="E838" s="8" t="s">
        <v>169</v>
      </c>
      <c r="F838" s="8" t="s">
        <v>39</v>
      </c>
      <c r="G838" s="8" t="s">
        <v>170</v>
      </c>
    </row>
    <row r="839" spans="1:7" ht="15" customHeight="1" x14ac:dyDescent="0.25">
      <c r="A839" s="7" t="s">
        <v>2030</v>
      </c>
      <c r="B839" s="7" t="s">
        <v>1673</v>
      </c>
      <c r="C839" s="8" t="s">
        <v>1639</v>
      </c>
      <c r="D839" s="8" t="s">
        <v>1639</v>
      </c>
      <c r="E839" s="8" t="s">
        <v>166</v>
      </c>
      <c r="F839" s="8" t="s">
        <v>39</v>
      </c>
      <c r="G839" s="8" t="s">
        <v>2031</v>
      </c>
    </row>
    <row r="840" spans="1:7" ht="15" customHeight="1" x14ac:dyDescent="0.25">
      <c r="A840" s="7" t="s">
        <v>2032</v>
      </c>
      <c r="B840" s="7" t="s">
        <v>1004</v>
      </c>
      <c r="C840" s="8" t="s">
        <v>31</v>
      </c>
      <c r="D840" s="8" t="s">
        <v>57</v>
      </c>
      <c r="E840" s="8" t="s">
        <v>94</v>
      </c>
      <c r="F840" s="8" t="s">
        <v>214</v>
      </c>
      <c r="G840" s="8" t="s">
        <v>2033</v>
      </c>
    </row>
    <row r="841" spans="1:7" ht="15" customHeight="1" x14ac:dyDescent="0.25">
      <c r="A841" s="7" t="s">
        <v>174</v>
      </c>
      <c r="B841" s="7" t="s">
        <v>24</v>
      </c>
      <c r="C841" s="8" t="s">
        <v>90</v>
      </c>
      <c r="D841" s="8" t="s">
        <v>175</v>
      </c>
      <c r="E841" s="8" t="s">
        <v>44</v>
      </c>
      <c r="F841" s="8" t="s">
        <v>86</v>
      </c>
      <c r="G841" s="8" t="s">
        <v>176</v>
      </c>
    </row>
    <row r="842" spans="1:7" ht="15" customHeight="1" x14ac:dyDescent="0.25">
      <c r="A842" s="7" t="s">
        <v>177</v>
      </c>
      <c r="B842" s="7" t="s">
        <v>24</v>
      </c>
      <c r="C842" s="8" t="s">
        <v>31</v>
      </c>
      <c r="D842" s="8" t="s">
        <v>69</v>
      </c>
      <c r="E842" s="8" t="s">
        <v>169</v>
      </c>
      <c r="F842" s="8" t="s">
        <v>34</v>
      </c>
      <c r="G842" s="8" t="s">
        <v>2034</v>
      </c>
    </row>
    <row r="843" spans="1:7" ht="15" customHeight="1" x14ac:dyDescent="0.25">
      <c r="A843" s="7" t="s">
        <v>2035</v>
      </c>
      <c r="B843" s="7" t="s">
        <v>2013</v>
      </c>
      <c r="C843" s="8" t="s">
        <v>51</v>
      </c>
      <c r="D843" s="8" t="s">
        <v>69</v>
      </c>
      <c r="E843" s="8" t="s">
        <v>53</v>
      </c>
      <c r="F843" s="8" t="s">
        <v>417</v>
      </c>
      <c r="G843" s="8" t="s">
        <v>2036</v>
      </c>
    </row>
    <row r="844" spans="1:7" ht="15" customHeight="1" x14ac:dyDescent="0.25">
      <c r="A844" s="7" t="s">
        <v>2037</v>
      </c>
      <c r="B844" s="7" t="s">
        <v>1453</v>
      </c>
      <c r="C844" s="8" t="s">
        <v>2038</v>
      </c>
      <c r="D844" s="8" t="s">
        <v>250</v>
      </c>
      <c r="E844" s="8" t="s">
        <v>85</v>
      </c>
      <c r="F844" s="8" t="s">
        <v>59</v>
      </c>
      <c r="G844" s="8" t="s">
        <v>2039</v>
      </c>
    </row>
    <row r="845" spans="1:7" ht="15" customHeight="1" x14ac:dyDescent="0.25">
      <c r="A845" s="7" t="s">
        <v>2040</v>
      </c>
      <c r="B845" s="7" t="s">
        <v>1794</v>
      </c>
      <c r="C845" s="8" t="s">
        <v>2041</v>
      </c>
      <c r="D845" s="8" t="s">
        <v>2042</v>
      </c>
      <c r="E845" s="8" t="s">
        <v>107</v>
      </c>
      <c r="F845" s="8" t="s">
        <v>59</v>
      </c>
      <c r="G845" s="8" t="s">
        <v>2043</v>
      </c>
    </row>
    <row r="846" spans="1:7" ht="15" customHeight="1" x14ac:dyDescent="0.25">
      <c r="A846" s="7" t="s">
        <v>2044</v>
      </c>
      <c r="B846" s="7" t="s">
        <v>2045</v>
      </c>
      <c r="C846" s="8" t="s">
        <v>377</v>
      </c>
      <c r="D846" s="8" t="s">
        <v>250</v>
      </c>
      <c r="E846" s="8" t="s">
        <v>33</v>
      </c>
      <c r="F846" s="8" t="s">
        <v>34</v>
      </c>
      <c r="G846" s="8" t="s">
        <v>2046</v>
      </c>
    </row>
    <row r="847" spans="1:7" ht="15" customHeight="1" x14ac:dyDescent="0.25">
      <c r="A847" s="7" t="s">
        <v>2047</v>
      </c>
      <c r="B847" s="7" t="s">
        <v>1449</v>
      </c>
      <c r="C847" s="8" t="s">
        <v>2048</v>
      </c>
      <c r="D847" s="8" t="s">
        <v>25</v>
      </c>
      <c r="E847" s="8" t="s">
        <v>1073</v>
      </c>
      <c r="F847" s="8" t="s">
        <v>59</v>
      </c>
      <c r="G847" s="8" t="s">
        <v>2049</v>
      </c>
    </row>
    <row r="848" spans="1:7" ht="15" customHeight="1" x14ac:dyDescent="0.25">
      <c r="A848" s="7" t="s">
        <v>2050</v>
      </c>
      <c r="B848" s="7" t="s">
        <v>1461</v>
      </c>
      <c r="C848" s="8" t="s">
        <v>344</v>
      </c>
      <c r="D848" s="8" t="s">
        <v>43</v>
      </c>
      <c r="E848" s="8" t="s">
        <v>228</v>
      </c>
      <c r="F848" s="8" t="s">
        <v>34</v>
      </c>
      <c r="G848" s="8" t="s">
        <v>2051</v>
      </c>
    </row>
    <row r="849" spans="1:7" ht="15" customHeight="1" x14ac:dyDescent="0.25">
      <c r="A849" s="7" t="s">
        <v>2052</v>
      </c>
      <c r="B849" s="7" t="s">
        <v>2053</v>
      </c>
      <c r="C849" s="8" t="s">
        <v>63</v>
      </c>
      <c r="D849" s="8" t="s">
        <v>2054</v>
      </c>
      <c r="E849" s="8" t="s">
        <v>144</v>
      </c>
      <c r="F849" s="8" t="s">
        <v>363</v>
      </c>
      <c r="G849" s="8" t="s">
        <v>2055</v>
      </c>
    </row>
    <row r="850" spans="1:7" ht="15" customHeight="1" x14ac:dyDescent="0.25">
      <c r="A850" s="7" t="s">
        <v>2056</v>
      </c>
      <c r="B850" s="7" t="s">
        <v>2057</v>
      </c>
      <c r="C850" s="8" t="s">
        <v>614</v>
      </c>
      <c r="D850" s="8" t="s">
        <v>250</v>
      </c>
      <c r="E850" s="8" t="s">
        <v>80</v>
      </c>
      <c r="F850" s="8" t="s">
        <v>65</v>
      </c>
      <c r="G850" s="8" t="s">
        <v>2058</v>
      </c>
    </row>
    <row r="851" spans="1:7" ht="15" customHeight="1" x14ac:dyDescent="0.25">
      <c r="A851" s="7" t="s">
        <v>2059</v>
      </c>
      <c r="B851" s="7" t="s">
        <v>1665</v>
      </c>
      <c r="C851" s="8" t="s">
        <v>2060</v>
      </c>
      <c r="D851" s="8" t="s">
        <v>1381</v>
      </c>
      <c r="E851" s="8" t="s">
        <v>1315</v>
      </c>
      <c r="F851" s="8" t="s">
        <v>28</v>
      </c>
      <c r="G851" s="8" t="s">
        <v>2061</v>
      </c>
    </row>
    <row r="852" spans="1:7" ht="15" customHeight="1" x14ac:dyDescent="0.25">
      <c r="A852" s="7" t="s">
        <v>2062</v>
      </c>
      <c r="B852" s="7" t="s">
        <v>2063</v>
      </c>
      <c r="C852" s="8" t="s">
        <v>1381</v>
      </c>
      <c r="D852" s="8" t="s">
        <v>1381</v>
      </c>
      <c r="E852" s="8" t="s">
        <v>166</v>
      </c>
      <c r="F852" s="8" t="s">
        <v>59</v>
      </c>
      <c r="G852" s="8" t="s">
        <v>2064</v>
      </c>
    </row>
    <row r="853" spans="1:7" ht="15" customHeight="1" x14ac:dyDescent="0.25">
      <c r="A853" s="7" t="s">
        <v>184</v>
      </c>
      <c r="B853" s="7" t="s">
        <v>24</v>
      </c>
      <c r="C853" s="8" t="s">
        <v>116</v>
      </c>
      <c r="D853" s="8" t="s">
        <v>149</v>
      </c>
      <c r="E853" s="8" t="s">
        <v>150</v>
      </c>
      <c r="F853" s="8" t="s">
        <v>28</v>
      </c>
      <c r="G853" s="8" t="s">
        <v>185</v>
      </c>
    </row>
    <row r="854" spans="1:7" ht="15" customHeight="1" x14ac:dyDescent="0.25">
      <c r="A854" s="7" t="s">
        <v>186</v>
      </c>
      <c r="B854" s="7" t="s">
        <v>24</v>
      </c>
      <c r="C854" s="8" t="s">
        <v>187</v>
      </c>
      <c r="D854" s="8" t="s">
        <v>188</v>
      </c>
      <c r="E854" s="8" t="s">
        <v>131</v>
      </c>
      <c r="F854" s="8" t="s">
        <v>119</v>
      </c>
      <c r="G854" s="8" t="s">
        <v>2065</v>
      </c>
    </row>
    <row r="855" spans="1:7" ht="15" customHeight="1" x14ac:dyDescent="0.25">
      <c r="A855" s="7" t="s">
        <v>2066</v>
      </c>
      <c r="B855" s="7" t="s">
        <v>1449</v>
      </c>
      <c r="C855" s="8" t="s">
        <v>682</v>
      </c>
      <c r="D855" s="8" t="s">
        <v>2017</v>
      </c>
      <c r="E855" s="8" t="s">
        <v>211</v>
      </c>
      <c r="F855" s="8" t="s">
        <v>476</v>
      </c>
      <c r="G855" s="8" t="s">
        <v>2067</v>
      </c>
    </row>
    <row r="856" spans="1:7" ht="15" customHeight="1" x14ac:dyDescent="0.25">
      <c r="A856" s="7" t="s">
        <v>2068</v>
      </c>
      <c r="B856" s="7" t="s">
        <v>2069</v>
      </c>
      <c r="C856" s="8" t="s">
        <v>172</v>
      </c>
      <c r="D856" s="8" t="s">
        <v>172</v>
      </c>
      <c r="E856" s="8" t="s">
        <v>166</v>
      </c>
      <c r="F856" s="8" t="s">
        <v>65</v>
      </c>
      <c r="G856" s="8" t="s">
        <v>2070</v>
      </c>
    </row>
    <row r="857" spans="1:7" ht="15" customHeight="1" x14ac:dyDescent="0.25">
      <c r="A857" s="7" t="s">
        <v>2071</v>
      </c>
      <c r="B857" s="7" t="s">
        <v>1449</v>
      </c>
      <c r="C857" s="8" t="s">
        <v>51</v>
      </c>
      <c r="D857" s="8" t="s">
        <v>106</v>
      </c>
      <c r="E857" s="8" t="s">
        <v>463</v>
      </c>
      <c r="F857" s="8" t="s">
        <v>34</v>
      </c>
      <c r="G857" s="8" t="s">
        <v>2072</v>
      </c>
    </row>
    <row r="858" spans="1:7" ht="15" customHeight="1" x14ac:dyDescent="0.25">
      <c r="A858" s="7" t="s">
        <v>2073</v>
      </c>
      <c r="B858" s="7" t="s">
        <v>1586</v>
      </c>
      <c r="C858" s="8" t="s">
        <v>2074</v>
      </c>
      <c r="D858" s="8" t="s">
        <v>1338</v>
      </c>
      <c r="E858" s="8" t="s">
        <v>1001</v>
      </c>
      <c r="F858" s="8" t="s">
        <v>28</v>
      </c>
      <c r="G858" s="8" t="s">
        <v>2075</v>
      </c>
    </row>
    <row r="859" spans="1:7" ht="15" customHeight="1" x14ac:dyDescent="0.25">
      <c r="A859" s="7" t="s">
        <v>198</v>
      </c>
      <c r="B859" s="7" t="s">
        <v>24</v>
      </c>
      <c r="C859" s="8" t="s">
        <v>199</v>
      </c>
      <c r="D859" s="8" t="s">
        <v>69</v>
      </c>
      <c r="E859" s="8" t="s">
        <v>200</v>
      </c>
      <c r="F859" s="8" t="s">
        <v>201</v>
      </c>
      <c r="G859" s="8" t="s">
        <v>202</v>
      </c>
    </row>
    <row r="860" spans="1:7" ht="15" customHeight="1" x14ac:dyDescent="0.25">
      <c r="A860" s="7" t="s">
        <v>2076</v>
      </c>
      <c r="B860" s="7" t="s">
        <v>1853</v>
      </c>
      <c r="C860" s="8" t="s">
        <v>2077</v>
      </c>
      <c r="D860" s="8" t="s">
        <v>411</v>
      </c>
      <c r="E860" s="8" t="s">
        <v>581</v>
      </c>
      <c r="F860" s="8" t="s">
        <v>65</v>
      </c>
      <c r="G860" s="8" t="s">
        <v>2078</v>
      </c>
    </row>
    <row r="861" spans="1:7" ht="15" customHeight="1" x14ac:dyDescent="0.25">
      <c r="A861" s="7" t="s">
        <v>2079</v>
      </c>
      <c r="B861" s="7" t="s">
        <v>1004</v>
      </c>
      <c r="C861" s="8" t="s">
        <v>195</v>
      </c>
      <c r="D861" s="8" t="s">
        <v>1613</v>
      </c>
      <c r="E861" s="8" t="s">
        <v>239</v>
      </c>
      <c r="F861" s="8" t="s">
        <v>123</v>
      </c>
      <c r="G861" s="8" t="s">
        <v>2080</v>
      </c>
    </row>
    <row r="862" spans="1:7" ht="15" customHeight="1" x14ac:dyDescent="0.25">
      <c r="A862" s="7" t="s">
        <v>2081</v>
      </c>
      <c r="B862" s="7" t="s">
        <v>1004</v>
      </c>
      <c r="C862" s="8" t="s">
        <v>57</v>
      </c>
      <c r="D862" s="8" t="s">
        <v>327</v>
      </c>
      <c r="E862" s="8" t="s">
        <v>228</v>
      </c>
      <c r="F862" s="8" t="s">
        <v>39</v>
      </c>
      <c r="G862" s="8" t="s">
        <v>1889</v>
      </c>
    </row>
    <row r="863" spans="1:7" ht="15" customHeight="1" x14ac:dyDescent="0.25">
      <c r="A863" s="7" t="s">
        <v>2082</v>
      </c>
      <c r="B863" s="7" t="s">
        <v>1593</v>
      </c>
      <c r="C863" s="8" t="s">
        <v>31</v>
      </c>
      <c r="D863" s="8" t="s">
        <v>57</v>
      </c>
      <c r="E863" s="8" t="s">
        <v>94</v>
      </c>
      <c r="F863" s="8" t="s">
        <v>65</v>
      </c>
      <c r="G863" s="8" t="s">
        <v>2083</v>
      </c>
    </row>
    <row r="864" spans="1:7" ht="15" customHeight="1" x14ac:dyDescent="0.25">
      <c r="A864" s="7" t="s">
        <v>2084</v>
      </c>
      <c r="B864" s="7" t="s">
        <v>964</v>
      </c>
      <c r="C864" s="8" t="s">
        <v>556</v>
      </c>
      <c r="D864" s="8" t="s">
        <v>1068</v>
      </c>
      <c r="E864" s="8" t="s">
        <v>206</v>
      </c>
      <c r="F864" s="8" t="s">
        <v>59</v>
      </c>
      <c r="G864" s="8" t="s">
        <v>2085</v>
      </c>
    </row>
    <row r="865" spans="1:7" ht="15" customHeight="1" x14ac:dyDescent="0.25">
      <c r="A865" s="7" t="s">
        <v>2086</v>
      </c>
      <c r="B865" s="7" t="s">
        <v>2087</v>
      </c>
      <c r="C865" s="8" t="s">
        <v>31</v>
      </c>
      <c r="D865" s="8" t="s">
        <v>69</v>
      </c>
      <c r="E865" s="8" t="s">
        <v>169</v>
      </c>
      <c r="F865" s="8" t="s">
        <v>28</v>
      </c>
      <c r="G865" s="8" t="s">
        <v>2088</v>
      </c>
    </row>
    <row r="866" spans="1:7" ht="15" customHeight="1" x14ac:dyDescent="0.25">
      <c r="A866" s="7" t="s">
        <v>2089</v>
      </c>
      <c r="B866" s="7" t="s">
        <v>989</v>
      </c>
      <c r="C866" s="8" t="s">
        <v>2090</v>
      </c>
      <c r="D866" s="8" t="s">
        <v>1021</v>
      </c>
      <c r="E866" s="8" t="s">
        <v>602</v>
      </c>
      <c r="F866" s="8" t="s">
        <v>119</v>
      </c>
      <c r="G866" s="8" t="s">
        <v>2091</v>
      </c>
    </row>
    <row r="867" spans="1:7" ht="15" customHeight="1" x14ac:dyDescent="0.25">
      <c r="A867" s="7" t="s">
        <v>2092</v>
      </c>
      <c r="B867" s="7" t="s">
        <v>964</v>
      </c>
      <c r="C867" s="8" t="s">
        <v>556</v>
      </c>
      <c r="D867" s="8" t="s">
        <v>444</v>
      </c>
      <c r="E867" s="8" t="s">
        <v>328</v>
      </c>
      <c r="F867" s="8" t="s">
        <v>34</v>
      </c>
      <c r="G867" s="8" t="s">
        <v>2093</v>
      </c>
    </row>
    <row r="868" spans="1:7" ht="15" customHeight="1" x14ac:dyDescent="0.25">
      <c r="A868" s="7" t="s">
        <v>2094</v>
      </c>
      <c r="B868" s="7" t="s">
        <v>1449</v>
      </c>
      <c r="C868" s="8" t="s">
        <v>2095</v>
      </c>
      <c r="D868" s="8" t="s">
        <v>2096</v>
      </c>
      <c r="E868" s="8" t="s">
        <v>70</v>
      </c>
      <c r="F868" s="8" t="s">
        <v>119</v>
      </c>
      <c r="G868" s="8" t="s">
        <v>2097</v>
      </c>
    </row>
    <row r="869" spans="1:7" ht="15" customHeight="1" x14ac:dyDescent="0.25">
      <c r="A869" s="7" t="s">
        <v>2098</v>
      </c>
      <c r="B869" s="7" t="s">
        <v>1004</v>
      </c>
      <c r="C869" s="8" t="s">
        <v>26</v>
      </c>
      <c r="D869" s="8" t="s">
        <v>1068</v>
      </c>
      <c r="E869" s="8" t="s">
        <v>627</v>
      </c>
      <c r="F869" s="8" t="s">
        <v>417</v>
      </c>
      <c r="G869" s="8" t="s">
        <v>2099</v>
      </c>
    </row>
    <row r="870" spans="1:7" ht="15" customHeight="1" x14ac:dyDescent="0.25">
      <c r="A870" s="7" t="s">
        <v>2100</v>
      </c>
      <c r="B870" s="7" t="s">
        <v>1665</v>
      </c>
      <c r="C870" s="8" t="s">
        <v>1666</v>
      </c>
      <c r="D870" s="8" t="s">
        <v>1667</v>
      </c>
      <c r="E870" s="8" t="s">
        <v>1668</v>
      </c>
      <c r="F870" s="8" t="s">
        <v>119</v>
      </c>
      <c r="G870" s="8" t="s">
        <v>2101</v>
      </c>
    </row>
    <row r="871" spans="1:7" ht="15" customHeight="1" x14ac:dyDescent="0.25">
      <c r="A871" s="7" t="s">
        <v>194</v>
      </c>
      <c r="B871" s="7" t="s">
        <v>68</v>
      </c>
      <c r="C871" s="8" t="s">
        <v>69</v>
      </c>
      <c r="D871" s="8" t="s">
        <v>195</v>
      </c>
      <c r="E871" s="8" t="s">
        <v>107</v>
      </c>
      <c r="F871" s="8" t="s">
        <v>65</v>
      </c>
      <c r="G871" s="8" t="s">
        <v>196</v>
      </c>
    </row>
    <row r="872" spans="1:7" ht="15" customHeight="1" x14ac:dyDescent="0.25">
      <c r="A872" s="7" t="s">
        <v>2102</v>
      </c>
      <c r="B872" s="7" t="s">
        <v>1569</v>
      </c>
      <c r="C872" s="8" t="s">
        <v>298</v>
      </c>
      <c r="D872" s="8" t="s">
        <v>69</v>
      </c>
      <c r="E872" s="8" t="s">
        <v>396</v>
      </c>
      <c r="F872" s="8" t="s">
        <v>201</v>
      </c>
      <c r="G872" s="8" t="s">
        <v>2103</v>
      </c>
    </row>
    <row r="873" spans="1:7" ht="15" customHeight="1" x14ac:dyDescent="0.25">
      <c r="A873" s="7" t="s">
        <v>2104</v>
      </c>
      <c r="B873" s="7" t="s">
        <v>1453</v>
      </c>
      <c r="C873" s="8" t="s">
        <v>2002</v>
      </c>
      <c r="D873" s="8" t="s">
        <v>57</v>
      </c>
      <c r="E873" s="8" t="s">
        <v>58</v>
      </c>
      <c r="F873" s="8" t="s">
        <v>59</v>
      </c>
      <c r="G873" s="8" t="s">
        <v>2105</v>
      </c>
    </row>
    <row r="874" spans="1:7" ht="15" customHeight="1" x14ac:dyDescent="0.25">
      <c r="A874" s="7" t="s">
        <v>2106</v>
      </c>
      <c r="B874" s="7" t="s">
        <v>1748</v>
      </c>
      <c r="C874" s="8" t="s">
        <v>149</v>
      </c>
      <c r="D874" s="8" t="s">
        <v>2107</v>
      </c>
      <c r="E874" s="8" t="s">
        <v>352</v>
      </c>
      <c r="F874" s="8" t="s">
        <v>363</v>
      </c>
      <c r="G874" s="8" t="s">
        <v>2108</v>
      </c>
    </row>
    <row r="875" spans="1:7" ht="15" customHeight="1" x14ac:dyDescent="0.25">
      <c r="A875" s="7" t="s">
        <v>2109</v>
      </c>
      <c r="B875" s="7" t="s">
        <v>2110</v>
      </c>
      <c r="C875" s="8" t="s">
        <v>314</v>
      </c>
      <c r="D875" s="8" t="s">
        <v>2111</v>
      </c>
      <c r="E875" s="8" t="s">
        <v>1456</v>
      </c>
      <c r="F875" s="8" t="s">
        <v>417</v>
      </c>
      <c r="G875" s="8" t="s">
        <v>2112</v>
      </c>
    </row>
    <row r="876" spans="1:7" ht="15" customHeight="1" x14ac:dyDescent="0.25">
      <c r="A876" s="7" t="s">
        <v>2113</v>
      </c>
      <c r="B876" s="7" t="s">
        <v>1616</v>
      </c>
      <c r="C876" s="8" t="s">
        <v>90</v>
      </c>
      <c r="D876" s="8" t="s">
        <v>1021</v>
      </c>
      <c r="E876" s="8" t="s">
        <v>70</v>
      </c>
      <c r="F876" s="8" t="s">
        <v>59</v>
      </c>
      <c r="G876" s="8" t="s">
        <v>2114</v>
      </c>
    </row>
    <row r="877" spans="1:7" ht="15" customHeight="1" x14ac:dyDescent="0.25">
      <c r="A877" s="7" t="s">
        <v>2115</v>
      </c>
      <c r="B877" s="7" t="s">
        <v>1593</v>
      </c>
      <c r="C877" s="8" t="s">
        <v>63</v>
      </c>
      <c r="D877" s="8" t="s">
        <v>2116</v>
      </c>
      <c r="E877" s="8" t="s">
        <v>131</v>
      </c>
      <c r="F877" s="8" t="s">
        <v>119</v>
      </c>
      <c r="G877" s="8" t="s">
        <v>2117</v>
      </c>
    </row>
    <row r="878" spans="1:7" ht="15" customHeight="1" x14ac:dyDescent="0.25">
      <c r="A878" s="7" t="s">
        <v>2118</v>
      </c>
      <c r="B878" s="7" t="s">
        <v>1453</v>
      </c>
      <c r="C878" s="8" t="s">
        <v>2119</v>
      </c>
      <c r="D878" s="8" t="s">
        <v>792</v>
      </c>
      <c r="E878" s="8" t="s">
        <v>1114</v>
      </c>
      <c r="F878" s="8" t="s">
        <v>86</v>
      </c>
      <c r="G878" s="8" t="s">
        <v>2120</v>
      </c>
    </row>
    <row r="879" spans="1:7" ht="15" customHeight="1" x14ac:dyDescent="0.25">
      <c r="A879" s="7" t="s">
        <v>2121</v>
      </c>
      <c r="B879" s="7" t="s">
        <v>1922</v>
      </c>
      <c r="C879" s="8" t="s">
        <v>2122</v>
      </c>
      <c r="D879" s="8" t="s">
        <v>2123</v>
      </c>
      <c r="E879" s="8" t="s">
        <v>346</v>
      </c>
      <c r="F879" s="8" t="s">
        <v>59</v>
      </c>
      <c r="G879" s="8" t="s">
        <v>2124</v>
      </c>
    </row>
    <row r="880" spans="1:7" ht="15" customHeight="1" x14ac:dyDescent="0.25">
      <c r="A880" s="7" t="s">
        <v>2125</v>
      </c>
      <c r="B880" s="7" t="s">
        <v>1830</v>
      </c>
      <c r="C880" s="8" t="s">
        <v>2001</v>
      </c>
      <c r="D880" s="8" t="s">
        <v>1625</v>
      </c>
      <c r="E880" s="8" t="s">
        <v>1134</v>
      </c>
      <c r="F880" s="8" t="s">
        <v>65</v>
      </c>
      <c r="G880" s="8" t="s">
        <v>2126</v>
      </c>
    </row>
    <row r="881" spans="1:7" ht="15" customHeight="1" x14ac:dyDescent="0.25">
      <c r="A881" s="7" t="s">
        <v>2127</v>
      </c>
      <c r="B881" s="7" t="s">
        <v>1004</v>
      </c>
      <c r="C881" s="8" t="s">
        <v>195</v>
      </c>
      <c r="D881" s="8" t="s">
        <v>2128</v>
      </c>
      <c r="E881" s="8" t="s">
        <v>33</v>
      </c>
      <c r="F881" s="8" t="s">
        <v>214</v>
      </c>
      <c r="G881" s="8" t="s">
        <v>2129</v>
      </c>
    </row>
    <row r="882" spans="1:7" ht="15" customHeight="1" x14ac:dyDescent="0.25">
      <c r="A882" s="7" t="s">
        <v>2130</v>
      </c>
      <c r="B882" s="7" t="s">
        <v>1930</v>
      </c>
      <c r="C882" s="8" t="s">
        <v>165</v>
      </c>
      <c r="D882" s="8" t="s">
        <v>69</v>
      </c>
      <c r="E882" s="8" t="s">
        <v>463</v>
      </c>
      <c r="F882" s="8" t="s">
        <v>34</v>
      </c>
      <c r="G882" s="8" t="s">
        <v>2131</v>
      </c>
    </row>
    <row r="883" spans="1:7" ht="15" customHeight="1" x14ac:dyDescent="0.25">
      <c r="A883" s="7" t="s">
        <v>203</v>
      </c>
      <c r="B883" s="7" t="s">
        <v>68</v>
      </c>
      <c r="C883" s="8" t="s">
        <v>204</v>
      </c>
      <c r="D883" s="8" t="s">
        <v>205</v>
      </c>
      <c r="E883" s="8" t="s">
        <v>206</v>
      </c>
      <c r="F883" s="8" t="s">
        <v>59</v>
      </c>
      <c r="G883" s="8" t="s">
        <v>207</v>
      </c>
    </row>
    <row r="884" spans="1:7" ht="15" customHeight="1" x14ac:dyDescent="0.25">
      <c r="A884" s="7" t="s">
        <v>2132</v>
      </c>
      <c r="B884" s="7" t="s">
        <v>1593</v>
      </c>
      <c r="C884" s="8" t="s">
        <v>1952</v>
      </c>
      <c r="D884" s="8" t="s">
        <v>90</v>
      </c>
      <c r="E884" s="8" t="s">
        <v>44</v>
      </c>
      <c r="F884" s="8" t="s">
        <v>119</v>
      </c>
      <c r="G884" s="8" t="s">
        <v>2133</v>
      </c>
    </row>
    <row r="885" spans="1:7" ht="15" customHeight="1" x14ac:dyDescent="0.25">
      <c r="A885" s="7" t="s">
        <v>2134</v>
      </c>
      <c r="B885" s="7" t="s">
        <v>1341</v>
      </c>
      <c r="C885" s="8" t="s">
        <v>250</v>
      </c>
      <c r="D885" s="8" t="s">
        <v>314</v>
      </c>
      <c r="E885" s="8" t="s">
        <v>80</v>
      </c>
      <c r="F885" s="8" t="s">
        <v>28</v>
      </c>
      <c r="G885" s="8" t="s">
        <v>2135</v>
      </c>
    </row>
    <row r="886" spans="1:7" ht="15" customHeight="1" x14ac:dyDescent="0.25">
      <c r="A886" s="7" t="s">
        <v>2136</v>
      </c>
      <c r="B886" s="7" t="s">
        <v>2057</v>
      </c>
      <c r="C886" s="8" t="s">
        <v>614</v>
      </c>
      <c r="D886" s="8" t="s">
        <v>556</v>
      </c>
      <c r="E886" s="8" t="s">
        <v>257</v>
      </c>
      <c r="F886" s="8" t="s">
        <v>65</v>
      </c>
      <c r="G886" s="8" t="s">
        <v>2137</v>
      </c>
    </row>
    <row r="887" spans="1:7" ht="15" customHeight="1" x14ac:dyDescent="0.25">
      <c r="A887" s="7" t="s">
        <v>216</v>
      </c>
      <c r="B887" s="7" t="s">
        <v>24</v>
      </c>
      <c r="C887" s="8" t="s">
        <v>31</v>
      </c>
      <c r="D887" s="8" t="s">
        <v>217</v>
      </c>
      <c r="E887" s="8" t="s">
        <v>70</v>
      </c>
      <c r="F887" s="8" t="s">
        <v>28</v>
      </c>
      <c r="G887" s="8" t="s">
        <v>218</v>
      </c>
    </row>
    <row r="888" spans="1:7" ht="15" customHeight="1" x14ac:dyDescent="0.25">
      <c r="A888" s="7" t="s">
        <v>2138</v>
      </c>
      <c r="B888" s="7" t="s">
        <v>1449</v>
      </c>
      <c r="C888" s="8" t="s">
        <v>1549</v>
      </c>
      <c r="D888" s="8" t="s">
        <v>2139</v>
      </c>
      <c r="E888" s="8" t="s">
        <v>1009</v>
      </c>
      <c r="F888" s="8" t="s">
        <v>476</v>
      </c>
      <c r="G888" s="8" t="s">
        <v>2140</v>
      </c>
    </row>
    <row r="889" spans="1:7" ht="15" customHeight="1" x14ac:dyDescent="0.25">
      <c r="A889" s="7" t="s">
        <v>2141</v>
      </c>
      <c r="B889" s="7" t="s">
        <v>1589</v>
      </c>
      <c r="C889" s="8" t="s">
        <v>2142</v>
      </c>
      <c r="D889" s="8" t="s">
        <v>2142</v>
      </c>
      <c r="E889" s="8" t="s">
        <v>166</v>
      </c>
      <c r="F889" s="8" t="s">
        <v>119</v>
      </c>
      <c r="G889" s="8" t="s">
        <v>2143</v>
      </c>
    </row>
    <row r="890" spans="1:7" ht="15" customHeight="1" x14ac:dyDescent="0.25">
      <c r="A890" s="7" t="s">
        <v>1348</v>
      </c>
      <c r="B890" s="7" t="s">
        <v>1349</v>
      </c>
      <c r="C890" s="8" t="s">
        <v>51</v>
      </c>
      <c r="D890" s="8" t="s">
        <v>51</v>
      </c>
      <c r="E890" s="8" t="s">
        <v>166</v>
      </c>
      <c r="F890" s="8" t="s">
        <v>65</v>
      </c>
      <c r="G890" s="8" t="s">
        <v>1350</v>
      </c>
    </row>
    <row r="891" spans="1:7" ht="15" customHeight="1" x14ac:dyDescent="0.25">
      <c r="A891" s="7" t="s">
        <v>2144</v>
      </c>
      <c r="B891" s="7" t="s">
        <v>1520</v>
      </c>
      <c r="C891" s="8" t="s">
        <v>1026</v>
      </c>
      <c r="D891" s="8" t="s">
        <v>250</v>
      </c>
      <c r="E891" s="8" t="s">
        <v>64</v>
      </c>
      <c r="F891" s="8" t="s">
        <v>59</v>
      </c>
      <c r="G891" s="8" t="s">
        <v>2145</v>
      </c>
    </row>
    <row r="892" spans="1:7" ht="15" customHeight="1" x14ac:dyDescent="0.25">
      <c r="A892" s="7" t="s">
        <v>2146</v>
      </c>
      <c r="B892" s="7" t="s">
        <v>1461</v>
      </c>
      <c r="C892" s="8" t="s">
        <v>57</v>
      </c>
      <c r="D892" s="8" t="s">
        <v>327</v>
      </c>
      <c r="E892" s="8" t="s">
        <v>228</v>
      </c>
      <c r="F892" s="8" t="s">
        <v>119</v>
      </c>
      <c r="G892" s="8" t="s">
        <v>2147</v>
      </c>
    </row>
    <row r="893" spans="1:7" ht="15" customHeight="1" x14ac:dyDescent="0.25">
      <c r="A893" s="7" t="s">
        <v>2148</v>
      </c>
      <c r="B893" s="7" t="s">
        <v>1004</v>
      </c>
      <c r="C893" s="8" t="s">
        <v>69</v>
      </c>
      <c r="D893" s="8" t="s">
        <v>2149</v>
      </c>
      <c r="E893" s="8" t="s">
        <v>598</v>
      </c>
      <c r="F893" s="8" t="s">
        <v>417</v>
      </c>
      <c r="G893" s="8" t="s">
        <v>2150</v>
      </c>
    </row>
    <row r="894" spans="1:7" ht="15" customHeight="1" x14ac:dyDescent="0.25">
      <c r="A894" s="7" t="s">
        <v>2151</v>
      </c>
      <c r="B894" s="7" t="s">
        <v>1963</v>
      </c>
      <c r="C894" s="8" t="s">
        <v>2152</v>
      </c>
      <c r="D894" s="8" t="s">
        <v>2153</v>
      </c>
      <c r="E894" s="8" t="s">
        <v>352</v>
      </c>
      <c r="F894" s="8" t="s">
        <v>86</v>
      </c>
      <c r="G894" s="8" t="s">
        <v>2154</v>
      </c>
    </row>
    <row r="895" spans="1:7" ht="15" customHeight="1" x14ac:dyDescent="0.25">
      <c r="A895" s="7" t="s">
        <v>2155</v>
      </c>
      <c r="B895" s="7" t="s">
        <v>1505</v>
      </c>
      <c r="C895" s="8" t="s">
        <v>1639</v>
      </c>
      <c r="D895" s="8" t="s">
        <v>1639</v>
      </c>
      <c r="E895" s="8" t="s">
        <v>166</v>
      </c>
      <c r="F895" s="8" t="s">
        <v>28</v>
      </c>
      <c r="G895" s="8" t="s">
        <v>2156</v>
      </c>
    </row>
    <row r="896" spans="1:7" ht="15" customHeight="1" x14ac:dyDescent="0.25">
      <c r="A896" s="7" t="s">
        <v>219</v>
      </c>
      <c r="B896" s="7" t="s">
        <v>68</v>
      </c>
      <c r="C896" s="8" t="s">
        <v>220</v>
      </c>
      <c r="D896" s="8" t="s">
        <v>221</v>
      </c>
      <c r="E896" s="8" t="s">
        <v>222</v>
      </c>
      <c r="F896" s="8" t="s">
        <v>86</v>
      </c>
      <c r="G896" s="8" t="s">
        <v>223</v>
      </c>
    </row>
    <row r="897" spans="1:7" ht="15" customHeight="1" x14ac:dyDescent="0.25">
      <c r="A897" s="7" t="s">
        <v>2157</v>
      </c>
      <c r="B897" s="7" t="s">
        <v>2158</v>
      </c>
      <c r="C897" s="8" t="s">
        <v>2001</v>
      </c>
      <c r="D897" s="8" t="s">
        <v>1625</v>
      </c>
      <c r="E897" s="8" t="s">
        <v>1134</v>
      </c>
      <c r="F897" s="8" t="s">
        <v>86</v>
      </c>
      <c r="G897" s="8" t="s">
        <v>2159</v>
      </c>
    </row>
    <row r="898" spans="1:7" ht="15" customHeight="1" x14ac:dyDescent="0.25">
      <c r="A898" s="7" t="s">
        <v>2160</v>
      </c>
      <c r="B898" s="7" t="s">
        <v>1213</v>
      </c>
      <c r="C898" s="8" t="s">
        <v>2161</v>
      </c>
      <c r="D898" s="8" t="s">
        <v>1068</v>
      </c>
      <c r="E898" s="8" t="s">
        <v>346</v>
      </c>
      <c r="F898" s="8" t="s">
        <v>28</v>
      </c>
      <c r="G898" s="8" t="s">
        <v>2162</v>
      </c>
    </row>
    <row r="899" spans="1:7" ht="15" customHeight="1" x14ac:dyDescent="0.25">
      <c r="A899" s="7" t="s">
        <v>2163</v>
      </c>
      <c r="B899" s="7" t="s">
        <v>1586</v>
      </c>
      <c r="C899" s="8" t="s">
        <v>1779</v>
      </c>
      <c r="D899" s="8" t="s">
        <v>1497</v>
      </c>
      <c r="E899" s="8" t="s">
        <v>144</v>
      </c>
      <c r="F899" s="8" t="s">
        <v>119</v>
      </c>
      <c r="G899" s="8" t="s">
        <v>2164</v>
      </c>
    </row>
    <row r="900" spans="1:7" ht="15" customHeight="1" x14ac:dyDescent="0.25">
      <c r="A900" s="7" t="s">
        <v>226</v>
      </c>
      <c r="B900" s="7" t="s">
        <v>24</v>
      </c>
      <c r="C900" s="8" t="s">
        <v>79</v>
      </c>
      <c r="D900" s="8" t="s">
        <v>227</v>
      </c>
      <c r="E900" s="8" t="s">
        <v>228</v>
      </c>
      <c r="F900" s="8" t="s">
        <v>65</v>
      </c>
      <c r="G900" s="8" t="s">
        <v>229</v>
      </c>
    </row>
    <row r="901" spans="1:7" ht="15" customHeight="1" x14ac:dyDescent="0.25">
      <c r="A901" s="7" t="s">
        <v>2165</v>
      </c>
      <c r="B901" s="7" t="s">
        <v>1634</v>
      </c>
      <c r="C901" s="8" t="s">
        <v>90</v>
      </c>
      <c r="D901" s="8" t="s">
        <v>220</v>
      </c>
      <c r="E901" s="8" t="s">
        <v>144</v>
      </c>
      <c r="F901" s="8" t="s">
        <v>363</v>
      </c>
      <c r="G901" s="8" t="s">
        <v>2166</v>
      </c>
    </row>
    <row r="902" spans="1:7" ht="15" customHeight="1" x14ac:dyDescent="0.25">
      <c r="A902" s="7" t="s">
        <v>2167</v>
      </c>
      <c r="B902" s="7" t="s">
        <v>2168</v>
      </c>
      <c r="C902" s="8" t="s">
        <v>32</v>
      </c>
      <c r="D902" s="8" t="s">
        <v>69</v>
      </c>
      <c r="E902" s="8" t="s">
        <v>58</v>
      </c>
      <c r="F902" s="8" t="s">
        <v>39</v>
      </c>
      <c r="G902" s="8" t="s">
        <v>2169</v>
      </c>
    </row>
    <row r="903" spans="1:7" ht="15" customHeight="1" x14ac:dyDescent="0.25">
      <c r="A903" s="7" t="s">
        <v>2170</v>
      </c>
      <c r="B903" s="7" t="s">
        <v>974</v>
      </c>
      <c r="C903" s="8" t="s">
        <v>889</v>
      </c>
      <c r="D903" s="8" t="s">
        <v>556</v>
      </c>
      <c r="E903" s="8" t="s">
        <v>27</v>
      </c>
      <c r="F903" s="8" t="s">
        <v>34</v>
      </c>
      <c r="G903" s="8" t="s">
        <v>1378</v>
      </c>
    </row>
    <row r="904" spans="1:7" ht="15" customHeight="1" x14ac:dyDescent="0.25">
      <c r="A904" s="7" t="s">
        <v>2171</v>
      </c>
      <c r="B904" s="7" t="s">
        <v>1748</v>
      </c>
      <c r="C904" s="8" t="s">
        <v>1942</v>
      </c>
      <c r="D904" s="8" t="s">
        <v>1096</v>
      </c>
      <c r="E904" s="8" t="s">
        <v>107</v>
      </c>
      <c r="F904" s="8" t="s">
        <v>59</v>
      </c>
      <c r="G904" s="8" t="s">
        <v>2172</v>
      </c>
    </row>
    <row r="905" spans="1:7" ht="15" customHeight="1" x14ac:dyDescent="0.25">
      <c r="A905" s="7" t="s">
        <v>2173</v>
      </c>
      <c r="B905" s="7" t="s">
        <v>1638</v>
      </c>
      <c r="C905" s="8" t="s">
        <v>2174</v>
      </c>
      <c r="D905" s="8" t="s">
        <v>2175</v>
      </c>
      <c r="E905" s="8" t="s">
        <v>136</v>
      </c>
      <c r="F905" s="8" t="s">
        <v>86</v>
      </c>
      <c r="G905" s="8" t="s">
        <v>2176</v>
      </c>
    </row>
    <row r="906" spans="1:7" ht="15" customHeight="1" x14ac:dyDescent="0.25">
      <c r="A906" s="7" t="s">
        <v>2177</v>
      </c>
      <c r="B906" s="7" t="s">
        <v>1589</v>
      </c>
      <c r="C906" s="8" t="s">
        <v>2175</v>
      </c>
      <c r="D906" s="8" t="s">
        <v>238</v>
      </c>
      <c r="E906" s="8" t="s">
        <v>97</v>
      </c>
      <c r="F906" s="8" t="s">
        <v>86</v>
      </c>
      <c r="G906" s="8" t="s">
        <v>2178</v>
      </c>
    </row>
    <row r="907" spans="1:7" ht="15" customHeight="1" x14ac:dyDescent="0.25">
      <c r="A907" s="7" t="s">
        <v>2179</v>
      </c>
      <c r="B907" s="7" t="s">
        <v>2013</v>
      </c>
      <c r="C907" s="8" t="s">
        <v>692</v>
      </c>
      <c r="D907" s="8" t="s">
        <v>2180</v>
      </c>
      <c r="E907" s="8" t="s">
        <v>76</v>
      </c>
      <c r="F907" s="8" t="s">
        <v>86</v>
      </c>
      <c r="G907" s="8" t="s">
        <v>2181</v>
      </c>
    </row>
    <row r="908" spans="1:7" ht="15" customHeight="1" x14ac:dyDescent="0.25">
      <c r="A908" s="7" t="s">
        <v>2182</v>
      </c>
      <c r="B908" s="7" t="s">
        <v>2183</v>
      </c>
      <c r="C908" s="8" t="s">
        <v>242</v>
      </c>
      <c r="D908" s="8" t="s">
        <v>69</v>
      </c>
      <c r="E908" s="8" t="s">
        <v>211</v>
      </c>
      <c r="F908" s="8" t="s">
        <v>417</v>
      </c>
      <c r="G908" s="8" t="s">
        <v>1139</v>
      </c>
    </row>
    <row r="909" spans="1:7" ht="15" customHeight="1" x14ac:dyDescent="0.25">
      <c r="A909" s="7" t="s">
        <v>2184</v>
      </c>
      <c r="B909" s="7" t="s">
        <v>2185</v>
      </c>
      <c r="C909" s="8" t="s">
        <v>2186</v>
      </c>
      <c r="D909" s="8" t="s">
        <v>1375</v>
      </c>
      <c r="E909" s="8" t="s">
        <v>797</v>
      </c>
      <c r="F909" s="8" t="s">
        <v>119</v>
      </c>
      <c r="G909" s="8" t="s">
        <v>2187</v>
      </c>
    </row>
    <row r="910" spans="1:7" ht="15" customHeight="1" x14ac:dyDescent="0.25">
      <c r="A910" s="7" t="s">
        <v>235</v>
      </c>
      <c r="B910" s="7" t="s">
        <v>24</v>
      </c>
      <c r="C910" s="8" t="s">
        <v>31</v>
      </c>
      <c r="D910" s="8" t="s">
        <v>32</v>
      </c>
      <c r="E910" s="8" t="s">
        <v>33</v>
      </c>
      <c r="F910" s="8" t="s">
        <v>59</v>
      </c>
      <c r="G910" s="8" t="s">
        <v>236</v>
      </c>
    </row>
    <row r="911" spans="1:7" ht="15" customHeight="1" x14ac:dyDescent="0.25">
      <c r="A911" s="7" t="s">
        <v>2188</v>
      </c>
      <c r="B911" s="7" t="s">
        <v>1564</v>
      </c>
      <c r="C911" s="8" t="s">
        <v>2189</v>
      </c>
      <c r="D911" s="8" t="s">
        <v>2190</v>
      </c>
      <c r="E911" s="8" t="s">
        <v>1073</v>
      </c>
      <c r="F911" s="8" t="s">
        <v>86</v>
      </c>
      <c r="G911" s="8" t="s">
        <v>2191</v>
      </c>
    </row>
    <row r="912" spans="1:7" ht="15" customHeight="1" x14ac:dyDescent="0.25">
      <c r="A912" s="7" t="s">
        <v>2192</v>
      </c>
      <c r="B912" s="7" t="s">
        <v>964</v>
      </c>
      <c r="C912" s="8" t="s">
        <v>556</v>
      </c>
      <c r="D912" s="8" t="s">
        <v>1068</v>
      </c>
      <c r="E912" s="8" t="s">
        <v>206</v>
      </c>
      <c r="F912" s="8" t="s">
        <v>59</v>
      </c>
      <c r="G912" s="8" t="s">
        <v>1339</v>
      </c>
    </row>
    <row r="913" spans="1:7" ht="15" customHeight="1" x14ac:dyDescent="0.25">
      <c r="A913" s="7" t="s">
        <v>2193</v>
      </c>
      <c r="B913" s="7" t="s">
        <v>2194</v>
      </c>
      <c r="C913" s="8" t="s">
        <v>702</v>
      </c>
      <c r="D913" s="8" t="s">
        <v>550</v>
      </c>
      <c r="E913" s="8" t="s">
        <v>94</v>
      </c>
      <c r="F913" s="8" t="s">
        <v>28</v>
      </c>
      <c r="G913" s="8" t="s">
        <v>2195</v>
      </c>
    </row>
    <row r="914" spans="1:7" ht="15" customHeight="1" x14ac:dyDescent="0.25">
      <c r="A914" s="7" t="s">
        <v>2196</v>
      </c>
      <c r="B914" s="7" t="s">
        <v>1004</v>
      </c>
      <c r="C914" s="8" t="s">
        <v>25</v>
      </c>
      <c r="D914" s="8" t="s">
        <v>1514</v>
      </c>
      <c r="E914" s="8" t="s">
        <v>85</v>
      </c>
      <c r="F914" s="8" t="s">
        <v>28</v>
      </c>
      <c r="G914" s="8" t="s">
        <v>2197</v>
      </c>
    </row>
    <row r="915" spans="1:7" ht="15" customHeight="1" x14ac:dyDescent="0.25">
      <c r="A915" s="7" t="s">
        <v>2198</v>
      </c>
      <c r="B915" s="7" t="s">
        <v>1638</v>
      </c>
      <c r="C915" s="8" t="s">
        <v>2174</v>
      </c>
      <c r="D915" s="8" t="s">
        <v>2175</v>
      </c>
      <c r="E915" s="8" t="s">
        <v>136</v>
      </c>
      <c r="F915" s="8" t="s">
        <v>65</v>
      </c>
      <c r="G915" s="8" t="s">
        <v>2199</v>
      </c>
    </row>
    <row r="916" spans="1:7" ht="15" customHeight="1" x14ac:dyDescent="0.25">
      <c r="A916" s="7" t="s">
        <v>2200</v>
      </c>
      <c r="B916" s="7" t="s">
        <v>1748</v>
      </c>
      <c r="C916" s="8" t="s">
        <v>1259</v>
      </c>
      <c r="D916" s="8" t="s">
        <v>1068</v>
      </c>
      <c r="E916" s="8" t="s">
        <v>144</v>
      </c>
      <c r="F916" s="8" t="s">
        <v>65</v>
      </c>
      <c r="G916" s="8" t="s">
        <v>2201</v>
      </c>
    </row>
    <row r="917" spans="1:7" ht="15" customHeight="1" x14ac:dyDescent="0.25">
      <c r="A917" s="7" t="s">
        <v>2202</v>
      </c>
      <c r="B917" s="7" t="s">
        <v>1794</v>
      </c>
      <c r="C917" s="8" t="s">
        <v>2203</v>
      </c>
      <c r="D917" s="8" t="s">
        <v>57</v>
      </c>
      <c r="E917" s="8" t="s">
        <v>826</v>
      </c>
      <c r="F917" s="8" t="s">
        <v>123</v>
      </c>
      <c r="G917" s="8" t="s">
        <v>2204</v>
      </c>
    </row>
    <row r="918" spans="1:7" ht="15" customHeight="1" x14ac:dyDescent="0.25">
      <c r="A918" s="7" t="s">
        <v>2205</v>
      </c>
      <c r="B918" s="7" t="s">
        <v>1619</v>
      </c>
      <c r="C918" s="8" t="s">
        <v>242</v>
      </c>
      <c r="D918" s="8" t="s">
        <v>556</v>
      </c>
      <c r="E918" s="8" t="s">
        <v>1274</v>
      </c>
      <c r="F918" s="8" t="s">
        <v>39</v>
      </c>
      <c r="G918" s="8" t="s">
        <v>2206</v>
      </c>
    </row>
    <row r="919" spans="1:7" ht="15" customHeight="1" x14ac:dyDescent="0.25">
      <c r="A919" s="7" t="s">
        <v>2207</v>
      </c>
      <c r="B919" s="7" t="s">
        <v>1769</v>
      </c>
      <c r="C919" s="8" t="s">
        <v>2208</v>
      </c>
      <c r="D919" s="8" t="s">
        <v>195</v>
      </c>
      <c r="E919" s="8" t="s">
        <v>64</v>
      </c>
      <c r="F919" s="8" t="s">
        <v>119</v>
      </c>
      <c r="G919" s="8" t="s">
        <v>2209</v>
      </c>
    </row>
    <row r="920" spans="1:7" ht="15" customHeight="1" x14ac:dyDescent="0.25">
      <c r="A920" s="7" t="s">
        <v>1340</v>
      </c>
      <c r="B920" s="7" t="s">
        <v>1341</v>
      </c>
      <c r="C920" s="8" t="s">
        <v>243</v>
      </c>
      <c r="D920" s="8" t="s">
        <v>1342</v>
      </c>
      <c r="E920" s="8" t="s">
        <v>44</v>
      </c>
      <c r="F920" s="8" t="s">
        <v>59</v>
      </c>
      <c r="G920" s="8" t="s">
        <v>2210</v>
      </c>
    </row>
    <row r="921" spans="1:7" ht="15" customHeight="1" x14ac:dyDescent="0.25">
      <c r="A921" s="7" t="s">
        <v>2211</v>
      </c>
      <c r="B921" s="7" t="s">
        <v>2063</v>
      </c>
      <c r="C921" s="8" t="s">
        <v>2212</v>
      </c>
      <c r="D921" s="8" t="s">
        <v>611</v>
      </c>
      <c r="E921" s="8" t="s">
        <v>581</v>
      </c>
      <c r="F921" s="8" t="s">
        <v>34</v>
      </c>
      <c r="G921" s="8" t="s">
        <v>2213</v>
      </c>
    </row>
    <row r="922" spans="1:7" ht="15" customHeight="1" x14ac:dyDescent="0.25">
      <c r="A922" s="7" t="s">
        <v>2214</v>
      </c>
      <c r="B922" s="7" t="s">
        <v>2215</v>
      </c>
      <c r="C922" s="8" t="s">
        <v>172</v>
      </c>
      <c r="D922" s="8" t="s">
        <v>69</v>
      </c>
      <c r="E922" s="8" t="s">
        <v>38</v>
      </c>
      <c r="F922" s="8" t="s">
        <v>363</v>
      </c>
      <c r="G922" s="8" t="s">
        <v>2216</v>
      </c>
    </row>
    <row r="923" spans="1:7" ht="15" customHeight="1" x14ac:dyDescent="0.25">
      <c r="A923" s="7" t="s">
        <v>2217</v>
      </c>
      <c r="B923" s="7" t="s">
        <v>2218</v>
      </c>
      <c r="C923" s="8" t="s">
        <v>2219</v>
      </c>
      <c r="D923" s="8" t="s">
        <v>2220</v>
      </c>
      <c r="E923" s="8" t="s">
        <v>1134</v>
      </c>
      <c r="F923" s="8" t="s">
        <v>321</v>
      </c>
      <c r="G923" s="8" t="s">
        <v>2221</v>
      </c>
    </row>
    <row r="924" spans="1:7" ht="15" customHeight="1" x14ac:dyDescent="0.25">
      <c r="A924" s="7" t="s">
        <v>2222</v>
      </c>
      <c r="B924" s="7" t="s">
        <v>1724</v>
      </c>
      <c r="C924" s="8" t="s">
        <v>2223</v>
      </c>
      <c r="D924" s="8" t="s">
        <v>2224</v>
      </c>
      <c r="E924" s="8" t="s">
        <v>281</v>
      </c>
      <c r="F924" s="8" t="s">
        <v>65</v>
      </c>
      <c r="G924" s="8" t="s">
        <v>2225</v>
      </c>
    </row>
    <row r="925" spans="1:7" ht="15" customHeight="1" x14ac:dyDescent="0.25">
      <c r="A925" s="7" t="s">
        <v>2226</v>
      </c>
      <c r="B925" s="7" t="s">
        <v>1821</v>
      </c>
      <c r="C925" s="8" t="s">
        <v>388</v>
      </c>
      <c r="D925" s="8" t="s">
        <v>69</v>
      </c>
      <c r="E925" s="8" t="s">
        <v>76</v>
      </c>
      <c r="F925" s="8" t="s">
        <v>65</v>
      </c>
      <c r="G925" s="8" t="s">
        <v>2227</v>
      </c>
    </row>
    <row r="926" spans="1:7" ht="15" customHeight="1" x14ac:dyDescent="0.25">
      <c r="A926" s="7" t="s">
        <v>2228</v>
      </c>
      <c r="B926" s="7" t="s">
        <v>2229</v>
      </c>
      <c r="C926" s="8" t="s">
        <v>1399</v>
      </c>
      <c r="D926" s="8" t="s">
        <v>1399</v>
      </c>
      <c r="E926" s="8" t="s">
        <v>166</v>
      </c>
      <c r="F926" s="8" t="s">
        <v>65</v>
      </c>
      <c r="G926" s="8" t="s">
        <v>2230</v>
      </c>
    </row>
    <row r="927" spans="1:7" ht="15" customHeight="1" x14ac:dyDescent="0.25">
      <c r="A927" s="7" t="s">
        <v>248</v>
      </c>
      <c r="B927" s="7" t="s">
        <v>24</v>
      </c>
      <c r="C927" s="8" t="s">
        <v>249</v>
      </c>
      <c r="D927" s="8" t="s">
        <v>250</v>
      </c>
      <c r="E927" s="8" t="s">
        <v>251</v>
      </c>
      <c r="F927" s="8" t="s">
        <v>28</v>
      </c>
      <c r="G927" s="8" t="s">
        <v>252</v>
      </c>
    </row>
    <row r="928" spans="1:7" ht="15" customHeight="1" x14ac:dyDescent="0.25">
      <c r="A928" s="7" t="s">
        <v>2231</v>
      </c>
      <c r="B928" s="7" t="s">
        <v>1616</v>
      </c>
      <c r="C928" s="8" t="s">
        <v>220</v>
      </c>
      <c r="D928" s="8" t="s">
        <v>285</v>
      </c>
      <c r="E928" s="8" t="s">
        <v>94</v>
      </c>
      <c r="F928" s="8" t="s">
        <v>59</v>
      </c>
      <c r="G928" s="8" t="s">
        <v>2232</v>
      </c>
    </row>
    <row r="929" spans="1:7" ht="15" customHeight="1" x14ac:dyDescent="0.25">
      <c r="A929" s="7" t="s">
        <v>2233</v>
      </c>
      <c r="B929" s="7" t="s">
        <v>1595</v>
      </c>
      <c r="C929" s="8" t="s">
        <v>2234</v>
      </c>
      <c r="D929" s="8" t="s">
        <v>90</v>
      </c>
      <c r="E929" s="8" t="s">
        <v>254</v>
      </c>
      <c r="F929" s="8" t="s">
        <v>34</v>
      </c>
      <c r="G929" s="8" t="s">
        <v>2235</v>
      </c>
    </row>
    <row r="930" spans="1:7" ht="15" customHeight="1" x14ac:dyDescent="0.25">
      <c r="A930" s="7" t="s">
        <v>253</v>
      </c>
      <c r="B930" s="7" t="s">
        <v>24</v>
      </c>
      <c r="C930" s="8" t="s">
        <v>47</v>
      </c>
      <c r="D930" s="8" t="s">
        <v>32</v>
      </c>
      <c r="E930" s="8" t="s">
        <v>254</v>
      </c>
      <c r="F930" s="8" t="s">
        <v>65</v>
      </c>
      <c r="G930" s="8" t="s">
        <v>255</v>
      </c>
    </row>
    <row r="931" spans="1:7" ht="15" customHeight="1" x14ac:dyDescent="0.25">
      <c r="A931" s="7" t="s">
        <v>2236</v>
      </c>
      <c r="B931" s="7" t="s">
        <v>1772</v>
      </c>
      <c r="C931" s="8" t="s">
        <v>43</v>
      </c>
      <c r="D931" s="8" t="s">
        <v>682</v>
      </c>
      <c r="E931" s="8" t="s">
        <v>44</v>
      </c>
      <c r="F931" s="8" t="s">
        <v>34</v>
      </c>
      <c r="G931" s="8" t="s">
        <v>2237</v>
      </c>
    </row>
    <row r="932" spans="1:7" ht="15" customHeight="1" x14ac:dyDescent="0.25">
      <c r="A932" s="7" t="s">
        <v>2238</v>
      </c>
      <c r="B932" s="7" t="s">
        <v>1004</v>
      </c>
      <c r="C932" s="8" t="s">
        <v>2239</v>
      </c>
      <c r="D932" s="8" t="s">
        <v>149</v>
      </c>
      <c r="E932" s="8" t="s">
        <v>1396</v>
      </c>
      <c r="F932" s="8" t="s">
        <v>59</v>
      </c>
      <c r="G932" s="8" t="s">
        <v>2240</v>
      </c>
    </row>
    <row r="933" spans="1:7" ht="15" customHeight="1" x14ac:dyDescent="0.25">
      <c r="A933" s="7" t="s">
        <v>2241</v>
      </c>
      <c r="B933" s="7" t="s">
        <v>1453</v>
      </c>
      <c r="C933" s="8" t="s">
        <v>2242</v>
      </c>
      <c r="D933" s="8" t="s">
        <v>467</v>
      </c>
      <c r="E933" s="8" t="s">
        <v>598</v>
      </c>
      <c r="F933" s="8" t="s">
        <v>34</v>
      </c>
      <c r="G933" s="8" t="s">
        <v>2243</v>
      </c>
    </row>
    <row r="934" spans="1:7" ht="15" customHeight="1" x14ac:dyDescent="0.25">
      <c r="A934" s="7" t="s">
        <v>2244</v>
      </c>
      <c r="B934" s="7" t="s">
        <v>2245</v>
      </c>
      <c r="C934" s="8" t="s">
        <v>220</v>
      </c>
      <c r="D934" s="8" t="s">
        <v>1538</v>
      </c>
      <c r="E934" s="8" t="s">
        <v>257</v>
      </c>
      <c r="F934" s="8" t="s">
        <v>363</v>
      </c>
      <c r="G934" s="8" t="s">
        <v>2246</v>
      </c>
    </row>
    <row r="935" spans="1:7" ht="15" customHeight="1" x14ac:dyDescent="0.25">
      <c r="A935" s="7" t="s">
        <v>2247</v>
      </c>
      <c r="B935" s="7" t="s">
        <v>1769</v>
      </c>
      <c r="C935" s="8" t="s">
        <v>592</v>
      </c>
      <c r="D935" s="8" t="s">
        <v>250</v>
      </c>
      <c r="E935" s="8" t="s">
        <v>328</v>
      </c>
      <c r="F935" s="8" t="s">
        <v>28</v>
      </c>
      <c r="G935" s="8" t="s">
        <v>2248</v>
      </c>
    </row>
    <row r="936" spans="1:7" ht="15" customHeight="1" x14ac:dyDescent="0.25">
      <c r="A936" s="7" t="s">
        <v>2249</v>
      </c>
      <c r="B936" s="7" t="s">
        <v>1524</v>
      </c>
      <c r="C936" s="8" t="s">
        <v>57</v>
      </c>
      <c r="D936" s="8" t="s">
        <v>2250</v>
      </c>
      <c r="E936" s="8" t="s">
        <v>715</v>
      </c>
      <c r="F936" s="8" t="s">
        <v>65</v>
      </c>
      <c r="G936" s="8" t="s">
        <v>2251</v>
      </c>
    </row>
    <row r="937" spans="1:7" ht="15" customHeight="1" x14ac:dyDescent="0.25">
      <c r="A937" s="7" t="s">
        <v>2252</v>
      </c>
      <c r="B937" s="7" t="s">
        <v>2253</v>
      </c>
      <c r="C937" s="8" t="s">
        <v>2254</v>
      </c>
      <c r="D937" s="8" t="s">
        <v>2255</v>
      </c>
      <c r="E937" s="8" t="s">
        <v>342</v>
      </c>
      <c r="F937" s="8" t="s">
        <v>86</v>
      </c>
      <c r="G937" s="8" t="s">
        <v>2256</v>
      </c>
    </row>
    <row r="938" spans="1:7" ht="15" customHeight="1" x14ac:dyDescent="0.25">
      <c r="A938" s="7" t="s">
        <v>2257</v>
      </c>
      <c r="B938" s="7" t="s">
        <v>2045</v>
      </c>
      <c r="C938" s="8" t="s">
        <v>242</v>
      </c>
      <c r="D938" s="8" t="s">
        <v>2258</v>
      </c>
      <c r="E938" s="8" t="s">
        <v>70</v>
      </c>
      <c r="F938" s="8" t="s">
        <v>59</v>
      </c>
      <c r="G938" s="8" t="s">
        <v>2259</v>
      </c>
    </row>
    <row r="939" spans="1:7" ht="15" customHeight="1" x14ac:dyDescent="0.25">
      <c r="A939" s="7" t="s">
        <v>2260</v>
      </c>
      <c r="B939" s="7" t="s">
        <v>2261</v>
      </c>
      <c r="C939" s="8" t="s">
        <v>220</v>
      </c>
      <c r="D939" s="8" t="s">
        <v>149</v>
      </c>
      <c r="E939" s="8" t="s">
        <v>463</v>
      </c>
      <c r="F939" s="8" t="s">
        <v>119</v>
      </c>
      <c r="G939" s="8" t="s">
        <v>369</v>
      </c>
    </row>
    <row r="940" spans="1:7" ht="15" customHeight="1" x14ac:dyDescent="0.25">
      <c r="A940" s="7" t="s">
        <v>264</v>
      </c>
      <c r="B940" s="7" t="s">
        <v>24</v>
      </c>
      <c r="C940" s="8" t="s">
        <v>265</v>
      </c>
      <c r="D940" s="8" t="s">
        <v>69</v>
      </c>
      <c r="E940" s="8" t="s">
        <v>266</v>
      </c>
      <c r="F940" s="8" t="s">
        <v>34</v>
      </c>
      <c r="G940" s="8" t="s">
        <v>267</v>
      </c>
    </row>
    <row r="941" spans="1:7" ht="15" customHeight="1" x14ac:dyDescent="0.25">
      <c r="A941" s="7" t="s">
        <v>2262</v>
      </c>
      <c r="B941" s="7" t="s">
        <v>1004</v>
      </c>
      <c r="C941" s="8" t="s">
        <v>1573</v>
      </c>
      <c r="D941" s="8" t="s">
        <v>149</v>
      </c>
      <c r="E941" s="8" t="s">
        <v>254</v>
      </c>
      <c r="F941" s="8" t="s">
        <v>28</v>
      </c>
      <c r="G941" s="8" t="s">
        <v>2263</v>
      </c>
    </row>
    <row r="942" spans="1:7" ht="15" customHeight="1" x14ac:dyDescent="0.25">
      <c r="A942" s="7" t="s">
        <v>2264</v>
      </c>
      <c r="B942" s="7" t="s">
        <v>1520</v>
      </c>
      <c r="C942" s="8" t="s">
        <v>2265</v>
      </c>
      <c r="D942" s="8" t="s">
        <v>221</v>
      </c>
      <c r="E942" s="8" t="s">
        <v>715</v>
      </c>
      <c r="F942" s="8" t="s">
        <v>39</v>
      </c>
      <c r="G942" s="8" t="s">
        <v>2266</v>
      </c>
    </row>
    <row r="943" spans="1:7" ht="15" customHeight="1" x14ac:dyDescent="0.25">
      <c r="A943" s="7" t="s">
        <v>2267</v>
      </c>
      <c r="B943" s="7" t="s">
        <v>2268</v>
      </c>
      <c r="C943" s="8" t="s">
        <v>614</v>
      </c>
      <c r="D943" s="8" t="s">
        <v>149</v>
      </c>
      <c r="E943" s="8" t="s">
        <v>156</v>
      </c>
      <c r="F943" s="8" t="s">
        <v>65</v>
      </c>
      <c r="G943" s="8" t="s">
        <v>2269</v>
      </c>
    </row>
    <row r="944" spans="1:7" ht="15" customHeight="1" x14ac:dyDescent="0.25">
      <c r="A944" s="7" t="s">
        <v>2270</v>
      </c>
      <c r="B944" s="7" t="s">
        <v>2245</v>
      </c>
      <c r="C944" s="8" t="s">
        <v>489</v>
      </c>
      <c r="D944" s="8" t="s">
        <v>117</v>
      </c>
      <c r="E944" s="8" t="s">
        <v>206</v>
      </c>
      <c r="F944" s="8" t="s">
        <v>34</v>
      </c>
      <c r="G944" s="8" t="s">
        <v>2271</v>
      </c>
    </row>
    <row r="945" spans="1:7" ht="15" customHeight="1" x14ac:dyDescent="0.25">
      <c r="A945" s="7" t="s">
        <v>268</v>
      </c>
      <c r="B945" s="7" t="s">
        <v>24</v>
      </c>
      <c r="C945" s="8" t="s">
        <v>42</v>
      </c>
      <c r="D945" s="8" t="s">
        <v>269</v>
      </c>
      <c r="E945" s="8" t="s">
        <v>48</v>
      </c>
      <c r="F945" s="8" t="s">
        <v>28</v>
      </c>
      <c r="G945" s="8" t="s">
        <v>270</v>
      </c>
    </row>
    <row r="946" spans="1:7" ht="15" customHeight="1" x14ac:dyDescent="0.25">
      <c r="A946" s="7" t="s">
        <v>2272</v>
      </c>
      <c r="B946" s="7" t="s">
        <v>24</v>
      </c>
      <c r="C946" s="8" t="s">
        <v>592</v>
      </c>
      <c r="D946" s="8" t="s">
        <v>26</v>
      </c>
      <c r="E946" s="8" t="s">
        <v>346</v>
      </c>
      <c r="F946" s="8" t="s">
        <v>65</v>
      </c>
      <c r="G946" s="8" t="s">
        <v>386</v>
      </c>
    </row>
    <row r="947" spans="1:7" ht="15" customHeight="1" x14ac:dyDescent="0.25">
      <c r="A947" s="7" t="s">
        <v>2273</v>
      </c>
      <c r="B947" s="7" t="s">
        <v>964</v>
      </c>
      <c r="C947" s="8" t="s">
        <v>2274</v>
      </c>
      <c r="D947" s="8" t="s">
        <v>279</v>
      </c>
      <c r="E947" s="8" t="s">
        <v>144</v>
      </c>
      <c r="F947" s="8" t="s">
        <v>28</v>
      </c>
      <c r="G947" s="8" t="s">
        <v>2275</v>
      </c>
    </row>
    <row r="948" spans="1:7" ht="15" customHeight="1" x14ac:dyDescent="0.25">
      <c r="A948" s="7" t="s">
        <v>2276</v>
      </c>
      <c r="B948" s="7" t="s">
        <v>1821</v>
      </c>
      <c r="C948" s="8" t="s">
        <v>63</v>
      </c>
      <c r="D948" s="8" t="s">
        <v>250</v>
      </c>
      <c r="E948" s="8" t="s">
        <v>169</v>
      </c>
      <c r="F948" s="8" t="s">
        <v>28</v>
      </c>
      <c r="G948" s="8" t="s">
        <v>2277</v>
      </c>
    </row>
    <row r="949" spans="1:7" ht="15" customHeight="1" x14ac:dyDescent="0.25">
      <c r="A949" s="7" t="s">
        <v>2278</v>
      </c>
      <c r="B949" s="7" t="s">
        <v>1769</v>
      </c>
      <c r="C949" s="8" t="s">
        <v>592</v>
      </c>
      <c r="D949" s="8" t="s">
        <v>250</v>
      </c>
      <c r="E949" s="8" t="s">
        <v>328</v>
      </c>
      <c r="F949" s="8" t="s">
        <v>59</v>
      </c>
      <c r="G949" s="8" t="s">
        <v>2279</v>
      </c>
    </row>
    <row r="950" spans="1:7" ht="15" customHeight="1" x14ac:dyDescent="0.25">
      <c r="A950" s="7" t="s">
        <v>2280</v>
      </c>
      <c r="B950" s="7" t="s">
        <v>2281</v>
      </c>
      <c r="C950" s="8" t="s">
        <v>243</v>
      </c>
      <c r="D950" s="8" t="s">
        <v>285</v>
      </c>
      <c r="E950" s="8" t="s">
        <v>44</v>
      </c>
      <c r="F950" s="8" t="s">
        <v>65</v>
      </c>
      <c r="G950" s="8" t="s">
        <v>2282</v>
      </c>
    </row>
    <row r="951" spans="1:7" ht="15" customHeight="1" x14ac:dyDescent="0.25">
      <c r="A951" s="7" t="s">
        <v>2283</v>
      </c>
      <c r="B951" s="7" t="s">
        <v>2284</v>
      </c>
      <c r="C951" s="8" t="s">
        <v>43</v>
      </c>
      <c r="D951" s="8" t="s">
        <v>327</v>
      </c>
      <c r="E951" s="8" t="s">
        <v>118</v>
      </c>
      <c r="F951" s="8" t="s">
        <v>65</v>
      </c>
      <c r="G951" s="8" t="s">
        <v>2285</v>
      </c>
    </row>
    <row r="952" spans="1:7" ht="15" customHeight="1" x14ac:dyDescent="0.25">
      <c r="A952" s="7" t="s">
        <v>2286</v>
      </c>
      <c r="B952" s="7" t="s">
        <v>1840</v>
      </c>
      <c r="C952" s="8" t="s">
        <v>2287</v>
      </c>
      <c r="D952" s="8" t="s">
        <v>2287</v>
      </c>
      <c r="E952" s="8" t="s">
        <v>166</v>
      </c>
      <c r="F952" s="8" t="s">
        <v>28</v>
      </c>
      <c r="G952" s="8" t="s">
        <v>2288</v>
      </c>
    </row>
    <row r="953" spans="1:7" ht="15" customHeight="1" x14ac:dyDescent="0.25">
      <c r="A953" s="7" t="s">
        <v>2289</v>
      </c>
      <c r="B953" s="7" t="s">
        <v>1593</v>
      </c>
      <c r="C953" s="8" t="s">
        <v>69</v>
      </c>
      <c r="D953" s="8" t="s">
        <v>1497</v>
      </c>
      <c r="E953" s="8" t="s">
        <v>70</v>
      </c>
      <c r="F953" s="8" t="s">
        <v>119</v>
      </c>
      <c r="G953" s="8" t="s">
        <v>2290</v>
      </c>
    </row>
    <row r="954" spans="1:7" ht="15" customHeight="1" x14ac:dyDescent="0.25">
      <c r="A954" s="7" t="s">
        <v>2291</v>
      </c>
      <c r="B954" s="7" t="s">
        <v>2292</v>
      </c>
      <c r="C954" s="8" t="s">
        <v>2293</v>
      </c>
      <c r="D954" s="8" t="s">
        <v>2293</v>
      </c>
      <c r="E954" s="8" t="s">
        <v>166</v>
      </c>
      <c r="F954" s="8" t="s">
        <v>86</v>
      </c>
      <c r="G954" s="8" t="s">
        <v>1690</v>
      </c>
    </row>
    <row r="955" spans="1:7" ht="15" customHeight="1" x14ac:dyDescent="0.25">
      <c r="A955" s="7" t="s">
        <v>271</v>
      </c>
      <c r="B955" s="7" t="s">
        <v>100</v>
      </c>
      <c r="C955" s="8" t="s">
        <v>101</v>
      </c>
      <c r="D955" s="8" t="s">
        <v>102</v>
      </c>
      <c r="E955" s="8" t="s">
        <v>103</v>
      </c>
      <c r="F955" s="8" t="s">
        <v>28</v>
      </c>
      <c r="G955" s="8" t="s">
        <v>2294</v>
      </c>
    </row>
    <row r="956" spans="1:7" ht="15" customHeight="1" x14ac:dyDescent="0.25">
      <c r="A956" s="7" t="s">
        <v>2295</v>
      </c>
      <c r="B956" s="7" t="s">
        <v>1821</v>
      </c>
      <c r="C956" s="8" t="s">
        <v>344</v>
      </c>
      <c r="D956" s="8" t="s">
        <v>26</v>
      </c>
      <c r="E956" s="8" t="s">
        <v>598</v>
      </c>
      <c r="F956" s="8" t="s">
        <v>59</v>
      </c>
      <c r="G956" s="8" t="s">
        <v>2296</v>
      </c>
    </row>
    <row r="957" spans="1:7" ht="15" customHeight="1" x14ac:dyDescent="0.25">
      <c r="A957" s="7" t="s">
        <v>2297</v>
      </c>
      <c r="B957" s="7" t="s">
        <v>2063</v>
      </c>
      <c r="C957" s="8" t="s">
        <v>2298</v>
      </c>
      <c r="D957" s="8" t="s">
        <v>2025</v>
      </c>
      <c r="E957" s="8" t="s">
        <v>797</v>
      </c>
      <c r="F957" s="8" t="s">
        <v>65</v>
      </c>
      <c r="G957" s="8" t="s">
        <v>2299</v>
      </c>
    </row>
    <row r="958" spans="1:7" ht="15" customHeight="1" x14ac:dyDescent="0.25">
      <c r="A958" s="7" t="s">
        <v>2300</v>
      </c>
      <c r="B958" s="7" t="s">
        <v>1616</v>
      </c>
      <c r="C958" s="8" t="s">
        <v>556</v>
      </c>
      <c r="D958" s="8" t="s">
        <v>314</v>
      </c>
      <c r="E958" s="8" t="s">
        <v>107</v>
      </c>
      <c r="F958" s="8" t="s">
        <v>86</v>
      </c>
      <c r="G958" s="8" t="s">
        <v>2301</v>
      </c>
    </row>
    <row r="959" spans="1:7" ht="15" customHeight="1" x14ac:dyDescent="0.25">
      <c r="A959" s="7" t="s">
        <v>291</v>
      </c>
      <c r="B959" s="7" t="s">
        <v>24</v>
      </c>
      <c r="C959" s="8" t="s">
        <v>32</v>
      </c>
      <c r="D959" s="8" t="s">
        <v>165</v>
      </c>
      <c r="E959" s="8" t="s">
        <v>136</v>
      </c>
      <c r="F959" s="8" t="s">
        <v>59</v>
      </c>
      <c r="G959" s="8" t="s">
        <v>292</v>
      </c>
    </row>
    <row r="960" spans="1:7" ht="15" customHeight="1" x14ac:dyDescent="0.25">
      <c r="A960" s="7" t="s">
        <v>2302</v>
      </c>
      <c r="B960" s="7" t="s">
        <v>2110</v>
      </c>
      <c r="C960" s="8" t="s">
        <v>2303</v>
      </c>
      <c r="D960" s="8" t="s">
        <v>2304</v>
      </c>
      <c r="E960" s="8" t="s">
        <v>1396</v>
      </c>
      <c r="F960" s="8" t="s">
        <v>214</v>
      </c>
      <c r="G960" s="8" t="s">
        <v>2305</v>
      </c>
    </row>
    <row r="961" spans="1:7" ht="15" customHeight="1" x14ac:dyDescent="0.25">
      <c r="A961" s="7" t="s">
        <v>1387</v>
      </c>
      <c r="B961" s="7" t="s">
        <v>1031</v>
      </c>
      <c r="C961" s="8" t="s">
        <v>43</v>
      </c>
      <c r="D961" s="8" t="s">
        <v>220</v>
      </c>
      <c r="E961" s="8" t="s">
        <v>136</v>
      </c>
      <c r="F961" s="8" t="s">
        <v>34</v>
      </c>
      <c r="G961" s="8" t="s">
        <v>2306</v>
      </c>
    </row>
    <row r="962" spans="1:7" ht="15" customHeight="1" x14ac:dyDescent="0.25">
      <c r="A962" s="7" t="s">
        <v>2307</v>
      </c>
      <c r="B962" s="7" t="s">
        <v>1616</v>
      </c>
      <c r="C962" s="8" t="s">
        <v>2308</v>
      </c>
      <c r="D962" s="8" t="s">
        <v>285</v>
      </c>
      <c r="E962" s="8" t="s">
        <v>602</v>
      </c>
      <c r="F962" s="8" t="s">
        <v>34</v>
      </c>
      <c r="G962" s="8" t="s">
        <v>2309</v>
      </c>
    </row>
    <row r="963" spans="1:7" ht="15" customHeight="1" x14ac:dyDescent="0.25">
      <c r="A963" s="7" t="s">
        <v>2310</v>
      </c>
      <c r="B963" s="7" t="s">
        <v>1535</v>
      </c>
      <c r="C963" s="8" t="s">
        <v>2311</v>
      </c>
      <c r="D963" s="8" t="s">
        <v>79</v>
      </c>
      <c r="E963" s="8" t="s">
        <v>453</v>
      </c>
      <c r="F963" s="8" t="s">
        <v>86</v>
      </c>
      <c r="G963" s="8" t="s">
        <v>2312</v>
      </c>
    </row>
    <row r="964" spans="1:7" ht="15" customHeight="1" x14ac:dyDescent="0.25">
      <c r="A964" s="7" t="s">
        <v>1379</v>
      </c>
      <c r="B964" s="7" t="s">
        <v>1380</v>
      </c>
      <c r="C964" s="8" t="s">
        <v>1381</v>
      </c>
      <c r="D964" s="8" t="s">
        <v>69</v>
      </c>
      <c r="E964" s="8" t="s">
        <v>396</v>
      </c>
      <c r="F964" s="8" t="s">
        <v>39</v>
      </c>
      <c r="G964" s="8" t="s">
        <v>1382</v>
      </c>
    </row>
    <row r="965" spans="1:7" ht="15" customHeight="1" x14ac:dyDescent="0.25">
      <c r="A965" s="7" t="s">
        <v>2313</v>
      </c>
      <c r="B965" s="7" t="s">
        <v>1524</v>
      </c>
      <c r="C965" s="8" t="s">
        <v>2314</v>
      </c>
      <c r="D965" s="8" t="s">
        <v>69</v>
      </c>
      <c r="E965" s="8" t="s">
        <v>826</v>
      </c>
      <c r="F965" s="8" t="s">
        <v>65</v>
      </c>
      <c r="G965" s="8" t="s">
        <v>2315</v>
      </c>
    </row>
    <row r="966" spans="1:7" ht="15" customHeight="1" x14ac:dyDescent="0.25">
      <c r="A966" s="7" t="s">
        <v>2316</v>
      </c>
      <c r="B966" s="7" t="s">
        <v>1586</v>
      </c>
      <c r="C966" s="8" t="s">
        <v>1497</v>
      </c>
      <c r="D966" s="8" t="s">
        <v>2317</v>
      </c>
      <c r="E966" s="8" t="s">
        <v>262</v>
      </c>
      <c r="F966" s="8" t="s">
        <v>476</v>
      </c>
      <c r="G966" s="8" t="s">
        <v>2318</v>
      </c>
    </row>
    <row r="967" spans="1:7" ht="15" customHeight="1" x14ac:dyDescent="0.25">
      <c r="A967" s="7" t="s">
        <v>2319</v>
      </c>
      <c r="B967" s="7" t="s">
        <v>1638</v>
      </c>
      <c r="C967" s="8" t="s">
        <v>467</v>
      </c>
      <c r="D967" s="8" t="s">
        <v>467</v>
      </c>
      <c r="E967" s="8" t="s">
        <v>166</v>
      </c>
      <c r="F967" s="8" t="s">
        <v>86</v>
      </c>
      <c r="G967" s="8" t="s">
        <v>2320</v>
      </c>
    </row>
    <row r="968" spans="1:7" ht="15" customHeight="1" x14ac:dyDescent="0.25">
      <c r="A968" s="7" t="s">
        <v>2321</v>
      </c>
      <c r="B968" s="7" t="s">
        <v>1490</v>
      </c>
      <c r="C968" s="8" t="s">
        <v>2322</v>
      </c>
      <c r="D968" s="8" t="s">
        <v>2323</v>
      </c>
      <c r="E968" s="8" t="s">
        <v>360</v>
      </c>
      <c r="F968" s="8" t="s">
        <v>119</v>
      </c>
      <c r="G968" s="8" t="s">
        <v>2324</v>
      </c>
    </row>
    <row r="969" spans="1:7" ht="15" customHeight="1" x14ac:dyDescent="0.25">
      <c r="A969" s="7" t="s">
        <v>2325</v>
      </c>
      <c r="B969" s="7" t="s">
        <v>2110</v>
      </c>
      <c r="C969" s="8" t="s">
        <v>1353</v>
      </c>
      <c r="D969" s="8" t="s">
        <v>2326</v>
      </c>
      <c r="E969" s="8" t="s">
        <v>360</v>
      </c>
      <c r="F969" s="8" t="s">
        <v>39</v>
      </c>
      <c r="G969" s="8" t="s">
        <v>2327</v>
      </c>
    </row>
    <row r="970" spans="1:7" ht="15" customHeight="1" x14ac:dyDescent="0.25">
      <c r="A970" s="7" t="s">
        <v>275</v>
      </c>
      <c r="B970" s="7" t="s">
        <v>24</v>
      </c>
      <c r="C970" s="8" t="s">
        <v>276</v>
      </c>
      <c r="D970" s="8" t="s">
        <v>43</v>
      </c>
      <c r="E970" s="8" t="s">
        <v>228</v>
      </c>
      <c r="F970" s="8" t="s">
        <v>59</v>
      </c>
      <c r="G970" s="8" t="s">
        <v>277</v>
      </c>
    </row>
    <row r="971" spans="1:7" ht="15" customHeight="1" x14ac:dyDescent="0.25">
      <c r="A971" s="7" t="s">
        <v>2328</v>
      </c>
      <c r="B971" s="7" t="s">
        <v>2245</v>
      </c>
      <c r="C971" s="8" t="s">
        <v>806</v>
      </c>
      <c r="D971" s="8" t="s">
        <v>285</v>
      </c>
      <c r="E971" s="8" t="s">
        <v>826</v>
      </c>
      <c r="F971" s="8" t="s">
        <v>65</v>
      </c>
      <c r="G971" s="8" t="s">
        <v>2329</v>
      </c>
    </row>
    <row r="972" spans="1:7" ht="15" customHeight="1" x14ac:dyDescent="0.25">
      <c r="A972" s="7" t="s">
        <v>2330</v>
      </c>
      <c r="B972" s="7" t="s">
        <v>2331</v>
      </c>
      <c r="C972" s="8" t="s">
        <v>854</v>
      </c>
      <c r="D972" s="8" t="s">
        <v>250</v>
      </c>
      <c r="E972" s="8" t="s">
        <v>1206</v>
      </c>
      <c r="F972" s="8" t="s">
        <v>119</v>
      </c>
      <c r="G972" s="8" t="s">
        <v>2332</v>
      </c>
    </row>
    <row r="973" spans="1:7" ht="15" customHeight="1" x14ac:dyDescent="0.25">
      <c r="A973" s="7" t="s">
        <v>2333</v>
      </c>
      <c r="B973" s="7" t="s">
        <v>1840</v>
      </c>
      <c r="C973" s="8" t="s">
        <v>1511</v>
      </c>
      <c r="D973" s="8" t="s">
        <v>1511</v>
      </c>
      <c r="E973" s="8" t="s">
        <v>166</v>
      </c>
      <c r="F973" s="8" t="s">
        <v>119</v>
      </c>
      <c r="G973" s="8" t="s">
        <v>2334</v>
      </c>
    </row>
    <row r="974" spans="1:7" ht="15" customHeight="1" x14ac:dyDescent="0.25">
      <c r="A974" s="7" t="s">
        <v>2335</v>
      </c>
      <c r="B974" s="7" t="s">
        <v>2013</v>
      </c>
      <c r="C974" s="8" t="s">
        <v>483</v>
      </c>
      <c r="D974" s="8" t="s">
        <v>1375</v>
      </c>
      <c r="E974" s="8" t="s">
        <v>150</v>
      </c>
      <c r="F974" s="8" t="s">
        <v>214</v>
      </c>
      <c r="G974" s="8" t="s">
        <v>2336</v>
      </c>
    </row>
    <row r="975" spans="1:7" ht="15" customHeight="1" x14ac:dyDescent="0.25">
      <c r="A975" s="7" t="s">
        <v>2337</v>
      </c>
      <c r="B975" s="7" t="s">
        <v>1748</v>
      </c>
      <c r="C975" s="8" t="s">
        <v>693</v>
      </c>
      <c r="D975" s="8" t="s">
        <v>2338</v>
      </c>
      <c r="E975" s="8" t="s">
        <v>85</v>
      </c>
      <c r="F975" s="8" t="s">
        <v>59</v>
      </c>
      <c r="G975" s="8" t="s">
        <v>2339</v>
      </c>
    </row>
    <row r="976" spans="1:7" ht="15" customHeight="1" x14ac:dyDescent="0.25">
      <c r="A976" s="7" t="s">
        <v>287</v>
      </c>
      <c r="B976" s="7" t="s">
        <v>24</v>
      </c>
      <c r="C976" s="8" t="s">
        <v>83</v>
      </c>
      <c r="D976" s="8" t="s">
        <v>84</v>
      </c>
      <c r="E976" s="8" t="s">
        <v>85</v>
      </c>
      <c r="F976" s="8" t="s">
        <v>65</v>
      </c>
      <c r="G976" s="8" t="s">
        <v>288</v>
      </c>
    </row>
    <row r="977" spans="1:7" ht="15" customHeight="1" x14ac:dyDescent="0.25">
      <c r="A977" s="7" t="s">
        <v>2340</v>
      </c>
      <c r="B977" s="7" t="s">
        <v>1729</v>
      </c>
      <c r="C977" s="8" t="s">
        <v>1570</v>
      </c>
      <c r="D977" s="8" t="s">
        <v>1570</v>
      </c>
      <c r="E977" s="8" t="s">
        <v>166</v>
      </c>
      <c r="F977" s="8" t="s">
        <v>363</v>
      </c>
      <c r="G977" s="8" t="s">
        <v>2341</v>
      </c>
    </row>
    <row r="978" spans="1:7" ht="15" customHeight="1" x14ac:dyDescent="0.25">
      <c r="A978" s="7" t="s">
        <v>2342</v>
      </c>
      <c r="B978" s="7" t="s">
        <v>2343</v>
      </c>
      <c r="C978" s="8" t="s">
        <v>294</v>
      </c>
      <c r="D978" s="8" t="s">
        <v>392</v>
      </c>
      <c r="E978" s="8" t="s">
        <v>541</v>
      </c>
      <c r="F978" s="8" t="s">
        <v>476</v>
      </c>
      <c r="G978" s="8" t="s">
        <v>2344</v>
      </c>
    </row>
    <row r="979" spans="1:7" ht="15" customHeight="1" x14ac:dyDescent="0.25">
      <c r="A979" s="7" t="s">
        <v>2345</v>
      </c>
      <c r="B979" s="7" t="s">
        <v>1004</v>
      </c>
      <c r="C979" s="8" t="s">
        <v>682</v>
      </c>
      <c r="D979" s="8" t="s">
        <v>806</v>
      </c>
      <c r="E979" s="8" t="s">
        <v>144</v>
      </c>
      <c r="F979" s="8" t="s">
        <v>59</v>
      </c>
      <c r="G979" s="8" t="s">
        <v>2346</v>
      </c>
    </row>
    <row r="980" spans="1:7" ht="15" customHeight="1" x14ac:dyDescent="0.25">
      <c r="A980" s="7" t="s">
        <v>2347</v>
      </c>
      <c r="B980" s="7" t="s">
        <v>1461</v>
      </c>
      <c r="C980" s="8" t="s">
        <v>2348</v>
      </c>
      <c r="D980" s="8" t="s">
        <v>2349</v>
      </c>
      <c r="E980" s="8" t="s">
        <v>169</v>
      </c>
      <c r="F980" s="8" t="s">
        <v>34</v>
      </c>
      <c r="G980" s="8" t="s">
        <v>2350</v>
      </c>
    </row>
    <row r="981" spans="1:7" ht="15" customHeight="1" x14ac:dyDescent="0.25">
      <c r="A981" s="7" t="s">
        <v>289</v>
      </c>
      <c r="B981" s="7" t="s">
        <v>24</v>
      </c>
      <c r="C981" s="8" t="s">
        <v>32</v>
      </c>
      <c r="D981" s="8" t="s">
        <v>90</v>
      </c>
      <c r="E981" s="8" t="s">
        <v>48</v>
      </c>
      <c r="F981" s="8" t="s">
        <v>119</v>
      </c>
      <c r="G981" s="8" t="s">
        <v>290</v>
      </c>
    </row>
    <row r="982" spans="1:7" ht="15" customHeight="1" x14ac:dyDescent="0.25">
      <c r="A982" s="7" t="s">
        <v>2351</v>
      </c>
      <c r="B982" s="7" t="s">
        <v>2013</v>
      </c>
      <c r="C982" s="8" t="s">
        <v>2352</v>
      </c>
      <c r="D982" s="8" t="s">
        <v>2353</v>
      </c>
      <c r="E982" s="8" t="s">
        <v>70</v>
      </c>
      <c r="F982" s="8" t="s">
        <v>65</v>
      </c>
      <c r="G982" s="8" t="s">
        <v>2354</v>
      </c>
    </row>
    <row r="983" spans="1:7" ht="15" customHeight="1" x14ac:dyDescent="0.25">
      <c r="A983" s="7" t="s">
        <v>2355</v>
      </c>
      <c r="B983" s="7" t="s">
        <v>1118</v>
      </c>
      <c r="C983" s="8" t="s">
        <v>122</v>
      </c>
      <c r="D983" s="8" t="s">
        <v>327</v>
      </c>
      <c r="E983" s="8" t="s">
        <v>1001</v>
      </c>
      <c r="F983" s="8" t="s">
        <v>34</v>
      </c>
      <c r="G983" s="8" t="s">
        <v>2356</v>
      </c>
    </row>
    <row r="984" spans="1:7" ht="15" customHeight="1" x14ac:dyDescent="0.25">
      <c r="A984" s="7" t="s">
        <v>2357</v>
      </c>
      <c r="B984" s="7" t="s">
        <v>2358</v>
      </c>
      <c r="C984" s="8" t="s">
        <v>106</v>
      </c>
      <c r="D984" s="8" t="s">
        <v>165</v>
      </c>
      <c r="E984" s="8" t="s">
        <v>206</v>
      </c>
      <c r="F984" s="8" t="s">
        <v>119</v>
      </c>
      <c r="G984" s="8" t="s">
        <v>2359</v>
      </c>
    </row>
    <row r="985" spans="1:7" ht="15" customHeight="1" x14ac:dyDescent="0.25">
      <c r="A985" s="7" t="s">
        <v>297</v>
      </c>
      <c r="B985" s="7" t="s">
        <v>24</v>
      </c>
      <c r="C985" s="8" t="s">
        <v>298</v>
      </c>
      <c r="D985" s="8" t="s">
        <v>57</v>
      </c>
      <c r="E985" s="8" t="s">
        <v>251</v>
      </c>
      <c r="F985" s="8" t="s">
        <v>34</v>
      </c>
      <c r="G985" s="8" t="s">
        <v>299</v>
      </c>
    </row>
    <row r="986" spans="1:7" ht="15" customHeight="1" x14ac:dyDescent="0.25">
      <c r="A986" s="7" t="s">
        <v>2360</v>
      </c>
      <c r="B986" s="7" t="s">
        <v>2361</v>
      </c>
      <c r="C986" s="8" t="s">
        <v>238</v>
      </c>
      <c r="D986" s="8" t="s">
        <v>238</v>
      </c>
      <c r="E986" s="8" t="s">
        <v>166</v>
      </c>
      <c r="F986" s="8" t="s">
        <v>119</v>
      </c>
      <c r="G986" s="8" t="s">
        <v>2362</v>
      </c>
    </row>
    <row r="987" spans="1:7" ht="15" customHeight="1" x14ac:dyDescent="0.25">
      <c r="A987" s="7" t="s">
        <v>300</v>
      </c>
      <c r="B987" s="7" t="s">
        <v>24</v>
      </c>
      <c r="C987" s="8" t="s">
        <v>25</v>
      </c>
      <c r="D987" s="8" t="s">
        <v>69</v>
      </c>
      <c r="E987" s="8" t="s">
        <v>94</v>
      </c>
      <c r="F987" s="8" t="s">
        <v>59</v>
      </c>
      <c r="G987" s="8" t="s">
        <v>301</v>
      </c>
    </row>
    <row r="988" spans="1:7" ht="15" customHeight="1" x14ac:dyDescent="0.25">
      <c r="A988" s="7" t="s">
        <v>2363</v>
      </c>
      <c r="B988" s="7" t="s">
        <v>1586</v>
      </c>
      <c r="C988" s="8" t="s">
        <v>165</v>
      </c>
      <c r="D988" s="8" t="s">
        <v>84</v>
      </c>
      <c r="E988" s="8" t="s">
        <v>1206</v>
      </c>
      <c r="F988" s="8" t="s">
        <v>65</v>
      </c>
      <c r="G988" s="8" t="s">
        <v>2364</v>
      </c>
    </row>
    <row r="989" spans="1:7" ht="15" customHeight="1" x14ac:dyDescent="0.25">
      <c r="A989" s="7" t="s">
        <v>2365</v>
      </c>
      <c r="B989" s="7" t="s">
        <v>2366</v>
      </c>
      <c r="C989" s="8" t="s">
        <v>701</v>
      </c>
      <c r="D989" s="8" t="s">
        <v>2367</v>
      </c>
      <c r="E989" s="8" t="s">
        <v>602</v>
      </c>
      <c r="F989" s="8" t="s">
        <v>59</v>
      </c>
      <c r="G989" s="8" t="s">
        <v>2368</v>
      </c>
    </row>
    <row r="990" spans="1:7" ht="15" customHeight="1" x14ac:dyDescent="0.25">
      <c r="A990" s="7" t="s">
        <v>2369</v>
      </c>
      <c r="B990" s="7" t="s">
        <v>1769</v>
      </c>
      <c r="C990" s="8" t="s">
        <v>25</v>
      </c>
      <c r="D990" s="8" t="s">
        <v>250</v>
      </c>
      <c r="E990" s="8" t="s">
        <v>156</v>
      </c>
      <c r="F990" s="8" t="s">
        <v>34</v>
      </c>
      <c r="G990" s="8" t="s">
        <v>2370</v>
      </c>
    </row>
    <row r="991" spans="1:7" ht="15" customHeight="1" x14ac:dyDescent="0.25">
      <c r="A991" s="7" t="s">
        <v>2371</v>
      </c>
      <c r="B991" s="7" t="s">
        <v>1461</v>
      </c>
      <c r="C991" s="8" t="s">
        <v>57</v>
      </c>
      <c r="D991" s="8" t="s">
        <v>327</v>
      </c>
      <c r="E991" s="8" t="s">
        <v>228</v>
      </c>
      <c r="F991" s="8" t="s">
        <v>59</v>
      </c>
      <c r="G991" s="8" t="s">
        <v>2372</v>
      </c>
    </row>
    <row r="992" spans="1:7" ht="15" customHeight="1" x14ac:dyDescent="0.25">
      <c r="A992" s="7" t="s">
        <v>302</v>
      </c>
      <c r="B992" s="7" t="s">
        <v>24</v>
      </c>
      <c r="C992" s="8" t="s">
        <v>31</v>
      </c>
      <c r="D992" s="8" t="s">
        <v>57</v>
      </c>
      <c r="E992" s="8" t="s">
        <v>94</v>
      </c>
      <c r="F992" s="8" t="s">
        <v>59</v>
      </c>
      <c r="G992" s="8" t="s">
        <v>303</v>
      </c>
    </row>
    <row r="993" spans="1:7" ht="15" customHeight="1" x14ac:dyDescent="0.25">
      <c r="A993" s="7" t="s">
        <v>2373</v>
      </c>
      <c r="B993" s="7" t="s">
        <v>1449</v>
      </c>
      <c r="C993" s="8" t="s">
        <v>1745</v>
      </c>
      <c r="D993" s="8" t="s">
        <v>2374</v>
      </c>
      <c r="E993" s="8" t="s">
        <v>281</v>
      </c>
      <c r="F993" s="8" t="s">
        <v>86</v>
      </c>
      <c r="G993" s="8" t="s">
        <v>2375</v>
      </c>
    </row>
    <row r="994" spans="1:7" ht="15" customHeight="1" x14ac:dyDescent="0.25">
      <c r="A994" s="7" t="s">
        <v>304</v>
      </c>
      <c r="B994" s="7" t="s">
        <v>24</v>
      </c>
      <c r="C994" s="8" t="s">
        <v>159</v>
      </c>
      <c r="D994" s="8" t="s">
        <v>25</v>
      </c>
      <c r="E994" s="8" t="s">
        <v>76</v>
      </c>
      <c r="F994" s="8" t="s">
        <v>34</v>
      </c>
      <c r="G994" s="8" t="s">
        <v>305</v>
      </c>
    </row>
    <row r="995" spans="1:7" ht="15" customHeight="1" x14ac:dyDescent="0.25">
      <c r="A995" s="7" t="s">
        <v>2376</v>
      </c>
      <c r="B995" s="7" t="s">
        <v>2377</v>
      </c>
      <c r="C995" s="8" t="s">
        <v>2001</v>
      </c>
      <c r="D995" s="8" t="s">
        <v>1625</v>
      </c>
      <c r="E995" s="8" t="s">
        <v>1134</v>
      </c>
      <c r="F995" s="8" t="s">
        <v>59</v>
      </c>
      <c r="G995" s="8" t="s">
        <v>2378</v>
      </c>
    </row>
    <row r="996" spans="1:7" ht="15" customHeight="1" x14ac:dyDescent="0.25">
      <c r="A996" s="7" t="s">
        <v>2379</v>
      </c>
      <c r="B996" s="7" t="s">
        <v>1461</v>
      </c>
      <c r="C996" s="8" t="s">
        <v>90</v>
      </c>
      <c r="D996" s="8" t="s">
        <v>149</v>
      </c>
      <c r="E996" s="8" t="s">
        <v>76</v>
      </c>
      <c r="F996" s="8" t="s">
        <v>86</v>
      </c>
      <c r="G996" s="8" t="s">
        <v>2380</v>
      </c>
    </row>
    <row r="997" spans="1:7" ht="15" customHeight="1" x14ac:dyDescent="0.25">
      <c r="A997" s="7" t="s">
        <v>2381</v>
      </c>
      <c r="B997" s="7" t="s">
        <v>2185</v>
      </c>
      <c r="C997" s="8" t="s">
        <v>1026</v>
      </c>
      <c r="D997" s="8" t="s">
        <v>1021</v>
      </c>
      <c r="E997" s="8" t="s">
        <v>715</v>
      </c>
      <c r="F997" s="8" t="s">
        <v>65</v>
      </c>
      <c r="G997" s="8" t="s">
        <v>2382</v>
      </c>
    </row>
    <row r="998" spans="1:7" ht="15" customHeight="1" x14ac:dyDescent="0.25">
      <c r="A998" s="7" t="s">
        <v>2383</v>
      </c>
      <c r="B998" s="7" t="s">
        <v>1821</v>
      </c>
      <c r="C998" s="8" t="s">
        <v>106</v>
      </c>
      <c r="D998" s="8" t="s">
        <v>57</v>
      </c>
      <c r="E998" s="8" t="s">
        <v>70</v>
      </c>
      <c r="F998" s="8" t="s">
        <v>28</v>
      </c>
      <c r="G998" s="8" t="s">
        <v>2384</v>
      </c>
    </row>
    <row r="999" spans="1:7" ht="15" customHeight="1" x14ac:dyDescent="0.25">
      <c r="A999" s="7" t="s">
        <v>2385</v>
      </c>
      <c r="B999" s="7" t="s">
        <v>1729</v>
      </c>
      <c r="C999" s="8" t="s">
        <v>1570</v>
      </c>
      <c r="D999" s="8" t="s">
        <v>1570</v>
      </c>
      <c r="E999" s="8" t="s">
        <v>166</v>
      </c>
      <c r="F999" s="8" t="s">
        <v>214</v>
      </c>
      <c r="G999" s="8" t="s">
        <v>2386</v>
      </c>
    </row>
    <row r="1000" spans="1:7" ht="15" customHeight="1" x14ac:dyDescent="0.25">
      <c r="A1000" s="7" t="s">
        <v>2387</v>
      </c>
      <c r="B1000" s="7" t="s">
        <v>1552</v>
      </c>
      <c r="C1000" s="8" t="s">
        <v>195</v>
      </c>
      <c r="D1000" s="8" t="s">
        <v>2388</v>
      </c>
      <c r="E1000" s="8" t="s">
        <v>254</v>
      </c>
      <c r="F1000" s="8" t="s">
        <v>28</v>
      </c>
      <c r="G1000" s="8" t="s">
        <v>2389</v>
      </c>
    </row>
    <row r="1001" spans="1:7" ht="15" customHeight="1" x14ac:dyDescent="0.25">
      <c r="A1001" s="7" t="s">
        <v>2390</v>
      </c>
      <c r="B1001" s="7" t="s">
        <v>1634</v>
      </c>
      <c r="C1001" s="8" t="s">
        <v>220</v>
      </c>
      <c r="D1001" s="8" t="s">
        <v>1096</v>
      </c>
      <c r="E1001" s="8" t="s">
        <v>131</v>
      </c>
      <c r="F1001" s="8" t="s">
        <v>28</v>
      </c>
      <c r="G1001" s="8" t="s">
        <v>2391</v>
      </c>
    </row>
    <row r="1002" spans="1:7" ht="15" customHeight="1" x14ac:dyDescent="0.25">
      <c r="A1002" s="7" t="s">
        <v>310</v>
      </c>
      <c r="B1002" s="7" t="s">
        <v>24</v>
      </c>
      <c r="C1002" s="8" t="s">
        <v>187</v>
      </c>
      <c r="D1002" s="8" t="s">
        <v>57</v>
      </c>
      <c r="E1002" s="8" t="s">
        <v>206</v>
      </c>
      <c r="F1002" s="8" t="s">
        <v>39</v>
      </c>
      <c r="G1002" s="8" t="s">
        <v>311</v>
      </c>
    </row>
    <row r="1003" spans="1:7" ht="15" customHeight="1" x14ac:dyDescent="0.25">
      <c r="A1003" s="7" t="s">
        <v>2392</v>
      </c>
      <c r="B1003" s="7" t="s">
        <v>1449</v>
      </c>
      <c r="C1003" s="8" t="s">
        <v>26</v>
      </c>
      <c r="D1003" s="8" t="s">
        <v>250</v>
      </c>
      <c r="E1003" s="8" t="s">
        <v>247</v>
      </c>
      <c r="F1003" s="8" t="s">
        <v>28</v>
      </c>
      <c r="G1003" s="8" t="s">
        <v>2393</v>
      </c>
    </row>
    <row r="1004" spans="1:7" ht="15" customHeight="1" x14ac:dyDescent="0.25">
      <c r="A1004" s="7" t="s">
        <v>2394</v>
      </c>
      <c r="B1004" s="7" t="s">
        <v>1840</v>
      </c>
      <c r="C1004" s="8" t="s">
        <v>1381</v>
      </c>
      <c r="D1004" s="8" t="s">
        <v>1381</v>
      </c>
      <c r="E1004" s="8" t="s">
        <v>166</v>
      </c>
      <c r="F1004" s="8" t="s">
        <v>119</v>
      </c>
      <c r="G1004" s="8" t="s">
        <v>2395</v>
      </c>
    </row>
    <row r="1005" spans="1:7" ht="15" customHeight="1" x14ac:dyDescent="0.25">
      <c r="A1005" s="7" t="s">
        <v>2396</v>
      </c>
      <c r="B1005" s="7" t="s">
        <v>2185</v>
      </c>
      <c r="C1005" s="8" t="s">
        <v>957</v>
      </c>
      <c r="D1005" s="8" t="s">
        <v>1375</v>
      </c>
      <c r="E1005" s="8" t="s">
        <v>352</v>
      </c>
      <c r="F1005" s="8" t="s">
        <v>65</v>
      </c>
      <c r="G1005" s="8" t="s">
        <v>2397</v>
      </c>
    </row>
    <row r="1006" spans="1:7" ht="15" customHeight="1" x14ac:dyDescent="0.25">
      <c r="A1006" s="7" t="s">
        <v>2398</v>
      </c>
      <c r="B1006" s="7" t="s">
        <v>2377</v>
      </c>
      <c r="C1006" s="8" t="s">
        <v>2399</v>
      </c>
      <c r="D1006" s="8" t="s">
        <v>2399</v>
      </c>
      <c r="E1006" s="8" t="s">
        <v>166</v>
      </c>
      <c r="F1006" s="8" t="s">
        <v>28</v>
      </c>
      <c r="G1006" s="8" t="s">
        <v>2400</v>
      </c>
    </row>
    <row r="1007" spans="1:7" ht="15" customHeight="1" x14ac:dyDescent="0.25">
      <c r="A1007" s="7" t="s">
        <v>2401</v>
      </c>
      <c r="B1007" s="7" t="s">
        <v>2402</v>
      </c>
      <c r="C1007" s="8" t="s">
        <v>623</v>
      </c>
      <c r="D1007" s="8" t="s">
        <v>623</v>
      </c>
      <c r="E1007" s="8" t="s">
        <v>166</v>
      </c>
      <c r="F1007" s="8" t="s">
        <v>59</v>
      </c>
      <c r="G1007" s="8" t="s">
        <v>2403</v>
      </c>
    </row>
    <row r="1008" spans="1:7" ht="15" customHeight="1" x14ac:dyDescent="0.25">
      <c r="A1008" s="7" t="s">
        <v>2404</v>
      </c>
      <c r="B1008" s="7" t="s">
        <v>2405</v>
      </c>
      <c r="C1008" s="8" t="s">
        <v>31</v>
      </c>
      <c r="D1008" s="8" t="s">
        <v>79</v>
      </c>
      <c r="E1008" s="8" t="s">
        <v>328</v>
      </c>
      <c r="F1008" s="8" t="s">
        <v>59</v>
      </c>
      <c r="G1008" s="8" t="s">
        <v>2406</v>
      </c>
    </row>
    <row r="1009" spans="1:7" ht="15" customHeight="1" x14ac:dyDescent="0.25">
      <c r="A1009" s="7" t="s">
        <v>1413</v>
      </c>
      <c r="B1009" s="7" t="s">
        <v>1104</v>
      </c>
      <c r="C1009" s="8" t="s">
        <v>117</v>
      </c>
      <c r="D1009" s="8" t="s">
        <v>314</v>
      </c>
      <c r="E1009" s="8" t="s">
        <v>76</v>
      </c>
      <c r="F1009" s="8" t="s">
        <v>476</v>
      </c>
      <c r="G1009" s="8" t="s">
        <v>1414</v>
      </c>
    </row>
    <row r="1010" spans="1:7" ht="15" customHeight="1" x14ac:dyDescent="0.25">
      <c r="A1010" s="7" t="s">
        <v>2407</v>
      </c>
      <c r="B1010" s="7" t="s">
        <v>2218</v>
      </c>
      <c r="C1010" s="8" t="s">
        <v>2408</v>
      </c>
      <c r="D1010" s="8" t="s">
        <v>2409</v>
      </c>
      <c r="E1010" s="8" t="s">
        <v>97</v>
      </c>
      <c r="F1010" s="8" t="s">
        <v>363</v>
      </c>
      <c r="G1010" s="8" t="s">
        <v>2410</v>
      </c>
    </row>
    <row r="1011" spans="1:7" ht="15" customHeight="1" x14ac:dyDescent="0.25">
      <c r="A1011" s="7" t="s">
        <v>2411</v>
      </c>
      <c r="B1011" s="7" t="s">
        <v>1963</v>
      </c>
      <c r="C1011" s="8" t="s">
        <v>2412</v>
      </c>
      <c r="D1011" s="8" t="s">
        <v>2413</v>
      </c>
      <c r="E1011" s="8" t="s">
        <v>118</v>
      </c>
      <c r="F1011" s="8" t="s">
        <v>65</v>
      </c>
      <c r="G1011" s="8" t="s">
        <v>2414</v>
      </c>
    </row>
    <row r="1012" spans="1:7" ht="15" customHeight="1" x14ac:dyDescent="0.25">
      <c r="A1012" s="7" t="s">
        <v>325</v>
      </c>
      <c r="B1012" s="7" t="s">
        <v>24</v>
      </c>
      <c r="C1012" s="8" t="s">
        <v>326</v>
      </c>
      <c r="D1012" s="8" t="s">
        <v>327</v>
      </c>
      <c r="E1012" s="8" t="s">
        <v>328</v>
      </c>
      <c r="F1012" s="8" t="s">
        <v>28</v>
      </c>
      <c r="G1012" s="8" t="s">
        <v>329</v>
      </c>
    </row>
    <row r="1013" spans="1:7" ht="15" customHeight="1" x14ac:dyDescent="0.25">
      <c r="A1013" s="7" t="s">
        <v>2415</v>
      </c>
      <c r="B1013" s="7" t="s">
        <v>1445</v>
      </c>
      <c r="C1013" s="8" t="s">
        <v>388</v>
      </c>
      <c r="D1013" s="8" t="s">
        <v>2258</v>
      </c>
      <c r="E1013" s="8" t="s">
        <v>58</v>
      </c>
      <c r="F1013" s="8" t="s">
        <v>28</v>
      </c>
      <c r="G1013" s="8" t="s">
        <v>2416</v>
      </c>
    </row>
    <row r="1014" spans="1:7" ht="15" customHeight="1" x14ac:dyDescent="0.25">
      <c r="A1014" s="7" t="s">
        <v>2417</v>
      </c>
      <c r="B1014" s="7" t="s">
        <v>1500</v>
      </c>
      <c r="C1014" s="8" t="s">
        <v>2418</v>
      </c>
      <c r="D1014" s="8" t="s">
        <v>2054</v>
      </c>
      <c r="E1014" s="8" t="s">
        <v>1315</v>
      </c>
      <c r="F1014" s="8" t="s">
        <v>86</v>
      </c>
      <c r="G1014" s="8" t="s">
        <v>2419</v>
      </c>
    </row>
    <row r="1015" spans="1:7" ht="15" customHeight="1" x14ac:dyDescent="0.25">
      <c r="A1015" s="7" t="s">
        <v>2420</v>
      </c>
      <c r="B1015" s="7" t="s">
        <v>1453</v>
      </c>
      <c r="C1015" s="8" t="s">
        <v>57</v>
      </c>
      <c r="D1015" s="8" t="s">
        <v>243</v>
      </c>
      <c r="E1015" s="8" t="s">
        <v>27</v>
      </c>
      <c r="F1015" s="8" t="s">
        <v>39</v>
      </c>
      <c r="G1015" s="8" t="s">
        <v>2421</v>
      </c>
    </row>
    <row r="1016" spans="1:7" ht="15" customHeight="1" x14ac:dyDescent="0.25">
      <c r="A1016" s="7" t="s">
        <v>2422</v>
      </c>
      <c r="B1016" s="7" t="s">
        <v>2423</v>
      </c>
      <c r="C1016" s="8" t="s">
        <v>2424</v>
      </c>
      <c r="D1016" s="8" t="s">
        <v>2425</v>
      </c>
      <c r="E1016" s="8" t="s">
        <v>107</v>
      </c>
      <c r="F1016" s="8" t="s">
        <v>34</v>
      </c>
      <c r="G1016" s="8" t="s">
        <v>760</v>
      </c>
    </row>
    <row r="1017" spans="1:7" ht="15" customHeight="1" x14ac:dyDescent="0.25">
      <c r="A1017" s="7" t="s">
        <v>2426</v>
      </c>
      <c r="B1017" s="7" t="s">
        <v>1341</v>
      </c>
      <c r="C1017" s="8" t="s">
        <v>377</v>
      </c>
      <c r="D1017" s="8" t="s">
        <v>1942</v>
      </c>
      <c r="E1017" s="8" t="s">
        <v>346</v>
      </c>
      <c r="F1017" s="8" t="s">
        <v>28</v>
      </c>
      <c r="G1017" s="8" t="s">
        <v>2427</v>
      </c>
    </row>
    <row r="1018" spans="1:7" ht="15" customHeight="1" x14ac:dyDescent="0.25">
      <c r="A1018" s="7" t="s">
        <v>2428</v>
      </c>
      <c r="B1018" s="7" t="s">
        <v>1818</v>
      </c>
      <c r="C1018" s="8" t="s">
        <v>79</v>
      </c>
      <c r="D1018" s="8" t="s">
        <v>149</v>
      </c>
      <c r="E1018" s="8" t="s">
        <v>94</v>
      </c>
      <c r="F1018" s="8" t="s">
        <v>123</v>
      </c>
      <c r="G1018" s="8" t="s">
        <v>2429</v>
      </c>
    </row>
    <row r="1019" spans="1:7" ht="15" customHeight="1" x14ac:dyDescent="0.25">
      <c r="A1019" s="7" t="s">
        <v>1435</v>
      </c>
      <c r="B1019" s="7" t="s">
        <v>1213</v>
      </c>
      <c r="C1019" s="8" t="s">
        <v>1335</v>
      </c>
      <c r="D1019" s="8" t="s">
        <v>232</v>
      </c>
      <c r="E1019" s="8" t="s">
        <v>80</v>
      </c>
      <c r="F1019" s="8" t="s">
        <v>119</v>
      </c>
      <c r="G1019" s="8" t="s">
        <v>1436</v>
      </c>
    </row>
    <row r="1020" spans="1:7" ht="15" customHeight="1" x14ac:dyDescent="0.25">
      <c r="A1020" s="7" t="s">
        <v>339</v>
      </c>
      <c r="B1020" s="7" t="s">
        <v>24</v>
      </c>
      <c r="C1020" s="8" t="s">
        <v>31</v>
      </c>
      <c r="D1020" s="8" t="s">
        <v>69</v>
      </c>
      <c r="E1020" s="8" t="s">
        <v>169</v>
      </c>
      <c r="F1020" s="8" t="s">
        <v>119</v>
      </c>
      <c r="G1020" s="8" t="s">
        <v>340</v>
      </c>
    </row>
    <row r="1021" spans="1:7" ht="15" customHeight="1" x14ac:dyDescent="0.25">
      <c r="A1021" s="7" t="s">
        <v>343</v>
      </c>
      <c r="B1021" s="7" t="s">
        <v>68</v>
      </c>
      <c r="C1021" s="8" t="s">
        <v>344</v>
      </c>
      <c r="D1021" s="8" t="s">
        <v>345</v>
      </c>
      <c r="E1021" s="8" t="s">
        <v>346</v>
      </c>
      <c r="F1021" s="8" t="s">
        <v>214</v>
      </c>
      <c r="G1021" s="8" t="s">
        <v>347</v>
      </c>
    </row>
    <row r="1022" spans="1:7" ht="15" customHeight="1" x14ac:dyDescent="0.25">
      <c r="A1022" s="7" t="s">
        <v>2430</v>
      </c>
      <c r="B1022" s="7" t="s">
        <v>1729</v>
      </c>
      <c r="C1022" s="8" t="s">
        <v>2431</v>
      </c>
      <c r="D1022" s="8" t="s">
        <v>69</v>
      </c>
      <c r="E1022" s="8" t="s">
        <v>131</v>
      </c>
      <c r="F1022" s="8" t="s">
        <v>65</v>
      </c>
      <c r="G1022" s="8" t="s">
        <v>2432</v>
      </c>
    </row>
    <row r="1023" spans="1:7" ht="15" customHeight="1" x14ac:dyDescent="0.25">
      <c r="A1023" s="7" t="s">
        <v>2433</v>
      </c>
      <c r="B1023" s="7" t="s">
        <v>1818</v>
      </c>
      <c r="C1023" s="8" t="s">
        <v>250</v>
      </c>
      <c r="D1023" s="8" t="s">
        <v>285</v>
      </c>
      <c r="E1023" s="8" t="s">
        <v>70</v>
      </c>
      <c r="F1023" s="8" t="s">
        <v>59</v>
      </c>
      <c r="G1023" s="8" t="s">
        <v>2434</v>
      </c>
    </row>
    <row r="1024" spans="1:7" ht="15" customHeight="1" x14ac:dyDescent="0.25">
      <c r="A1024" s="7" t="s">
        <v>2435</v>
      </c>
      <c r="B1024" s="7" t="s">
        <v>2436</v>
      </c>
      <c r="C1024" s="8" t="s">
        <v>242</v>
      </c>
      <c r="D1024" s="8" t="s">
        <v>2437</v>
      </c>
      <c r="E1024" s="8" t="s">
        <v>602</v>
      </c>
      <c r="F1024" s="8" t="s">
        <v>39</v>
      </c>
      <c r="G1024" s="8" t="s">
        <v>2438</v>
      </c>
    </row>
    <row r="1025" spans="1:7" ht="15" customHeight="1" x14ac:dyDescent="0.25">
      <c r="A1025" s="7" t="s">
        <v>2439</v>
      </c>
      <c r="B1025" s="7" t="s">
        <v>2440</v>
      </c>
      <c r="C1025" s="8" t="s">
        <v>220</v>
      </c>
      <c r="D1025" s="8" t="s">
        <v>2441</v>
      </c>
      <c r="E1025" s="8" t="s">
        <v>541</v>
      </c>
      <c r="F1025" s="8" t="s">
        <v>214</v>
      </c>
      <c r="G1025" s="8" t="s">
        <v>2442</v>
      </c>
    </row>
    <row r="1026" spans="1:7" ht="15" customHeight="1" x14ac:dyDescent="0.25">
      <c r="A1026" s="7" t="s">
        <v>2443</v>
      </c>
      <c r="B1026" s="7" t="s">
        <v>2444</v>
      </c>
      <c r="C1026" s="8" t="s">
        <v>220</v>
      </c>
      <c r="D1026" s="8" t="s">
        <v>1803</v>
      </c>
      <c r="E1026" s="8" t="s">
        <v>463</v>
      </c>
      <c r="F1026" s="8" t="s">
        <v>2445</v>
      </c>
      <c r="G1026" s="8" t="s">
        <v>2446</v>
      </c>
    </row>
    <row r="1027" spans="1:7" ht="15" customHeight="1" x14ac:dyDescent="0.25">
      <c r="A1027" s="7" t="s">
        <v>2447</v>
      </c>
      <c r="B1027" s="7" t="s">
        <v>2448</v>
      </c>
      <c r="C1027" s="8" t="s">
        <v>1556</v>
      </c>
      <c r="D1027" s="8" t="s">
        <v>69</v>
      </c>
      <c r="E1027" s="8" t="s">
        <v>239</v>
      </c>
      <c r="F1027" s="8" t="s">
        <v>59</v>
      </c>
      <c r="G1027" s="8" t="s">
        <v>2449</v>
      </c>
    </row>
    <row r="1028" spans="1:7" ht="15" customHeight="1" x14ac:dyDescent="0.25">
      <c r="A1028" s="7" t="s">
        <v>2450</v>
      </c>
      <c r="B1028" s="7" t="s">
        <v>2451</v>
      </c>
      <c r="C1028" s="8" t="s">
        <v>31</v>
      </c>
      <c r="D1028" s="8" t="s">
        <v>149</v>
      </c>
      <c r="E1028" s="8" t="s">
        <v>38</v>
      </c>
      <c r="F1028" s="8" t="s">
        <v>123</v>
      </c>
      <c r="G1028" s="8" t="s">
        <v>2452</v>
      </c>
    </row>
    <row r="1029" spans="1:7" ht="15" customHeight="1" x14ac:dyDescent="0.25">
      <c r="A1029" s="7" t="s">
        <v>2453</v>
      </c>
      <c r="B1029" s="7" t="s">
        <v>2451</v>
      </c>
      <c r="C1029" s="8" t="s">
        <v>2454</v>
      </c>
      <c r="D1029" s="8" t="s">
        <v>57</v>
      </c>
      <c r="E1029" s="8" t="s">
        <v>127</v>
      </c>
      <c r="F1029" s="8" t="s">
        <v>39</v>
      </c>
      <c r="G1029" s="8" t="s">
        <v>2455</v>
      </c>
    </row>
    <row r="1030" spans="1:7" ht="15" customHeight="1" x14ac:dyDescent="0.25">
      <c r="A1030" s="7" t="s">
        <v>2456</v>
      </c>
      <c r="B1030" s="7" t="s">
        <v>2457</v>
      </c>
      <c r="C1030" s="8" t="s">
        <v>31</v>
      </c>
      <c r="D1030" s="8" t="s">
        <v>1062</v>
      </c>
      <c r="E1030" s="8" t="s">
        <v>94</v>
      </c>
      <c r="F1030" s="8" t="s">
        <v>59</v>
      </c>
      <c r="G1030" s="8" t="s">
        <v>2458</v>
      </c>
    </row>
    <row r="1031" spans="1:7" ht="15" customHeight="1" x14ac:dyDescent="0.25">
      <c r="A1031" s="7" t="s">
        <v>2459</v>
      </c>
      <c r="B1031" s="7" t="s">
        <v>2436</v>
      </c>
      <c r="C1031" s="8" t="s">
        <v>489</v>
      </c>
      <c r="D1031" s="8" t="s">
        <v>2437</v>
      </c>
      <c r="E1031" s="8" t="s">
        <v>463</v>
      </c>
      <c r="F1031" s="8" t="s">
        <v>39</v>
      </c>
      <c r="G1031" s="8" t="s">
        <v>2460</v>
      </c>
    </row>
    <row r="1032" spans="1:7" ht="15" customHeight="1" x14ac:dyDescent="0.25">
      <c r="A1032" s="7" t="s">
        <v>2461</v>
      </c>
      <c r="B1032" s="7" t="s">
        <v>2440</v>
      </c>
      <c r="C1032" s="8" t="s">
        <v>243</v>
      </c>
      <c r="D1032" s="8" t="s">
        <v>1700</v>
      </c>
      <c r="E1032" s="8" t="s">
        <v>1134</v>
      </c>
      <c r="F1032" s="8" t="s">
        <v>39</v>
      </c>
      <c r="G1032" s="8" t="s">
        <v>2462</v>
      </c>
    </row>
    <row r="1033" spans="1:7" ht="15" customHeight="1" x14ac:dyDescent="0.25">
      <c r="A1033" s="7" t="s">
        <v>2463</v>
      </c>
      <c r="B1033" s="7" t="s">
        <v>2436</v>
      </c>
      <c r="C1033" s="8" t="s">
        <v>489</v>
      </c>
      <c r="D1033" s="8" t="s">
        <v>2464</v>
      </c>
      <c r="E1033" s="8" t="s">
        <v>602</v>
      </c>
      <c r="F1033" s="8" t="s">
        <v>39</v>
      </c>
      <c r="G1033" s="8" t="s">
        <v>2465</v>
      </c>
    </row>
    <row r="1034" spans="1:7" ht="15" customHeight="1" x14ac:dyDescent="0.25">
      <c r="A1034" s="7" t="s">
        <v>2466</v>
      </c>
      <c r="B1034" s="7" t="s">
        <v>2467</v>
      </c>
      <c r="C1034" s="8" t="s">
        <v>483</v>
      </c>
      <c r="D1034" s="8" t="s">
        <v>2468</v>
      </c>
      <c r="E1034" s="8" t="s">
        <v>281</v>
      </c>
      <c r="F1034" s="8" t="s">
        <v>363</v>
      </c>
      <c r="G1034" s="8" t="s">
        <v>2469</v>
      </c>
    </row>
    <row r="1035" spans="1:7" ht="15" customHeight="1" x14ac:dyDescent="0.25">
      <c r="A1035" s="7" t="s">
        <v>2470</v>
      </c>
      <c r="B1035" s="7" t="s">
        <v>2436</v>
      </c>
      <c r="C1035" s="8" t="s">
        <v>2471</v>
      </c>
      <c r="D1035" s="8" t="s">
        <v>2016</v>
      </c>
      <c r="E1035" s="8" t="s">
        <v>350</v>
      </c>
      <c r="F1035" s="8" t="s">
        <v>363</v>
      </c>
      <c r="G1035" s="8" t="s">
        <v>2472</v>
      </c>
    </row>
    <row r="1036" spans="1:7" ht="15" customHeight="1" x14ac:dyDescent="0.25">
      <c r="A1036" s="7" t="s">
        <v>2473</v>
      </c>
      <c r="B1036" s="7" t="s">
        <v>2448</v>
      </c>
      <c r="C1036" s="8" t="s">
        <v>57</v>
      </c>
      <c r="D1036" s="8" t="s">
        <v>69</v>
      </c>
      <c r="E1036" s="8" t="s">
        <v>70</v>
      </c>
      <c r="F1036" s="8" t="s">
        <v>59</v>
      </c>
      <c r="G1036" s="8" t="s">
        <v>2474</v>
      </c>
    </row>
    <row r="1037" spans="1:7" ht="15" customHeight="1" x14ac:dyDescent="0.25">
      <c r="A1037" s="7" t="s">
        <v>2475</v>
      </c>
      <c r="B1037" s="7" t="s">
        <v>2444</v>
      </c>
      <c r="C1037" s="8" t="s">
        <v>2476</v>
      </c>
      <c r="D1037" s="8" t="s">
        <v>1850</v>
      </c>
      <c r="E1037" s="8" t="s">
        <v>942</v>
      </c>
      <c r="F1037" s="8" t="s">
        <v>59</v>
      </c>
      <c r="G1037" s="8" t="s">
        <v>2477</v>
      </c>
    </row>
    <row r="1038" spans="1:7" ht="15" customHeight="1" x14ac:dyDescent="0.25">
      <c r="A1038" s="7" t="s">
        <v>2478</v>
      </c>
      <c r="B1038" s="7" t="s">
        <v>2479</v>
      </c>
      <c r="C1038" s="8" t="s">
        <v>106</v>
      </c>
      <c r="D1038" s="8" t="s">
        <v>57</v>
      </c>
      <c r="E1038" s="8" t="s">
        <v>70</v>
      </c>
      <c r="F1038" s="8" t="s">
        <v>201</v>
      </c>
      <c r="G1038" s="8" t="s">
        <v>2480</v>
      </c>
    </row>
    <row r="1039" spans="1:7" ht="15" customHeight="1" x14ac:dyDescent="0.25">
      <c r="A1039" s="7" t="s">
        <v>2481</v>
      </c>
      <c r="B1039" s="7" t="s">
        <v>2482</v>
      </c>
      <c r="C1039" s="8" t="s">
        <v>2483</v>
      </c>
      <c r="D1039" s="8" t="s">
        <v>274</v>
      </c>
      <c r="E1039" s="8" t="s">
        <v>76</v>
      </c>
      <c r="F1039" s="8" t="s">
        <v>28</v>
      </c>
      <c r="G1039" s="8" t="s">
        <v>2484</v>
      </c>
    </row>
    <row r="1040" spans="1:7" ht="15" customHeight="1" x14ac:dyDescent="0.25">
      <c r="A1040" s="7" t="s">
        <v>2485</v>
      </c>
      <c r="B1040" s="7" t="s">
        <v>2486</v>
      </c>
      <c r="C1040" s="8" t="s">
        <v>1514</v>
      </c>
      <c r="D1040" s="8" t="s">
        <v>1574</v>
      </c>
      <c r="E1040" s="8" t="s">
        <v>602</v>
      </c>
      <c r="F1040" s="8" t="s">
        <v>2445</v>
      </c>
      <c r="G1040" s="8" t="s">
        <v>2487</v>
      </c>
    </row>
    <row r="1041" spans="1:7" ht="15" customHeight="1" x14ac:dyDescent="0.25">
      <c r="A1041" s="7" t="s">
        <v>2488</v>
      </c>
      <c r="B1041" s="7" t="s">
        <v>2489</v>
      </c>
      <c r="C1041" s="8" t="s">
        <v>2490</v>
      </c>
      <c r="D1041" s="8" t="s">
        <v>2491</v>
      </c>
      <c r="E1041" s="8" t="s">
        <v>136</v>
      </c>
      <c r="F1041" s="8" t="s">
        <v>65</v>
      </c>
      <c r="G1041" s="8" t="s">
        <v>2492</v>
      </c>
    </row>
    <row r="1042" spans="1:7" ht="15" customHeight="1" x14ac:dyDescent="0.25">
      <c r="A1042" s="7" t="s">
        <v>2493</v>
      </c>
      <c r="B1042" s="7" t="s">
        <v>2494</v>
      </c>
      <c r="C1042" s="8" t="s">
        <v>2495</v>
      </c>
      <c r="D1042" s="8" t="s">
        <v>101</v>
      </c>
      <c r="E1042" s="8" t="s">
        <v>44</v>
      </c>
      <c r="F1042" s="8" t="s">
        <v>2445</v>
      </c>
      <c r="G1042" s="8" t="s">
        <v>2496</v>
      </c>
    </row>
    <row r="1043" spans="1:7" ht="15" customHeight="1" x14ac:dyDescent="0.25">
      <c r="A1043" s="7" t="s">
        <v>2497</v>
      </c>
      <c r="B1043" s="7" t="s">
        <v>2436</v>
      </c>
      <c r="C1043" s="8" t="s">
        <v>2498</v>
      </c>
      <c r="D1043" s="8" t="s">
        <v>2499</v>
      </c>
      <c r="E1043" s="8" t="s">
        <v>118</v>
      </c>
      <c r="F1043" s="8" t="s">
        <v>119</v>
      </c>
      <c r="G1043" s="8" t="s">
        <v>2500</v>
      </c>
    </row>
    <row r="1044" spans="1:7" ht="15" customHeight="1" x14ac:dyDescent="0.25">
      <c r="A1044" s="7" t="s">
        <v>2501</v>
      </c>
      <c r="B1044" s="7" t="s">
        <v>2489</v>
      </c>
      <c r="C1044" s="8" t="s">
        <v>1335</v>
      </c>
      <c r="D1044" s="8" t="s">
        <v>2502</v>
      </c>
      <c r="E1044" s="8" t="s">
        <v>254</v>
      </c>
      <c r="F1044" s="8" t="s">
        <v>59</v>
      </c>
      <c r="G1044" s="8" t="s">
        <v>2503</v>
      </c>
    </row>
    <row r="1045" spans="1:7" ht="15" customHeight="1" x14ac:dyDescent="0.25">
      <c r="A1045" s="7" t="s">
        <v>2504</v>
      </c>
      <c r="B1045" s="7" t="s">
        <v>2505</v>
      </c>
      <c r="C1045" s="8" t="s">
        <v>220</v>
      </c>
      <c r="D1045" s="8" t="s">
        <v>1803</v>
      </c>
      <c r="E1045" s="8" t="s">
        <v>463</v>
      </c>
      <c r="F1045" s="8" t="s">
        <v>2445</v>
      </c>
      <c r="G1045" s="8" t="s">
        <v>2506</v>
      </c>
    </row>
    <row r="1046" spans="1:7" ht="15" customHeight="1" x14ac:dyDescent="0.25">
      <c r="A1046" s="7" t="s">
        <v>2507</v>
      </c>
      <c r="B1046" s="7" t="s">
        <v>2508</v>
      </c>
      <c r="C1046" s="8" t="s">
        <v>1538</v>
      </c>
      <c r="D1046" s="8" t="s">
        <v>2509</v>
      </c>
      <c r="E1046" s="8" t="s">
        <v>206</v>
      </c>
      <c r="F1046" s="8" t="s">
        <v>28</v>
      </c>
      <c r="G1046" s="8" t="s">
        <v>2510</v>
      </c>
    </row>
    <row r="1047" spans="1:7" ht="15" customHeight="1" x14ac:dyDescent="0.25">
      <c r="A1047" s="7" t="s">
        <v>2511</v>
      </c>
      <c r="B1047" s="7" t="s">
        <v>2486</v>
      </c>
      <c r="C1047" s="8" t="s">
        <v>327</v>
      </c>
      <c r="D1047" s="8" t="s">
        <v>910</v>
      </c>
      <c r="E1047" s="8" t="s">
        <v>80</v>
      </c>
      <c r="F1047" s="8" t="s">
        <v>363</v>
      </c>
      <c r="G1047" s="8" t="s">
        <v>2512</v>
      </c>
    </row>
    <row r="1048" spans="1:7" ht="15" customHeight="1" x14ac:dyDescent="0.25">
      <c r="A1048" s="7" t="s">
        <v>2513</v>
      </c>
      <c r="B1048" s="7" t="s">
        <v>2482</v>
      </c>
      <c r="C1048" s="8" t="s">
        <v>165</v>
      </c>
      <c r="D1048" s="8" t="s">
        <v>2514</v>
      </c>
      <c r="E1048" s="8" t="s">
        <v>797</v>
      </c>
      <c r="F1048" s="8" t="s">
        <v>28</v>
      </c>
      <c r="G1048" s="8" t="s">
        <v>2515</v>
      </c>
    </row>
    <row r="1049" spans="1:7" ht="15" customHeight="1" x14ac:dyDescent="0.25">
      <c r="A1049" s="7" t="s">
        <v>2516</v>
      </c>
      <c r="B1049" s="7" t="s">
        <v>2486</v>
      </c>
      <c r="C1049" s="8" t="s">
        <v>149</v>
      </c>
      <c r="D1049" s="8" t="s">
        <v>2517</v>
      </c>
      <c r="E1049" s="8" t="s">
        <v>107</v>
      </c>
      <c r="F1049" s="8" t="s">
        <v>28</v>
      </c>
      <c r="G1049" s="8" t="s">
        <v>2518</v>
      </c>
    </row>
    <row r="1050" spans="1:7" ht="15" customHeight="1" x14ac:dyDescent="0.25">
      <c r="A1050" s="7" t="s">
        <v>2519</v>
      </c>
      <c r="B1050" s="7" t="s">
        <v>2505</v>
      </c>
      <c r="C1050" s="8" t="s">
        <v>614</v>
      </c>
      <c r="D1050" s="8" t="s">
        <v>52</v>
      </c>
      <c r="E1050" s="8" t="s">
        <v>222</v>
      </c>
      <c r="F1050" s="8" t="s">
        <v>214</v>
      </c>
      <c r="G1050" s="8" t="s">
        <v>2520</v>
      </c>
    </row>
    <row r="1051" spans="1:7" ht="15" customHeight="1" x14ac:dyDescent="0.25">
      <c r="A1051" s="7" t="s">
        <v>2521</v>
      </c>
      <c r="B1051" s="7" t="s">
        <v>2440</v>
      </c>
      <c r="C1051" s="8" t="s">
        <v>69</v>
      </c>
      <c r="D1051" s="8" t="s">
        <v>1803</v>
      </c>
      <c r="E1051" s="8" t="s">
        <v>70</v>
      </c>
      <c r="F1051" s="8" t="s">
        <v>363</v>
      </c>
      <c r="G1051" s="8" t="s">
        <v>2522</v>
      </c>
    </row>
    <row r="1052" spans="1:7" ht="15" customHeight="1" x14ac:dyDescent="0.25">
      <c r="A1052" s="7" t="s">
        <v>2523</v>
      </c>
      <c r="B1052" s="7" t="s">
        <v>2448</v>
      </c>
      <c r="C1052" s="8" t="s">
        <v>2348</v>
      </c>
      <c r="D1052" s="8" t="s">
        <v>149</v>
      </c>
      <c r="E1052" s="8" t="s">
        <v>169</v>
      </c>
      <c r="F1052" s="8" t="s">
        <v>59</v>
      </c>
      <c r="G1052" s="8" t="s">
        <v>2524</v>
      </c>
    </row>
    <row r="1053" spans="1:7" ht="15" customHeight="1" x14ac:dyDescent="0.25">
      <c r="A1053" s="7" t="s">
        <v>2525</v>
      </c>
      <c r="B1053" s="7" t="s">
        <v>2526</v>
      </c>
      <c r="C1053" s="8" t="s">
        <v>1084</v>
      </c>
      <c r="D1053" s="8" t="s">
        <v>1910</v>
      </c>
      <c r="E1053" s="8" t="s">
        <v>144</v>
      </c>
      <c r="F1053" s="8" t="s">
        <v>59</v>
      </c>
      <c r="G1053" s="8" t="s">
        <v>2527</v>
      </c>
    </row>
    <row r="1054" spans="1:7" ht="15" customHeight="1" x14ac:dyDescent="0.25">
      <c r="A1054" s="7" t="s">
        <v>2528</v>
      </c>
      <c r="B1054" s="7" t="s">
        <v>2436</v>
      </c>
      <c r="C1054" s="8" t="s">
        <v>43</v>
      </c>
      <c r="D1054" s="8" t="s">
        <v>2529</v>
      </c>
      <c r="E1054" s="8" t="s">
        <v>254</v>
      </c>
      <c r="F1054" s="8" t="s">
        <v>59</v>
      </c>
      <c r="G1054" s="8" t="s">
        <v>2530</v>
      </c>
    </row>
    <row r="1055" spans="1:7" ht="15" customHeight="1" x14ac:dyDescent="0.25">
      <c r="A1055" s="7" t="s">
        <v>2531</v>
      </c>
      <c r="B1055" s="7" t="s">
        <v>2467</v>
      </c>
      <c r="C1055" s="8" t="s">
        <v>2532</v>
      </c>
      <c r="D1055" s="8" t="s">
        <v>2533</v>
      </c>
      <c r="E1055" s="8" t="s">
        <v>127</v>
      </c>
      <c r="F1055" s="8" t="s">
        <v>59</v>
      </c>
      <c r="G1055" s="8" t="s">
        <v>2534</v>
      </c>
    </row>
    <row r="1056" spans="1:7" ht="15" customHeight="1" x14ac:dyDescent="0.25">
      <c r="A1056" s="7" t="s">
        <v>2535</v>
      </c>
      <c r="B1056" s="7" t="s">
        <v>2536</v>
      </c>
      <c r="C1056" s="8" t="s">
        <v>2388</v>
      </c>
      <c r="D1056" s="8" t="s">
        <v>2537</v>
      </c>
      <c r="E1056" s="8" t="s">
        <v>76</v>
      </c>
      <c r="F1056" s="8" t="s">
        <v>28</v>
      </c>
      <c r="G1056" s="8" t="s">
        <v>953</v>
      </c>
    </row>
    <row r="1057" spans="1:7" ht="15" customHeight="1" x14ac:dyDescent="0.25">
      <c r="A1057" s="7" t="s">
        <v>2538</v>
      </c>
      <c r="B1057" s="7" t="s">
        <v>2539</v>
      </c>
      <c r="C1057" s="8" t="s">
        <v>2540</v>
      </c>
      <c r="D1057" s="8" t="s">
        <v>69</v>
      </c>
      <c r="E1057" s="8" t="s">
        <v>58</v>
      </c>
      <c r="F1057" s="8" t="s">
        <v>2445</v>
      </c>
      <c r="G1057" s="8" t="s">
        <v>2541</v>
      </c>
    </row>
    <row r="1058" spans="1:7" ht="15" customHeight="1" x14ac:dyDescent="0.25">
      <c r="A1058" s="7" t="s">
        <v>2542</v>
      </c>
      <c r="B1058" s="7" t="s">
        <v>2543</v>
      </c>
      <c r="C1058" s="8" t="s">
        <v>2544</v>
      </c>
      <c r="D1058" s="8" t="s">
        <v>2545</v>
      </c>
      <c r="E1058" s="8" t="s">
        <v>1456</v>
      </c>
      <c r="F1058" s="8" t="s">
        <v>65</v>
      </c>
      <c r="G1058" s="8" t="s">
        <v>2546</v>
      </c>
    </row>
    <row r="1059" spans="1:7" ht="15" customHeight="1" x14ac:dyDescent="0.25">
      <c r="A1059" s="7" t="s">
        <v>2547</v>
      </c>
      <c r="B1059" s="7" t="s">
        <v>2526</v>
      </c>
      <c r="C1059" s="8" t="s">
        <v>371</v>
      </c>
      <c r="D1059" s="8" t="s">
        <v>1549</v>
      </c>
      <c r="E1059" s="8" t="s">
        <v>103</v>
      </c>
      <c r="F1059" s="8" t="s">
        <v>28</v>
      </c>
      <c r="G1059" s="8" t="s">
        <v>2548</v>
      </c>
    </row>
    <row r="1060" spans="1:7" ht="15" customHeight="1" x14ac:dyDescent="0.25">
      <c r="A1060" s="7" t="s">
        <v>2549</v>
      </c>
      <c r="B1060" s="7" t="s">
        <v>2448</v>
      </c>
      <c r="C1060" s="8" t="s">
        <v>2550</v>
      </c>
      <c r="D1060" s="8" t="s">
        <v>250</v>
      </c>
      <c r="E1060" s="8" t="s">
        <v>76</v>
      </c>
      <c r="F1060" s="8" t="s">
        <v>28</v>
      </c>
      <c r="G1060" s="8" t="s">
        <v>2551</v>
      </c>
    </row>
    <row r="1061" spans="1:7" ht="15" customHeight="1" x14ac:dyDescent="0.25">
      <c r="A1061" s="7" t="s">
        <v>2552</v>
      </c>
      <c r="B1061" s="7" t="s">
        <v>2505</v>
      </c>
      <c r="C1061" s="8" t="s">
        <v>2553</v>
      </c>
      <c r="D1061" s="8" t="s">
        <v>2554</v>
      </c>
      <c r="E1061" s="8" t="s">
        <v>602</v>
      </c>
      <c r="F1061" s="8" t="s">
        <v>123</v>
      </c>
      <c r="G1061" s="8" t="s">
        <v>2555</v>
      </c>
    </row>
    <row r="1062" spans="1:7" ht="15" customHeight="1" x14ac:dyDescent="0.25">
      <c r="A1062" s="7" t="s">
        <v>2556</v>
      </c>
      <c r="B1062" s="7" t="s">
        <v>2557</v>
      </c>
      <c r="C1062" s="8" t="s">
        <v>2558</v>
      </c>
      <c r="D1062" s="8" t="s">
        <v>2559</v>
      </c>
      <c r="E1062" s="8" t="s">
        <v>48</v>
      </c>
      <c r="F1062" s="8" t="s">
        <v>59</v>
      </c>
      <c r="G1062" s="8" t="s">
        <v>2560</v>
      </c>
    </row>
    <row r="1063" spans="1:7" ht="15" customHeight="1" x14ac:dyDescent="0.25">
      <c r="A1063" s="7" t="s">
        <v>2561</v>
      </c>
      <c r="B1063" s="7" t="s">
        <v>2448</v>
      </c>
      <c r="C1063" s="8" t="s">
        <v>682</v>
      </c>
      <c r="D1063" s="8" t="s">
        <v>2441</v>
      </c>
      <c r="E1063" s="8" t="s">
        <v>1808</v>
      </c>
      <c r="F1063" s="8" t="s">
        <v>86</v>
      </c>
      <c r="G1063" s="8" t="s">
        <v>2562</v>
      </c>
    </row>
    <row r="1064" spans="1:7" ht="15" customHeight="1" x14ac:dyDescent="0.25">
      <c r="A1064" s="7" t="s">
        <v>2563</v>
      </c>
      <c r="B1064" s="7" t="s">
        <v>2440</v>
      </c>
      <c r="C1064" s="8" t="s">
        <v>556</v>
      </c>
      <c r="D1064" s="8" t="s">
        <v>2564</v>
      </c>
      <c r="E1064" s="8" t="s">
        <v>296</v>
      </c>
      <c r="F1064" s="8" t="s">
        <v>363</v>
      </c>
      <c r="G1064" s="8" t="s">
        <v>2565</v>
      </c>
    </row>
    <row r="1065" spans="1:7" ht="15" customHeight="1" x14ac:dyDescent="0.25">
      <c r="A1065" s="7" t="s">
        <v>2566</v>
      </c>
      <c r="B1065" s="7" t="s">
        <v>2567</v>
      </c>
      <c r="C1065" s="8" t="s">
        <v>2568</v>
      </c>
      <c r="D1065" s="8" t="s">
        <v>1214</v>
      </c>
      <c r="E1065" s="8" t="s">
        <v>1009</v>
      </c>
      <c r="F1065" s="8" t="s">
        <v>2445</v>
      </c>
      <c r="G1065" s="8" t="s">
        <v>2569</v>
      </c>
    </row>
    <row r="1066" spans="1:7" ht="15" customHeight="1" x14ac:dyDescent="0.25">
      <c r="A1066" s="7" t="s">
        <v>2570</v>
      </c>
      <c r="B1066" s="7" t="s">
        <v>2467</v>
      </c>
      <c r="C1066" s="8" t="s">
        <v>2571</v>
      </c>
      <c r="D1066" s="8" t="s">
        <v>2572</v>
      </c>
      <c r="E1066" s="8" t="s">
        <v>113</v>
      </c>
      <c r="F1066" s="8" t="s">
        <v>28</v>
      </c>
      <c r="G1066" s="8" t="s">
        <v>2573</v>
      </c>
    </row>
    <row r="1067" spans="1:7" ht="15" customHeight="1" x14ac:dyDescent="0.25">
      <c r="A1067" s="7" t="s">
        <v>2574</v>
      </c>
      <c r="B1067" s="7" t="s">
        <v>2467</v>
      </c>
      <c r="C1067" s="8" t="s">
        <v>117</v>
      </c>
      <c r="D1067" s="8" t="s">
        <v>2575</v>
      </c>
      <c r="E1067" s="8" t="s">
        <v>70</v>
      </c>
      <c r="F1067" s="8" t="s">
        <v>363</v>
      </c>
      <c r="G1067" s="8" t="s">
        <v>2576</v>
      </c>
    </row>
    <row r="1068" spans="1:7" ht="15" customHeight="1" x14ac:dyDescent="0.25">
      <c r="A1068" s="7" t="s">
        <v>2577</v>
      </c>
      <c r="B1068" s="7" t="s">
        <v>2436</v>
      </c>
      <c r="C1068" s="8" t="s">
        <v>2578</v>
      </c>
      <c r="D1068" s="8" t="s">
        <v>483</v>
      </c>
      <c r="E1068" s="8" t="s">
        <v>515</v>
      </c>
      <c r="F1068" s="8" t="s">
        <v>28</v>
      </c>
      <c r="G1068" s="8" t="s">
        <v>2579</v>
      </c>
    </row>
    <row r="1069" spans="1:7" ht="15" customHeight="1" x14ac:dyDescent="0.25">
      <c r="A1069" s="7" t="s">
        <v>2580</v>
      </c>
      <c r="B1069" s="7" t="s">
        <v>2440</v>
      </c>
      <c r="C1069" s="8" t="s">
        <v>489</v>
      </c>
      <c r="D1069" s="8" t="s">
        <v>2581</v>
      </c>
      <c r="E1069" s="8" t="s">
        <v>826</v>
      </c>
      <c r="F1069" s="8" t="s">
        <v>2445</v>
      </c>
      <c r="G1069" s="8" t="s">
        <v>2582</v>
      </c>
    </row>
    <row r="1070" spans="1:7" ht="15" customHeight="1" x14ac:dyDescent="0.25">
      <c r="A1070" s="7" t="s">
        <v>2583</v>
      </c>
      <c r="B1070" s="7" t="s">
        <v>2486</v>
      </c>
      <c r="C1070" s="8" t="s">
        <v>1375</v>
      </c>
      <c r="D1070" s="8" t="s">
        <v>2584</v>
      </c>
      <c r="E1070" s="8" t="s">
        <v>463</v>
      </c>
      <c r="F1070" s="8" t="s">
        <v>39</v>
      </c>
      <c r="G1070" s="8" t="s">
        <v>2585</v>
      </c>
    </row>
    <row r="1071" spans="1:7" ht="15" customHeight="1" x14ac:dyDescent="0.25">
      <c r="A1071" s="7" t="s">
        <v>2586</v>
      </c>
      <c r="B1071" s="7" t="s">
        <v>2587</v>
      </c>
      <c r="C1071" s="8" t="s">
        <v>592</v>
      </c>
      <c r="D1071" s="8" t="s">
        <v>69</v>
      </c>
      <c r="E1071" s="8" t="s">
        <v>228</v>
      </c>
      <c r="F1071" s="8" t="s">
        <v>65</v>
      </c>
      <c r="G1071" s="8" t="s">
        <v>2588</v>
      </c>
    </row>
    <row r="1072" spans="1:7" ht="15" customHeight="1" x14ac:dyDescent="0.25">
      <c r="A1072" s="7" t="s">
        <v>2589</v>
      </c>
      <c r="B1072" s="7" t="s">
        <v>2440</v>
      </c>
      <c r="C1072" s="8" t="s">
        <v>26</v>
      </c>
      <c r="D1072" s="8" t="s">
        <v>1345</v>
      </c>
      <c r="E1072" s="8" t="s">
        <v>239</v>
      </c>
      <c r="F1072" s="8" t="s">
        <v>363</v>
      </c>
      <c r="G1072" s="8" t="s">
        <v>2445</v>
      </c>
    </row>
    <row r="1073" spans="1:7" ht="15" customHeight="1" x14ac:dyDescent="0.25">
      <c r="A1073" s="7" t="s">
        <v>2590</v>
      </c>
      <c r="B1073" s="7" t="s">
        <v>2505</v>
      </c>
      <c r="C1073" s="8" t="s">
        <v>489</v>
      </c>
      <c r="D1073" s="8" t="s">
        <v>327</v>
      </c>
      <c r="E1073" s="8" t="s">
        <v>136</v>
      </c>
      <c r="F1073" s="8" t="s">
        <v>2445</v>
      </c>
      <c r="G1073" s="8" t="s">
        <v>1347</v>
      </c>
    </row>
    <row r="1074" spans="1:7" ht="15" customHeight="1" x14ac:dyDescent="0.25">
      <c r="A1074" s="7" t="s">
        <v>2591</v>
      </c>
      <c r="B1074" s="7" t="s">
        <v>2592</v>
      </c>
      <c r="C1074" s="8" t="s">
        <v>327</v>
      </c>
      <c r="D1074" s="8" t="s">
        <v>327</v>
      </c>
      <c r="E1074" s="8" t="s">
        <v>166</v>
      </c>
      <c r="F1074" s="8" t="s">
        <v>28</v>
      </c>
      <c r="G1074" s="8" t="s">
        <v>2593</v>
      </c>
    </row>
    <row r="1075" spans="1:7" ht="15" customHeight="1" x14ac:dyDescent="0.25">
      <c r="A1075" s="7" t="s">
        <v>2594</v>
      </c>
      <c r="B1075" s="7" t="s">
        <v>2482</v>
      </c>
      <c r="C1075" s="8" t="s">
        <v>614</v>
      </c>
      <c r="D1075" s="8" t="s">
        <v>2374</v>
      </c>
      <c r="E1075" s="8" t="s">
        <v>70</v>
      </c>
      <c r="F1075" s="8" t="s">
        <v>28</v>
      </c>
      <c r="G1075" s="8" t="s">
        <v>2595</v>
      </c>
    </row>
    <row r="1076" spans="1:7" ht="15" customHeight="1" x14ac:dyDescent="0.25">
      <c r="A1076" s="7" t="s">
        <v>2596</v>
      </c>
      <c r="B1076" s="7" t="s">
        <v>2444</v>
      </c>
      <c r="C1076" s="8" t="s">
        <v>90</v>
      </c>
      <c r="D1076" s="8" t="s">
        <v>1803</v>
      </c>
      <c r="E1076" s="8" t="s">
        <v>76</v>
      </c>
      <c r="F1076" s="8" t="s">
        <v>214</v>
      </c>
      <c r="G1076" s="8" t="s">
        <v>2597</v>
      </c>
    </row>
    <row r="1077" spans="1:7" ht="15" customHeight="1" x14ac:dyDescent="0.25">
      <c r="A1077" s="7" t="s">
        <v>2598</v>
      </c>
      <c r="B1077" s="7" t="s">
        <v>2482</v>
      </c>
      <c r="C1077" s="8" t="s">
        <v>2599</v>
      </c>
      <c r="D1077" s="8" t="s">
        <v>2554</v>
      </c>
      <c r="E1077" s="8" t="s">
        <v>1206</v>
      </c>
      <c r="F1077" s="8" t="s">
        <v>65</v>
      </c>
      <c r="G1077" s="8" t="s">
        <v>2600</v>
      </c>
    </row>
    <row r="1078" spans="1:7" ht="15" customHeight="1" x14ac:dyDescent="0.25">
      <c r="A1078" s="7" t="s">
        <v>2601</v>
      </c>
      <c r="B1078" s="7" t="s">
        <v>2448</v>
      </c>
      <c r="C1078" s="8" t="s">
        <v>26</v>
      </c>
      <c r="D1078" s="8" t="s">
        <v>149</v>
      </c>
      <c r="E1078" s="8" t="s">
        <v>222</v>
      </c>
      <c r="F1078" s="8" t="s">
        <v>2445</v>
      </c>
      <c r="G1078" s="8" t="s">
        <v>2602</v>
      </c>
    </row>
    <row r="1079" spans="1:7" ht="15" customHeight="1" x14ac:dyDescent="0.25">
      <c r="A1079" s="7" t="s">
        <v>2603</v>
      </c>
      <c r="B1079" s="7" t="s">
        <v>2482</v>
      </c>
      <c r="C1079" s="8" t="s">
        <v>2250</v>
      </c>
      <c r="D1079" s="8" t="s">
        <v>2604</v>
      </c>
      <c r="E1079" s="8" t="s">
        <v>942</v>
      </c>
      <c r="F1079" s="8" t="s">
        <v>28</v>
      </c>
      <c r="G1079" s="8" t="s">
        <v>2605</v>
      </c>
    </row>
    <row r="1080" spans="1:7" ht="15" customHeight="1" x14ac:dyDescent="0.25">
      <c r="A1080" s="7" t="s">
        <v>2606</v>
      </c>
      <c r="B1080" s="7" t="s">
        <v>2508</v>
      </c>
      <c r="C1080" s="8" t="s">
        <v>1725</v>
      </c>
      <c r="D1080" s="8" t="s">
        <v>2607</v>
      </c>
      <c r="E1080" s="8" t="s">
        <v>453</v>
      </c>
      <c r="F1080" s="8" t="s">
        <v>59</v>
      </c>
      <c r="G1080" s="8" t="s">
        <v>2608</v>
      </c>
    </row>
    <row r="1081" spans="1:7" ht="15" customHeight="1" x14ac:dyDescent="0.25">
      <c r="A1081" s="7" t="s">
        <v>2609</v>
      </c>
      <c r="B1081" s="7" t="s">
        <v>2543</v>
      </c>
      <c r="C1081" s="8" t="s">
        <v>2610</v>
      </c>
      <c r="D1081" s="8" t="s">
        <v>2611</v>
      </c>
      <c r="E1081" s="8" t="s">
        <v>797</v>
      </c>
      <c r="F1081" s="8" t="s">
        <v>2445</v>
      </c>
      <c r="G1081" s="8" t="s">
        <v>2612</v>
      </c>
    </row>
    <row r="1082" spans="1:7" ht="15" customHeight="1" x14ac:dyDescent="0.25">
      <c r="A1082" s="7" t="s">
        <v>2613</v>
      </c>
      <c r="B1082" s="7" t="s">
        <v>2440</v>
      </c>
      <c r="C1082" s="8" t="s">
        <v>79</v>
      </c>
      <c r="D1082" s="8" t="s">
        <v>1291</v>
      </c>
      <c r="E1082" s="8" t="s">
        <v>94</v>
      </c>
      <c r="F1082" s="8" t="s">
        <v>65</v>
      </c>
      <c r="G1082" s="8" t="s">
        <v>2614</v>
      </c>
    </row>
    <row r="1083" spans="1:7" ht="15" customHeight="1" x14ac:dyDescent="0.25">
      <c r="A1083" s="7" t="s">
        <v>2615</v>
      </c>
      <c r="B1083" s="7" t="s">
        <v>2557</v>
      </c>
      <c r="C1083" s="8" t="s">
        <v>909</v>
      </c>
      <c r="D1083" s="8" t="s">
        <v>2559</v>
      </c>
      <c r="E1083" s="8" t="s">
        <v>118</v>
      </c>
      <c r="F1083" s="8" t="s">
        <v>2445</v>
      </c>
      <c r="G1083" s="8" t="s">
        <v>2616</v>
      </c>
    </row>
    <row r="1084" spans="1:7" ht="15" customHeight="1" x14ac:dyDescent="0.25">
      <c r="A1084" s="7" t="s">
        <v>2617</v>
      </c>
      <c r="B1084" s="7" t="s">
        <v>2482</v>
      </c>
      <c r="C1084" s="8" t="s">
        <v>165</v>
      </c>
      <c r="D1084" s="8" t="s">
        <v>2116</v>
      </c>
      <c r="E1084" s="8" t="s">
        <v>113</v>
      </c>
      <c r="F1084" s="8" t="s">
        <v>39</v>
      </c>
      <c r="G1084" s="8" t="s">
        <v>2618</v>
      </c>
    </row>
    <row r="1085" spans="1:7" ht="15" customHeight="1" x14ac:dyDescent="0.25">
      <c r="A1085" s="7" t="s">
        <v>2619</v>
      </c>
      <c r="B1085" s="7" t="s">
        <v>2505</v>
      </c>
      <c r="C1085" s="8" t="s">
        <v>489</v>
      </c>
      <c r="D1085" s="8" t="s">
        <v>2620</v>
      </c>
      <c r="E1085" s="8" t="s">
        <v>73</v>
      </c>
      <c r="F1085" s="8" t="s">
        <v>28</v>
      </c>
      <c r="G1085" s="8" t="s">
        <v>2621</v>
      </c>
    </row>
    <row r="1086" spans="1:7" ht="15" customHeight="1" x14ac:dyDescent="0.25">
      <c r="A1086" s="7" t="s">
        <v>2622</v>
      </c>
      <c r="B1086" s="7" t="s">
        <v>2508</v>
      </c>
      <c r="C1086" s="8" t="s">
        <v>2623</v>
      </c>
      <c r="D1086" s="8" t="s">
        <v>2624</v>
      </c>
      <c r="E1086" s="8" t="s">
        <v>463</v>
      </c>
      <c r="F1086" s="8" t="s">
        <v>59</v>
      </c>
      <c r="G1086" s="8" t="s">
        <v>2625</v>
      </c>
    </row>
    <row r="1087" spans="1:7" ht="15" customHeight="1" x14ac:dyDescent="0.25">
      <c r="A1087" s="7" t="s">
        <v>2626</v>
      </c>
      <c r="B1087" s="7" t="s">
        <v>2627</v>
      </c>
      <c r="C1087" s="8" t="s">
        <v>2628</v>
      </c>
      <c r="D1087" s="8" t="s">
        <v>1942</v>
      </c>
      <c r="E1087" s="8" t="s">
        <v>247</v>
      </c>
      <c r="F1087" s="8" t="s">
        <v>86</v>
      </c>
      <c r="G1087" s="8" t="s">
        <v>2629</v>
      </c>
    </row>
    <row r="1088" spans="1:7" ht="15" customHeight="1" x14ac:dyDescent="0.25">
      <c r="A1088" s="7" t="s">
        <v>2630</v>
      </c>
      <c r="B1088" s="7" t="s">
        <v>2505</v>
      </c>
      <c r="C1088" s="8" t="s">
        <v>220</v>
      </c>
      <c r="D1088" s="8" t="s">
        <v>175</v>
      </c>
      <c r="E1088" s="8" t="s">
        <v>296</v>
      </c>
      <c r="F1088" s="8" t="s">
        <v>2445</v>
      </c>
      <c r="G1088" s="8" t="s">
        <v>2631</v>
      </c>
    </row>
    <row r="1089" spans="1:7" ht="15" customHeight="1" x14ac:dyDescent="0.25">
      <c r="A1089" s="7" t="s">
        <v>2632</v>
      </c>
      <c r="B1089" s="7" t="s">
        <v>2486</v>
      </c>
      <c r="C1089" s="8" t="s">
        <v>2633</v>
      </c>
      <c r="D1089" s="8" t="s">
        <v>2634</v>
      </c>
      <c r="E1089" s="8" t="s">
        <v>602</v>
      </c>
      <c r="F1089" s="8" t="s">
        <v>363</v>
      </c>
      <c r="G1089" s="8" t="s">
        <v>2635</v>
      </c>
    </row>
    <row r="1090" spans="1:7" ht="15" customHeight="1" x14ac:dyDescent="0.25">
      <c r="A1090" s="7" t="s">
        <v>2636</v>
      </c>
      <c r="B1090" s="7" t="s">
        <v>2587</v>
      </c>
      <c r="C1090" s="8" t="s">
        <v>32</v>
      </c>
      <c r="D1090" s="8" t="s">
        <v>69</v>
      </c>
      <c r="E1090" s="8" t="s">
        <v>58</v>
      </c>
      <c r="F1090" s="8" t="s">
        <v>2445</v>
      </c>
      <c r="G1090" s="8" t="s">
        <v>2637</v>
      </c>
    </row>
    <row r="1091" spans="1:7" ht="15" customHeight="1" x14ac:dyDescent="0.25">
      <c r="A1091" s="7" t="s">
        <v>2638</v>
      </c>
      <c r="B1091" s="7" t="s">
        <v>2444</v>
      </c>
      <c r="C1091" s="8" t="s">
        <v>1635</v>
      </c>
      <c r="D1091" s="8" t="s">
        <v>483</v>
      </c>
      <c r="E1091" s="8" t="s">
        <v>107</v>
      </c>
      <c r="F1091" s="8" t="s">
        <v>2639</v>
      </c>
      <c r="G1091" s="8" t="s">
        <v>2640</v>
      </c>
    </row>
    <row r="1092" spans="1:7" ht="15" customHeight="1" x14ac:dyDescent="0.25">
      <c r="A1092" s="7" t="s">
        <v>2641</v>
      </c>
      <c r="B1092" s="7" t="s">
        <v>2642</v>
      </c>
      <c r="C1092" s="8" t="s">
        <v>79</v>
      </c>
      <c r="D1092" s="8" t="s">
        <v>467</v>
      </c>
      <c r="E1092" s="8" t="s">
        <v>281</v>
      </c>
      <c r="F1092" s="8" t="s">
        <v>65</v>
      </c>
      <c r="G1092" s="8" t="s">
        <v>2643</v>
      </c>
    </row>
    <row r="1093" spans="1:7" ht="15" customHeight="1" x14ac:dyDescent="0.25">
      <c r="A1093" s="7" t="s">
        <v>2644</v>
      </c>
      <c r="B1093" s="7" t="s">
        <v>2508</v>
      </c>
      <c r="C1093" s="8" t="s">
        <v>702</v>
      </c>
      <c r="D1093" s="8" t="s">
        <v>2645</v>
      </c>
      <c r="E1093" s="8" t="s">
        <v>602</v>
      </c>
      <c r="F1093" s="8" t="s">
        <v>28</v>
      </c>
      <c r="G1093" s="8" t="s">
        <v>2646</v>
      </c>
    </row>
    <row r="1094" spans="1:7" ht="15" customHeight="1" x14ac:dyDescent="0.25">
      <c r="A1094" s="7" t="s">
        <v>2647</v>
      </c>
      <c r="B1094" s="7" t="s">
        <v>2486</v>
      </c>
      <c r="C1094" s="8" t="s">
        <v>232</v>
      </c>
      <c r="D1094" s="8" t="s">
        <v>2648</v>
      </c>
      <c r="E1094" s="8" t="s">
        <v>826</v>
      </c>
      <c r="F1094" s="8" t="s">
        <v>86</v>
      </c>
      <c r="G1094" s="8" t="s">
        <v>2649</v>
      </c>
    </row>
    <row r="1095" spans="1:7" ht="15" customHeight="1" x14ac:dyDescent="0.25">
      <c r="A1095" s="7" t="s">
        <v>2650</v>
      </c>
      <c r="B1095" s="7" t="s">
        <v>2451</v>
      </c>
      <c r="C1095" s="8" t="s">
        <v>79</v>
      </c>
      <c r="D1095" s="8" t="s">
        <v>149</v>
      </c>
      <c r="E1095" s="8" t="s">
        <v>94</v>
      </c>
      <c r="F1095" s="8" t="s">
        <v>59</v>
      </c>
      <c r="G1095" s="8" t="s">
        <v>2651</v>
      </c>
    </row>
    <row r="1096" spans="1:7" ht="15" customHeight="1" x14ac:dyDescent="0.25">
      <c r="A1096" s="7" t="s">
        <v>2652</v>
      </c>
      <c r="B1096" s="7" t="s">
        <v>2653</v>
      </c>
      <c r="C1096" s="8" t="s">
        <v>747</v>
      </c>
      <c r="D1096" s="8" t="s">
        <v>747</v>
      </c>
      <c r="E1096" s="8" t="s">
        <v>166</v>
      </c>
      <c r="F1096" s="8" t="s">
        <v>28</v>
      </c>
      <c r="G1096" s="8" t="s">
        <v>2654</v>
      </c>
    </row>
    <row r="1097" spans="1:7" ht="15" customHeight="1" x14ac:dyDescent="0.25">
      <c r="A1097" s="7" t="s">
        <v>2655</v>
      </c>
      <c r="B1097" s="7" t="s">
        <v>2656</v>
      </c>
      <c r="C1097" s="8" t="s">
        <v>274</v>
      </c>
      <c r="D1097" s="8" t="s">
        <v>2657</v>
      </c>
      <c r="E1097" s="8" t="s">
        <v>103</v>
      </c>
      <c r="F1097" s="8" t="s">
        <v>59</v>
      </c>
      <c r="G1097" s="8" t="s">
        <v>2658</v>
      </c>
    </row>
    <row r="1098" spans="1:7" ht="15" customHeight="1" x14ac:dyDescent="0.25">
      <c r="A1098" s="7" t="s">
        <v>2659</v>
      </c>
      <c r="B1098" s="7" t="s">
        <v>2539</v>
      </c>
      <c r="C1098" s="8" t="s">
        <v>2660</v>
      </c>
      <c r="D1098" s="8" t="s">
        <v>90</v>
      </c>
      <c r="E1098" s="8" t="s">
        <v>48</v>
      </c>
      <c r="F1098" s="8" t="s">
        <v>59</v>
      </c>
      <c r="G1098" s="8" t="s">
        <v>2661</v>
      </c>
    </row>
    <row r="1099" spans="1:7" ht="15" customHeight="1" x14ac:dyDescent="0.25">
      <c r="A1099" s="7" t="s">
        <v>2662</v>
      </c>
      <c r="B1099" s="7" t="s">
        <v>2440</v>
      </c>
      <c r="C1099" s="8" t="s">
        <v>2663</v>
      </c>
      <c r="D1099" s="8" t="s">
        <v>2664</v>
      </c>
      <c r="E1099" s="8" t="s">
        <v>826</v>
      </c>
      <c r="F1099" s="8" t="s">
        <v>59</v>
      </c>
      <c r="G1099" s="8" t="s">
        <v>2665</v>
      </c>
    </row>
    <row r="1100" spans="1:7" ht="15" customHeight="1" x14ac:dyDescent="0.25">
      <c r="A1100" s="7" t="s">
        <v>2666</v>
      </c>
      <c r="B1100" s="7" t="s">
        <v>2667</v>
      </c>
      <c r="C1100" s="8" t="s">
        <v>1338</v>
      </c>
      <c r="D1100" s="8" t="s">
        <v>1352</v>
      </c>
      <c r="E1100" s="8" t="s">
        <v>515</v>
      </c>
      <c r="F1100" s="8" t="s">
        <v>39</v>
      </c>
      <c r="G1100" s="8" t="s">
        <v>2668</v>
      </c>
    </row>
    <row r="1101" spans="1:7" ht="15" customHeight="1" x14ac:dyDescent="0.25">
      <c r="A1101" s="7" t="s">
        <v>2669</v>
      </c>
      <c r="B1101" s="7" t="s">
        <v>2436</v>
      </c>
      <c r="C1101" s="8" t="s">
        <v>90</v>
      </c>
      <c r="D1101" s="8" t="s">
        <v>692</v>
      </c>
      <c r="E1101" s="8" t="s">
        <v>182</v>
      </c>
      <c r="F1101" s="8" t="s">
        <v>39</v>
      </c>
      <c r="G1101" s="8" t="s">
        <v>2670</v>
      </c>
    </row>
    <row r="1102" spans="1:7" ht="15" customHeight="1" x14ac:dyDescent="0.25">
      <c r="A1102" s="7" t="s">
        <v>2671</v>
      </c>
      <c r="B1102" s="7" t="s">
        <v>2494</v>
      </c>
      <c r="C1102" s="8" t="s">
        <v>556</v>
      </c>
      <c r="D1102" s="8" t="s">
        <v>2559</v>
      </c>
      <c r="E1102" s="8" t="s">
        <v>70</v>
      </c>
      <c r="F1102" s="8" t="s">
        <v>363</v>
      </c>
      <c r="G1102" s="8" t="s">
        <v>2672</v>
      </c>
    </row>
    <row r="1103" spans="1:7" ht="15" customHeight="1" x14ac:dyDescent="0.25">
      <c r="A1103" s="7" t="s">
        <v>2673</v>
      </c>
      <c r="B1103" s="7" t="s">
        <v>2489</v>
      </c>
      <c r="C1103" s="8" t="s">
        <v>2388</v>
      </c>
      <c r="D1103" s="8" t="s">
        <v>319</v>
      </c>
      <c r="E1103" s="8" t="s">
        <v>150</v>
      </c>
      <c r="F1103" s="8" t="s">
        <v>2445</v>
      </c>
      <c r="G1103" s="8" t="s">
        <v>2674</v>
      </c>
    </row>
    <row r="1104" spans="1:7" ht="15" customHeight="1" x14ac:dyDescent="0.25">
      <c r="A1104" s="7" t="s">
        <v>2675</v>
      </c>
      <c r="B1104" s="7" t="s">
        <v>2482</v>
      </c>
      <c r="C1104" s="8" t="s">
        <v>57</v>
      </c>
      <c r="D1104" s="8" t="s">
        <v>2483</v>
      </c>
      <c r="E1104" s="8" t="s">
        <v>424</v>
      </c>
      <c r="F1104" s="8" t="s">
        <v>28</v>
      </c>
      <c r="G1104" s="8" t="s">
        <v>2676</v>
      </c>
    </row>
    <row r="1105" spans="1:7" ht="15" customHeight="1" x14ac:dyDescent="0.25">
      <c r="A1105" s="7" t="s">
        <v>2677</v>
      </c>
      <c r="B1105" s="7" t="s">
        <v>2526</v>
      </c>
      <c r="C1105" s="8" t="s">
        <v>2678</v>
      </c>
      <c r="D1105" s="8" t="s">
        <v>2679</v>
      </c>
      <c r="E1105" s="8" t="s">
        <v>715</v>
      </c>
      <c r="F1105" s="8" t="s">
        <v>59</v>
      </c>
      <c r="G1105" s="8" t="s">
        <v>2680</v>
      </c>
    </row>
    <row r="1106" spans="1:7" ht="15" customHeight="1" x14ac:dyDescent="0.25">
      <c r="A1106" s="7" t="s">
        <v>2681</v>
      </c>
      <c r="B1106" s="7" t="s">
        <v>2682</v>
      </c>
      <c r="C1106" s="8" t="s">
        <v>2683</v>
      </c>
      <c r="D1106" s="8" t="s">
        <v>594</v>
      </c>
      <c r="E1106" s="8" t="s">
        <v>281</v>
      </c>
      <c r="F1106" s="8" t="s">
        <v>65</v>
      </c>
      <c r="G1106" s="8" t="s">
        <v>2684</v>
      </c>
    </row>
    <row r="1107" spans="1:7" ht="15" customHeight="1" x14ac:dyDescent="0.25">
      <c r="A1107" s="7" t="s">
        <v>2685</v>
      </c>
      <c r="B1107" s="7" t="s">
        <v>2686</v>
      </c>
      <c r="C1107" s="8" t="s">
        <v>2265</v>
      </c>
      <c r="D1107" s="8" t="s">
        <v>2687</v>
      </c>
      <c r="E1107" s="8" t="s">
        <v>1206</v>
      </c>
      <c r="F1107" s="8" t="s">
        <v>123</v>
      </c>
      <c r="G1107" s="8" t="s">
        <v>2688</v>
      </c>
    </row>
    <row r="1108" spans="1:7" ht="15" customHeight="1" x14ac:dyDescent="0.25">
      <c r="A1108" s="7" t="s">
        <v>2689</v>
      </c>
      <c r="B1108" s="7" t="s">
        <v>2479</v>
      </c>
      <c r="C1108" s="8" t="s">
        <v>2690</v>
      </c>
      <c r="D1108" s="8" t="s">
        <v>90</v>
      </c>
      <c r="E1108" s="8" t="s">
        <v>1396</v>
      </c>
      <c r="F1108" s="8" t="s">
        <v>28</v>
      </c>
      <c r="G1108" s="8" t="s">
        <v>2691</v>
      </c>
    </row>
    <row r="1109" spans="1:7" ht="15" customHeight="1" x14ac:dyDescent="0.25">
      <c r="A1109" s="7" t="s">
        <v>2692</v>
      </c>
      <c r="B1109" s="7" t="s">
        <v>2587</v>
      </c>
      <c r="C1109" s="8" t="s">
        <v>2693</v>
      </c>
      <c r="D1109" s="8" t="s">
        <v>220</v>
      </c>
      <c r="E1109" s="8" t="s">
        <v>570</v>
      </c>
      <c r="F1109" s="8" t="s">
        <v>65</v>
      </c>
      <c r="G1109" s="8" t="s">
        <v>2694</v>
      </c>
    </row>
    <row r="1110" spans="1:7" ht="15" customHeight="1" x14ac:dyDescent="0.25">
      <c r="A1110" s="7" t="s">
        <v>2695</v>
      </c>
      <c r="B1110" s="7" t="s">
        <v>2451</v>
      </c>
      <c r="C1110" s="8" t="s">
        <v>26</v>
      </c>
      <c r="D1110" s="8" t="s">
        <v>37</v>
      </c>
      <c r="E1110" s="8" t="s">
        <v>136</v>
      </c>
      <c r="F1110" s="8" t="s">
        <v>65</v>
      </c>
      <c r="G1110" s="8" t="s">
        <v>2696</v>
      </c>
    </row>
    <row r="1111" spans="1:7" ht="15" customHeight="1" x14ac:dyDescent="0.25">
      <c r="A1111" s="7" t="s">
        <v>2697</v>
      </c>
      <c r="B1111" s="7" t="s">
        <v>2536</v>
      </c>
      <c r="C1111" s="8" t="s">
        <v>2698</v>
      </c>
      <c r="D1111" s="8" t="s">
        <v>2699</v>
      </c>
      <c r="E1111" s="8" t="s">
        <v>797</v>
      </c>
      <c r="F1111" s="8" t="s">
        <v>86</v>
      </c>
      <c r="G1111" s="8" t="s">
        <v>2700</v>
      </c>
    </row>
    <row r="1112" spans="1:7" ht="15" customHeight="1" x14ac:dyDescent="0.25">
      <c r="A1112" s="7" t="s">
        <v>2701</v>
      </c>
      <c r="B1112" s="7" t="s">
        <v>2436</v>
      </c>
      <c r="C1112" s="8" t="s">
        <v>2016</v>
      </c>
      <c r="D1112" s="8" t="s">
        <v>2702</v>
      </c>
      <c r="E1112" s="8" t="s">
        <v>64</v>
      </c>
      <c r="F1112" s="8" t="s">
        <v>363</v>
      </c>
      <c r="G1112" s="8" t="s">
        <v>2703</v>
      </c>
    </row>
    <row r="1113" spans="1:7" ht="15" customHeight="1" x14ac:dyDescent="0.25">
      <c r="A1113" s="7" t="s">
        <v>2704</v>
      </c>
      <c r="B1113" s="7" t="s">
        <v>2705</v>
      </c>
      <c r="C1113" s="8" t="s">
        <v>2706</v>
      </c>
      <c r="D1113" s="8" t="s">
        <v>2706</v>
      </c>
      <c r="E1113" s="8" t="s">
        <v>166</v>
      </c>
      <c r="F1113" s="8" t="s">
        <v>119</v>
      </c>
      <c r="G1113" s="8" t="s">
        <v>2707</v>
      </c>
    </row>
    <row r="1114" spans="1:7" ht="15" customHeight="1" x14ac:dyDescent="0.25">
      <c r="A1114" s="7" t="s">
        <v>2708</v>
      </c>
      <c r="B1114" s="7" t="s">
        <v>2440</v>
      </c>
      <c r="C1114" s="8" t="s">
        <v>2709</v>
      </c>
      <c r="D1114" s="8" t="s">
        <v>2710</v>
      </c>
      <c r="E1114" s="8" t="s">
        <v>211</v>
      </c>
      <c r="F1114" s="8" t="s">
        <v>363</v>
      </c>
      <c r="G1114" s="8" t="s">
        <v>2711</v>
      </c>
    </row>
    <row r="1115" spans="1:7" ht="15" customHeight="1" x14ac:dyDescent="0.25">
      <c r="A1115" s="7" t="s">
        <v>2712</v>
      </c>
      <c r="B1115" s="7" t="s">
        <v>2713</v>
      </c>
      <c r="C1115" s="8" t="s">
        <v>221</v>
      </c>
      <c r="D1115" s="8" t="s">
        <v>1342</v>
      </c>
      <c r="E1115" s="8" t="s">
        <v>515</v>
      </c>
      <c r="F1115" s="8" t="s">
        <v>363</v>
      </c>
      <c r="G1115" s="8" t="s">
        <v>2714</v>
      </c>
    </row>
    <row r="1116" spans="1:7" ht="15" customHeight="1" x14ac:dyDescent="0.25">
      <c r="A1116" s="7" t="s">
        <v>2715</v>
      </c>
      <c r="B1116" s="7" t="s">
        <v>2486</v>
      </c>
      <c r="C1116" s="8" t="s">
        <v>2716</v>
      </c>
      <c r="D1116" s="8" t="s">
        <v>2717</v>
      </c>
      <c r="E1116" s="8" t="s">
        <v>1206</v>
      </c>
      <c r="F1116" s="8" t="s">
        <v>59</v>
      </c>
      <c r="G1116" s="8" t="s">
        <v>2718</v>
      </c>
    </row>
    <row r="1117" spans="1:7" ht="15" customHeight="1" x14ac:dyDescent="0.25">
      <c r="A1117" s="7" t="s">
        <v>2719</v>
      </c>
      <c r="B1117" s="7" t="s">
        <v>2539</v>
      </c>
      <c r="C1117" s="8" t="s">
        <v>2720</v>
      </c>
      <c r="D1117" s="8" t="s">
        <v>31</v>
      </c>
      <c r="E1117" s="8" t="s">
        <v>942</v>
      </c>
      <c r="F1117" s="8" t="s">
        <v>59</v>
      </c>
      <c r="G1117" s="8" t="s">
        <v>2721</v>
      </c>
    </row>
    <row r="1118" spans="1:7" ht="15" customHeight="1" x14ac:dyDescent="0.25">
      <c r="A1118" s="7" t="s">
        <v>2722</v>
      </c>
      <c r="B1118" s="7" t="s">
        <v>2486</v>
      </c>
      <c r="C1118" s="8" t="s">
        <v>1026</v>
      </c>
      <c r="D1118" s="8" t="s">
        <v>556</v>
      </c>
      <c r="E1118" s="8" t="s">
        <v>239</v>
      </c>
      <c r="F1118" s="8" t="s">
        <v>363</v>
      </c>
      <c r="G1118" s="8" t="s">
        <v>2723</v>
      </c>
    </row>
    <row r="1119" spans="1:7" ht="15" customHeight="1" x14ac:dyDescent="0.25">
      <c r="A1119" s="7" t="s">
        <v>2724</v>
      </c>
      <c r="B1119" s="7" t="s">
        <v>2725</v>
      </c>
      <c r="C1119" s="8" t="s">
        <v>2726</v>
      </c>
      <c r="D1119" s="8" t="s">
        <v>57</v>
      </c>
      <c r="E1119" s="8" t="s">
        <v>150</v>
      </c>
      <c r="F1119" s="8" t="s">
        <v>201</v>
      </c>
      <c r="G1119" s="8" t="s">
        <v>2727</v>
      </c>
    </row>
    <row r="1120" spans="1:7" ht="15" customHeight="1" x14ac:dyDescent="0.25">
      <c r="A1120" s="7" t="s">
        <v>2728</v>
      </c>
      <c r="B1120" s="7" t="s">
        <v>2440</v>
      </c>
      <c r="C1120" s="8" t="s">
        <v>2729</v>
      </c>
      <c r="D1120" s="8" t="s">
        <v>1345</v>
      </c>
      <c r="E1120" s="8" t="s">
        <v>1073</v>
      </c>
      <c r="F1120" s="8" t="s">
        <v>2445</v>
      </c>
      <c r="G1120" s="8" t="s">
        <v>2730</v>
      </c>
    </row>
    <row r="1121" spans="1:7" ht="15" customHeight="1" x14ac:dyDescent="0.25">
      <c r="A1121" s="7" t="s">
        <v>2731</v>
      </c>
      <c r="B1121" s="7" t="s">
        <v>2448</v>
      </c>
      <c r="C1121" s="8" t="s">
        <v>2732</v>
      </c>
      <c r="D1121" s="8" t="s">
        <v>489</v>
      </c>
      <c r="E1121" s="8" t="s">
        <v>352</v>
      </c>
      <c r="F1121" s="8" t="s">
        <v>476</v>
      </c>
      <c r="G1121" s="8" t="s">
        <v>2733</v>
      </c>
    </row>
    <row r="1122" spans="1:7" ht="15" customHeight="1" x14ac:dyDescent="0.25">
      <c r="A1122" s="7" t="s">
        <v>2734</v>
      </c>
      <c r="B1122" s="7" t="s">
        <v>2436</v>
      </c>
      <c r="C1122" s="8" t="s">
        <v>250</v>
      </c>
      <c r="D1122" s="8" t="s">
        <v>2735</v>
      </c>
      <c r="E1122" s="8" t="s">
        <v>1396</v>
      </c>
      <c r="F1122" s="8" t="s">
        <v>39</v>
      </c>
      <c r="G1122" s="8" t="s">
        <v>2736</v>
      </c>
    </row>
    <row r="1123" spans="1:7" ht="15" customHeight="1" x14ac:dyDescent="0.25">
      <c r="A1123" s="7" t="s">
        <v>2737</v>
      </c>
      <c r="B1123" s="7" t="s">
        <v>2448</v>
      </c>
      <c r="C1123" s="8" t="s">
        <v>2038</v>
      </c>
      <c r="D1123" s="8" t="s">
        <v>195</v>
      </c>
      <c r="E1123" s="8" t="s">
        <v>570</v>
      </c>
      <c r="F1123" s="8" t="s">
        <v>123</v>
      </c>
      <c r="G1123" s="8" t="s">
        <v>2738</v>
      </c>
    </row>
    <row r="1124" spans="1:7" ht="15" customHeight="1" x14ac:dyDescent="0.25">
      <c r="A1124" s="7" t="s">
        <v>2739</v>
      </c>
      <c r="B1124" s="7" t="s">
        <v>2705</v>
      </c>
      <c r="C1124" s="8" t="s">
        <v>26</v>
      </c>
      <c r="D1124" s="8" t="s">
        <v>1835</v>
      </c>
      <c r="E1124" s="8" t="s">
        <v>113</v>
      </c>
      <c r="F1124" s="8" t="s">
        <v>28</v>
      </c>
      <c r="G1124" s="8" t="s">
        <v>2740</v>
      </c>
    </row>
    <row r="1125" spans="1:7" ht="15" customHeight="1" x14ac:dyDescent="0.25">
      <c r="A1125" s="7" t="s">
        <v>2741</v>
      </c>
      <c r="B1125" s="7" t="s">
        <v>2444</v>
      </c>
      <c r="C1125" s="8" t="s">
        <v>2742</v>
      </c>
      <c r="D1125" s="8" t="s">
        <v>245</v>
      </c>
      <c r="E1125" s="8" t="s">
        <v>463</v>
      </c>
      <c r="F1125" s="8" t="s">
        <v>59</v>
      </c>
      <c r="G1125" s="8" t="s">
        <v>2684</v>
      </c>
    </row>
    <row r="1126" spans="1:7" ht="15" customHeight="1" x14ac:dyDescent="0.25">
      <c r="A1126" s="7" t="s">
        <v>2743</v>
      </c>
      <c r="B1126" s="7" t="s">
        <v>2744</v>
      </c>
      <c r="C1126" s="8" t="s">
        <v>69</v>
      </c>
      <c r="D1126" s="8" t="s">
        <v>682</v>
      </c>
      <c r="E1126" s="8" t="s">
        <v>73</v>
      </c>
      <c r="F1126" s="8" t="s">
        <v>59</v>
      </c>
      <c r="G1126" s="8" t="s">
        <v>2745</v>
      </c>
    </row>
    <row r="1127" spans="1:7" ht="15" customHeight="1" x14ac:dyDescent="0.25">
      <c r="A1127" s="7" t="s">
        <v>2746</v>
      </c>
      <c r="B1127" s="7" t="s">
        <v>2505</v>
      </c>
      <c r="C1127" s="8" t="s">
        <v>327</v>
      </c>
      <c r="D1127" s="8" t="s">
        <v>149</v>
      </c>
      <c r="E1127" s="8" t="s">
        <v>211</v>
      </c>
      <c r="F1127" s="8" t="s">
        <v>363</v>
      </c>
      <c r="G1127" s="8" t="s">
        <v>2747</v>
      </c>
    </row>
    <row r="1128" spans="1:7" ht="15" customHeight="1" x14ac:dyDescent="0.25">
      <c r="A1128" s="7" t="s">
        <v>2748</v>
      </c>
      <c r="B1128" s="7" t="s">
        <v>2749</v>
      </c>
      <c r="C1128" s="8" t="s">
        <v>2750</v>
      </c>
      <c r="D1128" s="8" t="s">
        <v>57</v>
      </c>
      <c r="E1128" s="8" t="s">
        <v>127</v>
      </c>
      <c r="F1128" s="8" t="s">
        <v>59</v>
      </c>
      <c r="G1128" s="8" t="s">
        <v>2751</v>
      </c>
    </row>
    <row r="1129" spans="1:7" ht="15" customHeight="1" x14ac:dyDescent="0.25">
      <c r="A1129" s="7" t="s">
        <v>2752</v>
      </c>
      <c r="B1129" s="7" t="s">
        <v>2653</v>
      </c>
      <c r="C1129" s="8" t="s">
        <v>1667</v>
      </c>
      <c r="D1129" s="8" t="s">
        <v>63</v>
      </c>
      <c r="E1129" s="8" t="s">
        <v>118</v>
      </c>
      <c r="F1129" s="8" t="s">
        <v>476</v>
      </c>
      <c r="G1129" s="8" t="s">
        <v>2753</v>
      </c>
    </row>
    <row r="1130" spans="1:7" ht="15" customHeight="1" x14ac:dyDescent="0.25">
      <c r="A1130" s="7" t="s">
        <v>2754</v>
      </c>
      <c r="B1130" s="7" t="s">
        <v>2755</v>
      </c>
      <c r="C1130" s="8" t="s">
        <v>678</v>
      </c>
      <c r="D1130" s="8" t="s">
        <v>678</v>
      </c>
      <c r="E1130" s="8" t="s">
        <v>166</v>
      </c>
      <c r="F1130" s="8" t="s">
        <v>59</v>
      </c>
      <c r="G1130" s="8" t="s">
        <v>2756</v>
      </c>
    </row>
    <row r="1131" spans="1:7" ht="15" customHeight="1" x14ac:dyDescent="0.25">
      <c r="A1131" s="7" t="s">
        <v>2757</v>
      </c>
      <c r="B1131" s="7" t="s">
        <v>2758</v>
      </c>
      <c r="C1131" s="8" t="s">
        <v>2759</v>
      </c>
      <c r="D1131" s="8" t="s">
        <v>2759</v>
      </c>
      <c r="E1131" s="8" t="s">
        <v>166</v>
      </c>
      <c r="F1131" s="8" t="s">
        <v>28</v>
      </c>
      <c r="G1131" s="8" t="s">
        <v>2760</v>
      </c>
    </row>
    <row r="1132" spans="1:7" ht="15" customHeight="1" x14ac:dyDescent="0.25">
      <c r="A1132" s="7" t="s">
        <v>2761</v>
      </c>
      <c r="B1132" s="7" t="s">
        <v>2486</v>
      </c>
      <c r="C1132" s="8" t="s">
        <v>2633</v>
      </c>
      <c r="D1132" s="8" t="s">
        <v>2634</v>
      </c>
      <c r="E1132" s="8" t="s">
        <v>602</v>
      </c>
      <c r="F1132" s="8" t="s">
        <v>39</v>
      </c>
      <c r="G1132" s="8" t="s">
        <v>2762</v>
      </c>
    </row>
    <row r="1133" spans="1:7" ht="15" customHeight="1" x14ac:dyDescent="0.25">
      <c r="A1133" s="7" t="s">
        <v>2763</v>
      </c>
      <c r="B1133" s="7" t="s">
        <v>2486</v>
      </c>
      <c r="C1133" s="8" t="s">
        <v>2388</v>
      </c>
      <c r="D1133" s="8" t="s">
        <v>2764</v>
      </c>
      <c r="E1133" s="8" t="s">
        <v>228</v>
      </c>
      <c r="F1133" s="8" t="s">
        <v>59</v>
      </c>
      <c r="G1133" s="8" t="s">
        <v>2765</v>
      </c>
    </row>
    <row r="1134" spans="1:7" ht="15" customHeight="1" x14ac:dyDescent="0.25">
      <c r="A1134" s="7" t="s">
        <v>2766</v>
      </c>
      <c r="B1134" s="7" t="s">
        <v>2587</v>
      </c>
      <c r="C1134" s="8" t="s">
        <v>506</v>
      </c>
      <c r="D1134" s="8" t="s">
        <v>43</v>
      </c>
      <c r="E1134" s="8" t="s">
        <v>281</v>
      </c>
      <c r="F1134" s="8" t="s">
        <v>59</v>
      </c>
      <c r="G1134" s="8" t="s">
        <v>2767</v>
      </c>
    </row>
    <row r="1135" spans="1:7" ht="15" customHeight="1" x14ac:dyDescent="0.25">
      <c r="A1135" s="7" t="s">
        <v>2768</v>
      </c>
      <c r="B1135" s="7" t="s">
        <v>2486</v>
      </c>
      <c r="C1135" s="8" t="s">
        <v>2769</v>
      </c>
      <c r="D1135" s="8" t="s">
        <v>702</v>
      </c>
      <c r="E1135" s="8" t="s">
        <v>715</v>
      </c>
      <c r="F1135" s="8" t="s">
        <v>2445</v>
      </c>
      <c r="G1135" s="8" t="s">
        <v>2770</v>
      </c>
    </row>
    <row r="1136" spans="1:7" ht="15" customHeight="1" x14ac:dyDescent="0.25">
      <c r="A1136" s="7" t="s">
        <v>2771</v>
      </c>
      <c r="B1136" s="7" t="s">
        <v>2772</v>
      </c>
      <c r="C1136" s="8" t="s">
        <v>195</v>
      </c>
      <c r="D1136" s="8" t="s">
        <v>1812</v>
      </c>
      <c r="E1136" s="8" t="s">
        <v>222</v>
      </c>
      <c r="F1136" s="8" t="s">
        <v>123</v>
      </c>
      <c r="G1136" s="8" t="s">
        <v>2773</v>
      </c>
    </row>
    <row r="1137" spans="1:7" ht="15" customHeight="1" x14ac:dyDescent="0.25">
      <c r="A1137" s="7" t="s">
        <v>2774</v>
      </c>
      <c r="B1137" s="7" t="s">
        <v>2479</v>
      </c>
      <c r="C1137" s="8" t="s">
        <v>149</v>
      </c>
      <c r="D1137" s="8" t="s">
        <v>556</v>
      </c>
      <c r="E1137" s="8" t="s">
        <v>424</v>
      </c>
      <c r="F1137" s="8" t="s">
        <v>59</v>
      </c>
      <c r="G1137" s="8" t="s">
        <v>2775</v>
      </c>
    </row>
    <row r="1138" spans="1:7" ht="15" customHeight="1" x14ac:dyDescent="0.25">
      <c r="A1138" s="7" t="s">
        <v>2776</v>
      </c>
      <c r="B1138" s="7" t="s">
        <v>2482</v>
      </c>
      <c r="C1138" s="8" t="s">
        <v>2777</v>
      </c>
      <c r="D1138" s="8" t="s">
        <v>1884</v>
      </c>
      <c r="E1138" s="8" t="s">
        <v>602</v>
      </c>
      <c r="F1138" s="8" t="s">
        <v>59</v>
      </c>
      <c r="G1138" s="8" t="s">
        <v>2778</v>
      </c>
    </row>
    <row r="1139" spans="1:7" ht="15" customHeight="1" x14ac:dyDescent="0.25">
      <c r="A1139" s="7" t="s">
        <v>2779</v>
      </c>
      <c r="B1139" s="7" t="s">
        <v>2479</v>
      </c>
      <c r="C1139" s="8" t="s">
        <v>250</v>
      </c>
      <c r="D1139" s="8" t="s">
        <v>227</v>
      </c>
      <c r="E1139" s="8" t="s">
        <v>541</v>
      </c>
      <c r="F1139" s="8" t="s">
        <v>59</v>
      </c>
      <c r="G1139" s="8" t="s">
        <v>2780</v>
      </c>
    </row>
    <row r="1140" spans="1:7" ht="15" customHeight="1" x14ac:dyDescent="0.25">
      <c r="A1140" s="7" t="s">
        <v>2781</v>
      </c>
      <c r="B1140" s="7" t="s">
        <v>2653</v>
      </c>
      <c r="C1140" s="8" t="s">
        <v>31</v>
      </c>
      <c r="D1140" s="8" t="s">
        <v>57</v>
      </c>
      <c r="E1140" s="8" t="s">
        <v>94</v>
      </c>
      <c r="F1140" s="8" t="s">
        <v>201</v>
      </c>
      <c r="G1140" s="8" t="s">
        <v>520</v>
      </c>
    </row>
    <row r="1141" spans="1:7" ht="15" customHeight="1" x14ac:dyDescent="0.25">
      <c r="A1141" s="7" t="s">
        <v>2782</v>
      </c>
      <c r="B1141" s="7" t="s">
        <v>2526</v>
      </c>
      <c r="C1141" s="8" t="s">
        <v>2783</v>
      </c>
      <c r="D1141" s="8" t="s">
        <v>2784</v>
      </c>
      <c r="E1141" s="8" t="s">
        <v>515</v>
      </c>
      <c r="F1141" s="8" t="s">
        <v>59</v>
      </c>
      <c r="G1141" s="8" t="s">
        <v>2785</v>
      </c>
    </row>
    <row r="1142" spans="1:7" ht="15" customHeight="1" x14ac:dyDescent="0.25">
      <c r="A1142" s="7" t="s">
        <v>2786</v>
      </c>
      <c r="B1142" s="7" t="s">
        <v>2627</v>
      </c>
      <c r="C1142" s="8" t="s">
        <v>69</v>
      </c>
      <c r="D1142" s="8" t="s">
        <v>250</v>
      </c>
      <c r="E1142" s="8" t="s">
        <v>73</v>
      </c>
      <c r="F1142" s="8" t="s">
        <v>59</v>
      </c>
      <c r="G1142" s="8" t="s">
        <v>2787</v>
      </c>
    </row>
    <row r="1143" spans="1:7" ht="15" customHeight="1" x14ac:dyDescent="0.25">
      <c r="A1143" s="7" t="s">
        <v>2788</v>
      </c>
      <c r="B1143" s="7" t="s">
        <v>2667</v>
      </c>
      <c r="C1143" s="8" t="s">
        <v>817</v>
      </c>
      <c r="D1143" s="8" t="s">
        <v>2789</v>
      </c>
      <c r="E1143" s="8" t="s">
        <v>1134</v>
      </c>
      <c r="F1143" s="8" t="s">
        <v>86</v>
      </c>
      <c r="G1143" s="8" t="s">
        <v>2790</v>
      </c>
    </row>
    <row r="1144" spans="1:7" ht="15" customHeight="1" x14ac:dyDescent="0.25">
      <c r="A1144" s="7" t="s">
        <v>2791</v>
      </c>
      <c r="B1144" s="7" t="s">
        <v>2448</v>
      </c>
      <c r="C1144" s="8" t="s">
        <v>2792</v>
      </c>
      <c r="D1144" s="8" t="s">
        <v>69</v>
      </c>
      <c r="E1144" s="8" t="s">
        <v>76</v>
      </c>
      <c r="F1144" s="8" t="s">
        <v>65</v>
      </c>
      <c r="G1144" s="8" t="s">
        <v>2793</v>
      </c>
    </row>
    <row r="1145" spans="1:7" ht="15" customHeight="1" x14ac:dyDescent="0.25">
      <c r="A1145" s="7" t="s">
        <v>2794</v>
      </c>
      <c r="B1145" s="7" t="s">
        <v>2486</v>
      </c>
      <c r="C1145" s="8" t="s">
        <v>2795</v>
      </c>
      <c r="D1145" s="8" t="s">
        <v>2796</v>
      </c>
      <c r="E1145" s="8" t="s">
        <v>453</v>
      </c>
      <c r="F1145" s="8" t="s">
        <v>59</v>
      </c>
      <c r="G1145" s="8" t="s">
        <v>1358</v>
      </c>
    </row>
    <row r="1146" spans="1:7" ht="15" customHeight="1" x14ac:dyDescent="0.25">
      <c r="A1146" s="7" t="s">
        <v>2797</v>
      </c>
      <c r="B1146" s="7" t="s">
        <v>2772</v>
      </c>
      <c r="C1146" s="8" t="s">
        <v>2798</v>
      </c>
      <c r="D1146" s="8" t="s">
        <v>2564</v>
      </c>
      <c r="E1146" s="8" t="s">
        <v>262</v>
      </c>
      <c r="F1146" s="8" t="s">
        <v>123</v>
      </c>
      <c r="G1146" s="8" t="s">
        <v>2799</v>
      </c>
    </row>
    <row r="1147" spans="1:7" ht="15" customHeight="1" x14ac:dyDescent="0.25">
      <c r="A1147" s="7" t="s">
        <v>2800</v>
      </c>
      <c r="B1147" s="7" t="s">
        <v>2489</v>
      </c>
      <c r="C1147" s="8" t="s">
        <v>2095</v>
      </c>
      <c r="D1147" s="8" t="s">
        <v>149</v>
      </c>
      <c r="E1147" s="8" t="s">
        <v>182</v>
      </c>
      <c r="F1147" s="8" t="s">
        <v>2801</v>
      </c>
      <c r="G1147" s="8" t="s">
        <v>2802</v>
      </c>
    </row>
    <row r="1148" spans="1:7" ht="15" customHeight="1" x14ac:dyDescent="0.25">
      <c r="A1148" s="7" t="s">
        <v>2803</v>
      </c>
      <c r="B1148" s="7" t="s">
        <v>2479</v>
      </c>
      <c r="C1148" s="8" t="s">
        <v>1338</v>
      </c>
      <c r="D1148" s="8" t="s">
        <v>1375</v>
      </c>
      <c r="E1148" s="8" t="s">
        <v>424</v>
      </c>
      <c r="F1148" s="8" t="s">
        <v>119</v>
      </c>
      <c r="G1148" s="8" t="s">
        <v>2804</v>
      </c>
    </row>
    <row r="1149" spans="1:7" ht="15" customHeight="1" x14ac:dyDescent="0.25">
      <c r="A1149" s="7" t="s">
        <v>2805</v>
      </c>
      <c r="B1149" s="7" t="s">
        <v>2489</v>
      </c>
      <c r="C1149" s="8" t="s">
        <v>2806</v>
      </c>
      <c r="D1149" s="8" t="s">
        <v>2807</v>
      </c>
      <c r="E1149" s="8" t="s">
        <v>228</v>
      </c>
      <c r="F1149" s="8" t="s">
        <v>2445</v>
      </c>
      <c r="G1149" s="8" t="s">
        <v>2808</v>
      </c>
    </row>
    <row r="1150" spans="1:7" ht="15" customHeight="1" x14ac:dyDescent="0.25">
      <c r="A1150" s="7" t="s">
        <v>2809</v>
      </c>
      <c r="B1150" s="7" t="s">
        <v>2489</v>
      </c>
      <c r="C1150" s="8" t="s">
        <v>475</v>
      </c>
      <c r="D1150" s="8" t="s">
        <v>2810</v>
      </c>
      <c r="E1150" s="8" t="s">
        <v>602</v>
      </c>
      <c r="F1150" s="8" t="s">
        <v>59</v>
      </c>
      <c r="G1150" s="8" t="s">
        <v>2811</v>
      </c>
    </row>
    <row r="1151" spans="1:7" ht="15" customHeight="1" x14ac:dyDescent="0.25">
      <c r="A1151" s="7" t="s">
        <v>2812</v>
      </c>
      <c r="B1151" s="7" t="s">
        <v>2451</v>
      </c>
      <c r="C1151" s="8" t="s">
        <v>2813</v>
      </c>
      <c r="D1151" s="8" t="s">
        <v>57</v>
      </c>
      <c r="E1151" s="8" t="s">
        <v>107</v>
      </c>
      <c r="F1151" s="8" t="s">
        <v>39</v>
      </c>
      <c r="G1151" s="8" t="s">
        <v>2814</v>
      </c>
    </row>
    <row r="1152" spans="1:7" ht="15" customHeight="1" x14ac:dyDescent="0.25">
      <c r="A1152" s="7" t="s">
        <v>2815</v>
      </c>
      <c r="B1152" s="7" t="s">
        <v>2489</v>
      </c>
      <c r="C1152" s="8" t="s">
        <v>1335</v>
      </c>
      <c r="D1152" s="8" t="s">
        <v>2816</v>
      </c>
      <c r="E1152" s="8" t="s">
        <v>127</v>
      </c>
      <c r="F1152" s="8" t="s">
        <v>59</v>
      </c>
      <c r="G1152" s="8" t="s">
        <v>2817</v>
      </c>
    </row>
    <row r="1153" spans="1:7" ht="15" customHeight="1" x14ac:dyDescent="0.25">
      <c r="A1153" s="7" t="s">
        <v>2818</v>
      </c>
      <c r="B1153" s="7" t="s">
        <v>2482</v>
      </c>
      <c r="C1153" s="8" t="s">
        <v>1674</v>
      </c>
      <c r="D1153" s="8" t="s">
        <v>52</v>
      </c>
      <c r="E1153" s="8" t="s">
        <v>372</v>
      </c>
      <c r="F1153" s="8" t="s">
        <v>28</v>
      </c>
      <c r="G1153" s="8" t="s">
        <v>2819</v>
      </c>
    </row>
    <row r="1154" spans="1:7" ht="15" customHeight="1" x14ac:dyDescent="0.25">
      <c r="A1154" s="7" t="s">
        <v>2820</v>
      </c>
      <c r="B1154" s="7" t="s">
        <v>2448</v>
      </c>
      <c r="C1154" s="8" t="s">
        <v>2821</v>
      </c>
      <c r="D1154" s="8" t="s">
        <v>63</v>
      </c>
      <c r="E1154" s="8" t="s">
        <v>1073</v>
      </c>
      <c r="F1154" s="8" t="s">
        <v>59</v>
      </c>
      <c r="G1154" s="8" t="s">
        <v>2822</v>
      </c>
    </row>
    <row r="1155" spans="1:7" ht="15" customHeight="1" x14ac:dyDescent="0.25">
      <c r="A1155" s="7" t="s">
        <v>2823</v>
      </c>
      <c r="B1155" s="7" t="s">
        <v>2448</v>
      </c>
      <c r="C1155" s="8" t="s">
        <v>159</v>
      </c>
      <c r="D1155" s="8" t="s">
        <v>79</v>
      </c>
      <c r="E1155" s="8" t="s">
        <v>257</v>
      </c>
      <c r="F1155" s="8" t="s">
        <v>417</v>
      </c>
      <c r="G1155" s="8" t="s">
        <v>422</v>
      </c>
    </row>
    <row r="1156" spans="1:7" ht="15" customHeight="1" x14ac:dyDescent="0.25">
      <c r="A1156" s="7" t="s">
        <v>2824</v>
      </c>
      <c r="B1156" s="7" t="s">
        <v>2656</v>
      </c>
      <c r="C1156" s="8" t="s">
        <v>2825</v>
      </c>
      <c r="D1156" s="8" t="s">
        <v>2826</v>
      </c>
      <c r="E1156" s="8" t="s">
        <v>262</v>
      </c>
      <c r="F1156" s="8" t="s">
        <v>65</v>
      </c>
      <c r="G1156" s="8" t="s">
        <v>2827</v>
      </c>
    </row>
    <row r="1157" spans="1:7" ht="15" customHeight="1" x14ac:dyDescent="0.25">
      <c r="A1157" s="7" t="s">
        <v>2828</v>
      </c>
      <c r="B1157" s="7" t="s">
        <v>2436</v>
      </c>
      <c r="C1157" s="8" t="s">
        <v>43</v>
      </c>
      <c r="D1157" s="8" t="s">
        <v>2016</v>
      </c>
      <c r="E1157" s="8" t="s">
        <v>602</v>
      </c>
      <c r="F1157" s="8" t="s">
        <v>39</v>
      </c>
      <c r="G1157" s="8" t="s">
        <v>2829</v>
      </c>
    </row>
    <row r="1158" spans="1:7" ht="15" customHeight="1" x14ac:dyDescent="0.25">
      <c r="A1158" s="7" t="s">
        <v>2830</v>
      </c>
      <c r="B1158" s="7" t="s">
        <v>2467</v>
      </c>
      <c r="C1158" s="8" t="s">
        <v>2831</v>
      </c>
      <c r="D1158" s="8" t="s">
        <v>2153</v>
      </c>
      <c r="E1158" s="8" t="s">
        <v>602</v>
      </c>
      <c r="F1158" s="8" t="s">
        <v>28</v>
      </c>
      <c r="G1158" s="8" t="s">
        <v>2832</v>
      </c>
    </row>
    <row r="1159" spans="1:7" ht="15" customHeight="1" x14ac:dyDescent="0.25">
      <c r="A1159" s="7" t="s">
        <v>2833</v>
      </c>
      <c r="B1159" s="7" t="s">
        <v>2834</v>
      </c>
      <c r="C1159" s="8" t="s">
        <v>2835</v>
      </c>
      <c r="D1159" s="8" t="s">
        <v>2153</v>
      </c>
      <c r="E1159" s="8" t="s">
        <v>136</v>
      </c>
      <c r="F1159" s="8" t="s">
        <v>363</v>
      </c>
      <c r="G1159" s="8" t="s">
        <v>2836</v>
      </c>
    </row>
    <row r="1160" spans="1:7" ht="15" customHeight="1" x14ac:dyDescent="0.25">
      <c r="A1160" s="7" t="s">
        <v>2837</v>
      </c>
      <c r="B1160" s="7" t="s">
        <v>2444</v>
      </c>
      <c r="C1160" s="8" t="s">
        <v>2838</v>
      </c>
      <c r="D1160" s="8" t="s">
        <v>195</v>
      </c>
      <c r="E1160" s="8" t="s">
        <v>150</v>
      </c>
      <c r="F1160" s="8" t="s">
        <v>119</v>
      </c>
      <c r="G1160" s="8" t="s">
        <v>2839</v>
      </c>
    </row>
    <row r="1161" spans="1:7" ht="15" customHeight="1" x14ac:dyDescent="0.25">
      <c r="A1161" s="7" t="s">
        <v>2840</v>
      </c>
      <c r="B1161" s="7" t="s">
        <v>2841</v>
      </c>
      <c r="C1161" s="8" t="s">
        <v>1538</v>
      </c>
      <c r="D1161" s="8" t="s">
        <v>444</v>
      </c>
      <c r="E1161" s="8" t="s">
        <v>222</v>
      </c>
      <c r="F1161" s="8" t="s">
        <v>363</v>
      </c>
      <c r="G1161" s="8" t="s">
        <v>2842</v>
      </c>
    </row>
    <row r="1162" spans="1:7" ht="15" customHeight="1" x14ac:dyDescent="0.25">
      <c r="A1162" s="7" t="s">
        <v>2843</v>
      </c>
      <c r="B1162" s="7" t="s">
        <v>2444</v>
      </c>
      <c r="C1162" s="8" t="s">
        <v>90</v>
      </c>
      <c r="D1162" s="8" t="s">
        <v>806</v>
      </c>
      <c r="E1162" s="8" t="s">
        <v>76</v>
      </c>
      <c r="F1162" s="8" t="s">
        <v>59</v>
      </c>
      <c r="G1162" s="8" t="s">
        <v>762</v>
      </c>
    </row>
    <row r="1163" spans="1:7" ht="15" customHeight="1" x14ac:dyDescent="0.25">
      <c r="A1163" s="7" t="s">
        <v>2844</v>
      </c>
      <c r="B1163" s="7" t="s">
        <v>2479</v>
      </c>
      <c r="C1163" s="8" t="s">
        <v>2441</v>
      </c>
      <c r="D1163" s="8" t="s">
        <v>2441</v>
      </c>
      <c r="E1163" s="8" t="s">
        <v>166</v>
      </c>
      <c r="F1163" s="8" t="s">
        <v>28</v>
      </c>
      <c r="G1163" s="8" t="s">
        <v>2845</v>
      </c>
    </row>
    <row r="1164" spans="1:7" ht="15" customHeight="1" x14ac:dyDescent="0.25">
      <c r="A1164" s="7" t="s">
        <v>2846</v>
      </c>
      <c r="B1164" s="7" t="s">
        <v>2482</v>
      </c>
      <c r="C1164" s="8" t="s">
        <v>57</v>
      </c>
      <c r="D1164" s="8" t="s">
        <v>2847</v>
      </c>
      <c r="E1164" s="8" t="s">
        <v>281</v>
      </c>
      <c r="F1164" s="8" t="s">
        <v>59</v>
      </c>
      <c r="G1164" s="8" t="s">
        <v>2848</v>
      </c>
    </row>
    <row r="1165" spans="1:7" ht="15" customHeight="1" x14ac:dyDescent="0.25">
      <c r="A1165" s="7" t="s">
        <v>2849</v>
      </c>
      <c r="B1165" s="7" t="s">
        <v>2489</v>
      </c>
      <c r="C1165" s="8" t="s">
        <v>909</v>
      </c>
      <c r="D1165" s="8" t="s">
        <v>2107</v>
      </c>
      <c r="E1165" s="8" t="s">
        <v>33</v>
      </c>
      <c r="F1165" s="8" t="s">
        <v>28</v>
      </c>
      <c r="G1165" s="8" t="s">
        <v>2850</v>
      </c>
    </row>
    <row r="1166" spans="1:7" ht="15" customHeight="1" x14ac:dyDescent="0.25">
      <c r="A1166" s="7" t="s">
        <v>2851</v>
      </c>
      <c r="B1166" s="7" t="s">
        <v>2489</v>
      </c>
      <c r="C1166" s="8" t="s">
        <v>2852</v>
      </c>
      <c r="D1166" s="8" t="s">
        <v>285</v>
      </c>
      <c r="E1166" s="8" t="s">
        <v>372</v>
      </c>
      <c r="F1166" s="8" t="s">
        <v>119</v>
      </c>
      <c r="G1166" s="8" t="s">
        <v>2853</v>
      </c>
    </row>
    <row r="1167" spans="1:7" ht="15" customHeight="1" x14ac:dyDescent="0.25">
      <c r="A1167" s="7" t="s">
        <v>2854</v>
      </c>
      <c r="B1167" s="7" t="s">
        <v>2653</v>
      </c>
      <c r="C1167" s="8" t="s">
        <v>1312</v>
      </c>
      <c r="D1167" s="8" t="s">
        <v>1312</v>
      </c>
      <c r="E1167" s="8" t="s">
        <v>166</v>
      </c>
      <c r="F1167" s="8" t="s">
        <v>2445</v>
      </c>
      <c r="G1167" s="8" t="s">
        <v>2855</v>
      </c>
    </row>
    <row r="1168" spans="1:7" ht="15" customHeight="1" x14ac:dyDescent="0.25">
      <c r="A1168" s="7" t="s">
        <v>2856</v>
      </c>
      <c r="B1168" s="7" t="s">
        <v>2508</v>
      </c>
      <c r="C1168" s="8" t="s">
        <v>1000</v>
      </c>
      <c r="D1168" s="8" t="s">
        <v>2857</v>
      </c>
      <c r="E1168" s="8" t="s">
        <v>150</v>
      </c>
      <c r="F1168" s="8" t="s">
        <v>86</v>
      </c>
      <c r="G1168" s="8" t="s">
        <v>2858</v>
      </c>
    </row>
    <row r="1169" spans="1:7" ht="15" customHeight="1" x14ac:dyDescent="0.25">
      <c r="A1169" s="7" t="s">
        <v>2859</v>
      </c>
      <c r="B1169" s="7" t="s">
        <v>2467</v>
      </c>
      <c r="C1169" s="8" t="s">
        <v>2860</v>
      </c>
      <c r="D1169" s="8" t="s">
        <v>2564</v>
      </c>
      <c r="E1169" s="8" t="s">
        <v>336</v>
      </c>
      <c r="F1169" s="8" t="s">
        <v>2445</v>
      </c>
      <c r="G1169" s="8" t="s">
        <v>2861</v>
      </c>
    </row>
    <row r="1170" spans="1:7" ht="15" customHeight="1" x14ac:dyDescent="0.25">
      <c r="A1170" s="7" t="s">
        <v>2862</v>
      </c>
      <c r="B1170" s="7" t="s">
        <v>2841</v>
      </c>
      <c r="C1170" s="8" t="s">
        <v>2769</v>
      </c>
      <c r="D1170" s="8" t="s">
        <v>1068</v>
      </c>
      <c r="E1170" s="8" t="s">
        <v>281</v>
      </c>
      <c r="F1170" s="8" t="s">
        <v>2445</v>
      </c>
      <c r="G1170" s="8" t="s">
        <v>2863</v>
      </c>
    </row>
    <row r="1171" spans="1:7" ht="15" customHeight="1" x14ac:dyDescent="0.25">
      <c r="A1171" s="7" t="s">
        <v>2864</v>
      </c>
      <c r="B1171" s="7" t="s">
        <v>2505</v>
      </c>
      <c r="C1171" s="8" t="s">
        <v>220</v>
      </c>
      <c r="D1171" s="8" t="s">
        <v>2865</v>
      </c>
      <c r="E1171" s="8" t="s">
        <v>113</v>
      </c>
      <c r="F1171" s="8" t="s">
        <v>39</v>
      </c>
      <c r="G1171" s="8" t="s">
        <v>2866</v>
      </c>
    </row>
    <row r="1172" spans="1:7" ht="15" customHeight="1" x14ac:dyDescent="0.25">
      <c r="A1172" s="7" t="s">
        <v>2867</v>
      </c>
      <c r="B1172" s="7" t="s">
        <v>2627</v>
      </c>
      <c r="C1172" s="8" t="s">
        <v>2868</v>
      </c>
      <c r="D1172" s="8" t="s">
        <v>1338</v>
      </c>
      <c r="E1172" s="8" t="s">
        <v>1078</v>
      </c>
      <c r="F1172" s="8" t="s">
        <v>2445</v>
      </c>
      <c r="G1172" s="8" t="s">
        <v>2869</v>
      </c>
    </row>
    <row r="1173" spans="1:7" ht="15" customHeight="1" x14ac:dyDescent="0.25">
      <c r="A1173" s="7" t="s">
        <v>2870</v>
      </c>
      <c r="B1173" s="7" t="s">
        <v>2436</v>
      </c>
      <c r="C1173" s="8" t="s">
        <v>69</v>
      </c>
      <c r="D1173" s="8" t="s">
        <v>2865</v>
      </c>
      <c r="E1173" s="8" t="s">
        <v>1078</v>
      </c>
      <c r="F1173" s="8" t="s">
        <v>363</v>
      </c>
      <c r="G1173" s="8" t="s">
        <v>1390</v>
      </c>
    </row>
    <row r="1174" spans="1:7" ht="15" customHeight="1" x14ac:dyDescent="0.25">
      <c r="A1174" s="7" t="s">
        <v>2871</v>
      </c>
      <c r="B1174" s="7" t="s">
        <v>2667</v>
      </c>
      <c r="C1174" s="8" t="s">
        <v>1068</v>
      </c>
      <c r="D1174" s="8" t="s">
        <v>444</v>
      </c>
      <c r="E1174" s="8" t="s">
        <v>463</v>
      </c>
      <c r="F1174" s="8" t="s">
        <v>28</v>
      </c>
      <c r="G1174" s="8" t="s">
        <v>2872</v>
      </c>
    </row>
    <row r="1175" spans="1:7" ht="15" customHeight="1" x14ac:dyDescent="0.25">
      <c r="A1175" s="7" t="s">
        <v>2873</v>
      </c>
      <c r="B1175" s="7" t="s">
        <v>2874</v>
      </c>
      <c r="C1175" s="8" t="s">
        <v>2875</v>
      </c>
      <c r="D1175" s="8" t="s">
        <v>233</v>
      </c>
      <c r="E1175" s="8" t="s">
        <v>64</v>
      </c>
      <c r="F1175" s="8" t="s">
        <v>65</v>
      </c>
      <c r="G1175" s="8" t="s">
        <v>2876</v>
      </c>
    </row>
    <row r="1176" spans="1:7" ht="15" customHeight="1" x14ac:dyDescent="0.25">
      <c r="A1176" s="7" t="s">
        <v>2877</v>
      </c>
      <c r="B1176" s="7" t="s">
        <v>2878</v>
      </c>
      <c r="C1176" s="8" t="s">
        <v>2879</v>
      </c>
      <c r="D1176" s="8" t="s">
        <v>43</v>
      </c>
      <c r="E1176" s="8" t="s">
        <v>166</v>
      </c>
      <c r="F1176" s="8" t="s">
        <v>28</v>
      </c>
      <c r="G1176" s="8" t="s">
        <v>2880</v>
      </c>
    </row>
    <row r="1177" spans="1:7" ht="15" customHeight="1" x14ac:dyDescent="0.25">
      <c r="A1177" s="7" t="s">
        <v>2881</v>
      </c>
      <c r="B1177" s="7" t="s">
        <v>2656</v>
      </c>
      <c r="C1177" s="8" t="s">
        <v>221</v>
      </c>
      <c r="D1177" s="8" t="s">
        <v>2610</v>
      </c>
      <c r="E1177" s="8" t="s">
        <v>262</v>
      </c>
      <c r="F1177" s="8" t="s">
        <v>65</v>
      </c>
      <c r="G1177" s="8" t="s">
        <v>2882</v>
      </c>
    </row>
    <row r="1178" spans="1:7" ht="15" customHeight="1" x14ac:dyDescent="0.25">
      <c r="A1178" s="7" t="s">
        <v>2883</v>
      </c>
      <c r="B1178" s="7" t="s">
        <v>2884</v>
      </c>
      <c r="C1178" s="8" t="s">
        <v>611</v>
      </c>
      <c r="D1178" s="8" t="s">
        <v>79</v>
      </c>
      <c r="E1178" s="8" t="s">
        <v>94</v>
      </c>
      <c r="F1178" s="8" t="s">
        <v>28</v>
      </c>
      <c r="G1178" s="8" t="s">
        <v>2885</v>
      </c>
    </row>
    <row r="1179" spans="1:7" ht="15" customHeight="1" x14ac:dyDescent="0.25">
      <c r="A1179" s="7" t="s">
        <v>2886</v>
      </c>
      <c r="B1179" s="7" t="s">
        <v>2448</v>
      </c>
      <c r="C1179" s="8" t="s">
        <v>2431</v>
      </c>
      <c r="D1179" s="8" t="s">
        <v>57</v>
      </c>
      <c r="E1179" s="8" t="s">
        <v>463</v>
      </c>
      <c r="F1179" s="8" t="s">
        <v>86</v>
      </c>
      <c r="G1179" s="8" t="s">
        <v>2887</v>
      </c>
    </row>
    <row r="1180" spans="1:7" ht="15" customHeight="1" x14ac:dyDescent="0.25">
      <c r="A1180" s="7" t="s">
        <v>2888</v>
      </c>
      <c r="B1180" s="7" t="s">
        <v>2557</v>
      </c>
      <c r="C1180" s="8" t="s">
        <v>220</v>
      </c>
      <c r="D1180" s="8" t="s">
        <v>250</v>
      </c>
      <c r="E1180" s="8" t="s">
        <v>424</v>
      </c>
      <c r="F1180" s="8" t="s">
        <v>363</v>
      </c>
      <c r="G1180" s="8" t="s">
        <v>2889</v>
      </c>
    </row>
    <row r="1181" spans="1:7" ht="15" customHeight="1" x14ac:dyDescent="0.25">
      <c r="A1181" s="7" t="s">
        <v>2890</v>
      </c>
      <c r="B1181" s="7" t="s">
        <v>2656</v>
      </c>
      <c r="C1181" s="8" t="s">
        <v>243</v>
      </c>
      <c r="D1181" s="8" t="s">
        <v>2891</v>
      </c>
      <c r="E1181" s="8" t="s">
        <v>281</v>
      </c>
      <c r="F1181" s="8" t="s">
        <v>59</v>
      </c>
      <c r="G1181" s="8" t="s">
        <v>2892</v>
      </c>
    </row>
    <row r="1182" spans="1:7" ht="15" customHeight="1" x14ac:dyDescent="0.25">
      <c r="A1182" s="7" t="s">
        <v>2893</v>
      </c>
      <c r="B1182" s="7" t="s">
        <v>2451</v>
      </c>
      <c r="C1182" s="8" t="s">
        <v>165</v>
      </c>
      <c r="D1182" s="8" t="s">
        <v>1338</v>
      </c>
      <c r="E1182" s="8" t="s">
        <v>1001</v>
      </c>
      <c r="F1182" s="8" t="s">
        <v>39</v>
      </c>
      <c r="G1182" s="8" t="s">
        <v>2894</v>
      </c>
    </row>
    <row r="1183" spans="1:7" ht="15" customHeight="1" x14ac:dyDescent="0.25">
      <c r="A1183" s="7" t="s">
        <v>2895</v>
      </c>
      <c r="B1183" s="7" t="s">
        <v>2705</v>
      </c>
      <c r="C1183" s="8" t="s">
        <v>250</v>
      </c>
      <c r="D1183" s="8" t="s">
        <v>250</v>
      </c>
      <c r="E1183" s="8" t="s">
        <v>166</v>
      </c>
      <c r="F1183" s="8" t="s">
        <v>65</v>
      </c>
      <c r="G1183" s="8" t="s">
        <v>2896</v>
      </c>
    </row>
    <row r="1184" spans="1:7" ht="15" customHeight="1" x14ac:dyDescent="0.25">
      <c r="A1184" s="7" t="s">
        <v>2897</v>
      </c>
      <c r="B1184" s="7" t="s">
        <v>2874</v>
      </c>
      <c r="C1184" s="8" t="s">
        <v>2898</v>
      </c>
      <c r="D1184" s="8" t="s">
        <v>2899</v>
      </c>
      <c r="E1184" s="8" t="s">
        <v>598</v>
      </c>
      <c r="F1184" s="8" t="s">
        <v>86</v>
      </c>
      <c r="G1184" s="8" t="s">
        <v>2900</v>
      </c>
    </row>
    <row r="1185" spans="1:7" ht="15" customHeight="1" x14ac:dyDescent="0.25">
      <c r="A1185" s="7" t="s">
        <v>2901</v>
      </c>
      <c r="B1185" s="7" t="s">
        <v>2878</v>
      </c>
      <c r="C1185" s="8" t="s">
        <v>483</v>
      </c>
      <c r="D1185" s="8" t="s">
        <v>175</v>
      </c>
      <c r="E1185" s="8" t="s">
        <v>942</v>
      </c>
      <c r="F1185" s="8" t="s">
        <v>214</v>
      </c>
      <c r="G1185" s="8" t="s">
        <v>2902</v>
      </c>
    </row>
    <row r="1186" spans="1:7" ht="15" customHeight="1" x14ac:dyDescent="0.25">
      <c r="A1186" s="7" t="s">
        <v>2903</v>
      </c>
      <c r="B1186" s="7" t="s">
        <v>2440</v>
      </c>
      <c r="C1186" s="8" t="s">
        <v>242</v>
      </c>
      <c r="D1186" s="8" t="s">
        <v>69</v>
      </c>
      <c r="E1186" s="8" t="s">
        <v>211</v>
      </c>
      <c r="F1186" s="8" t="s">
        <v>363</v>
      </c>
      <c r="G1186" s="8" t="s">
        <v>2904</v>
      </c>
    </row>
    <row r="1187" spans="1:7" ht="15" customHeight="1" x14ac:dyDescent="0.25">
      <c r="A1187" s="7" t="s">
        <v>2905</v>
      </c>
      <c r="B1187" s="7" t="s">
        <v>2486</v>
      </c>
      <c r="C1187" s="8" t="s">
        <v>2633</v>
      </c>
      <c r="D1187" s="8" t="s">
        <v>2906</v>
      </c>
      <c r="E1187" s="8" t="s">
        <v>1078</v>
      </c>
      <c r="F1187" s="8" t="s">
        <v>2445</v>
      </c>
      <c r="G1187" s="8" t="s">
        <v>2907</v>
      </c>
    </row>
    <row r="1188" spans="1:7" ht="15" customHeight="1" x14ac:dyDescent="0.25">
      <c r="A1188" s="7" t="s">
        <v>2908</v>
      </c>
      <c r="B1188" s="7" t="s">
        <v>2539</v>
      </c>
      <c r="C1188" s="8" t="s">
        <v>31</v>
      </c>
      <c r="D1188" s="8" t="s">
        <v>57</v>
      </c>
      <c r="E1188" s="8" t="s">
        <v>94</v>
      </c>
      <c r="F1188" s="8" t="s">
        <v>59</v>
      </c>
      <c r="G1188" s="8" t="s">
        <v>2909</v>
      </c>
    </row>
    <row r="1189" spans="1:7" ht="15" customHeight="1" x14ac:dyDescent="0.25">
      <c r="A1189" s="7" t="s">
        <v>2910</v>
      </c>
      <c r="B1189" s="7" t="s">
        <v>2587</v>
      </c>
      <c r="C1189" s="8" t="s">
        <v>26</v>
      </c>
      <c r="D1189" s="8" t="s">
        <v>37</v>
      </c>
      <c r="E1189" s="8" t="s">
        <v>136</v>
      </c>
      <c r="F1189" s="8" t="s">
        <v>65</v>
      </c>
      <c r="G1189" s="8" t="s">
        <v>2911</v>
      </c>
    </row>
    <row r="1190" spans="1:7" ht="15" customHeight="1" x14ac:dyDescent="0.25">
      <c r="A1190" s="7" t="s">
        <v>2912</v>
      </c>
      <c r="B1190" s="7" t="s">
        <v>2436</v>
      </c>
      <c r="C1190" s="8" t="s">
        <v>2913</v>
      </c>
      <c r="D1190" s="8" t="s">
        <v>682</v>
      </c>
      <c r="E1190" s="8" t="s">
        <v>76</v>
      </c>
      <c r="F1190" s="8" t="s">
        <v>2445</v>
      </c>
      <c r="G1190" s="8" t="s">
        <v>2914</v>
      </c>
    </row>
    <row r="1191" spans="1:7" ht="15" customHeight="1" x14ac:dyDescent="0.25">
      <c r="A1191" s="7" t="s">
        <v>2915</v>
      </c>
      <c r="B1191" s="7" t="s">
        <v>2592</v>
      </c>
      <c r="C1191" s="8" t="s">
        <v>2916</v>
      </c>
      <c r="D1191" s="8" t="s">
        <v>89</v>
      </c>
      <c r="E1191" s="8" t="s">
        <v>515</v>
      </c>
      <c r="F1191" s="8" t="s">
        <v>39</v>
      </c>
      <c r="G1191" s="8" t="s">
        <v>2917</v>
      </c>
    </row>
    <row r="1192" spans="1:7" ht="15" customHeight="1" x14ac:dyDescent="0.25">
      <c r="A1192" s="7" t="s">
        <v>2918</v>
      </c>
      <c r="B1192" s="7" t="s">
        <v>2508</v>
      </c>
      <c r="C1192" s="8" t="s">
        <v>980</v>
      </c>
      <c r="D1192" s="8" t="s">
        <v>2919</v>
      </c>
      <c r="E1192" s="8" t="s">
        <v>797</v>
      </c>
      <c r="F1192" s="8" t="s">
        <v>86</v>
      </c>
      <c r="G1192" s="8" t="s">
        <v>2920</v>
      </c>
    </row>
    <row r="1193" spans="1:7" ht="15" customHeight="1" x14ac:dyDescent="0.25">
      <c r="A1193" s="7" t="s">
        <v>2921</v>
      </c>
      <c r="B1193" s="7" t="s">
        <v>2922</v>
      </c>
      <c r="C1193" s="8" t="s">
        <v>2923</v>
      </c>
      <c r="D1193" s="8" t="s">
        <v>556</v>
      </c>
      <c r="E1193" s="8" t="s">
        <v>127</v>
      </c>
      <c r="F1193" s="8" t="s">
        <v>123</v>
      </c>
      <c r="G1193" s="8" t="s">
        <v>2924</v>
      </c>
    </row>
    <row r="1194" spans="1:7" ht="15" customHeight="1" x14ac:dyDescent="0.25">
      <c r="A1194" s="7" t="s">
        <v>2925</v>
      </c>
      <c r="B1194" s="7" t="s">
        <v>2543</v>
      </c>
      <c r="C1194" s="8" t="s">
        <v>69</v>
      </c>
      <c r="D1194" s="8" t="s">
        <v>2926</v>
      </c>
      <c r="E1194" s="8" t="s">
        <v>715</v>
      </c>
      <c r="F1194" s="8" t="s">
        <v>214</v>
      </c>
      <c r="G1194" s="8" t="s">
        <v>2927</v>
      </c>
    </row>
    <row r="1195" spans="1:7" ht="15" customHeight="1" x14ac:dyDescent="0.25">
      <c r="A1195" s="7" t="s">
        <v>2928</v>
      </c>
      <c r="B1195" s="7" t="s">
        <v>2557</v>
      </c>
      <c r="C1195" s="8" t="s">
        <v>1749</v>
      </c>
      <c r="D1195" s="8" t="s">
        <v>2929</v>
      </c>
      <c r="E1195" s="8" t="s">
        <v>1078</v>
      </c>
      <c r="F1195" s="8" t="s">
        <v>123</v>
      </c>
      <c r="G1195" s="8" t="s">
        <v>2930</v>
      </c>
    </row>
    <row r="1196" spans="1:7" ht="15" customHeight="1" x14ac:dyDescent="0.25">
      <c r="A1196" s="7" t="s">
        <v>2931</v>
      </c>
      <c r="B1196" s="7" t="s">
        <v>2479</v>
      </c>
      <c r="C1196" s="8" t="s">
        <v>630</v>
      </c>
      <c r="D1196" s="8" t="s">
        <v>69</v>
      </c>
      <c r="E1196" s="8" t="s">
        <v>1274</v>
      </c>
      <c r="F1196" s="8" t="s">
        <v>2445</v>
      </c>
      <c r="G1196" s="8" t="s">
        <v>2932</v>
      </c>
    </row>
    <row r="1197" spans="1:7" ht="15" customHeight="1" x14ac:dyDescent="0.25">
      <c r="A1197" s="7" t="s">
        <v>2933</v>
      </c>
      <c r="B1197" s="7" t="s">
        <v>2486</v>
      </c>
      <c r="C1197" s="8" t="s">
        <v>2633</v>
      </c>
      <c r="D1197" s="8" t="s">
        <v>2934</v>
      </c>
      <c r="E1197" s="8" t="s">
        <v>206</v>
      </c>
      <c r="F1197" s="8" t="s">
        <v>28</v>
      </c>
      <c r="G1197" s="8" t="s">
        <v>2935</v>
      </c>
    </row>
    <row r="1198" spans="1:7" ht="15" customHeight="1" x14ac:dyDescent="0.25">
      <c r="A1198" s="7" t="s">
        <v>2936</v>
      </c>
      <c r="B1198" s="7" t="s">
        <v>2543</v>
      </c>
      <c r="C1198" s="8" t="s">
        <v>2937</v>
      </c>
      <c r="D1198" s="8" t="s">
        <v>2938</v>
      </c>
      <c r="E1198" s="8" t="s">
        <v>541</v>
      </c>
      <c r="F1198" s="8" t="s">
        <v>363</v>
      </c>
      <c r="G1198" s="8" t="s">
        <v>2939</v>
      </c>
    </row>
    <row r="1199" spans="1:7" ht="15" customHeight="1" x14ac:dyDescent="0.25">
      <c r="A1199" s="7" t="s">
        <v>2940</v>
      </c>
      <c r="B1199" s="7" t="s">
        <v>2941</v>
      </c>
      <c r="C1199" s="8" t="s">
        <v>2942</v>
      </c>
      <c r="D1199" s="8" t="s">
        <v>63</v>
      </c>
      <c r="E1199" s="8" t="s">
        <v>296</v>
      </c>
      <c r="F1199" s="8" t="s">
        <v>28</v>
      </c>
      <c r="G1199" s="8" t="s">
        <v>2943</v>
      </c>
    </row>
    <row r="1200" spans="1:7" ht="15" customHeight="1" x14ac:dyDescent="0.25">
      <c r="A1200" s="7" t="s">
        <v>2944</v>
      </c>
      <c r="B1200" s="7" t="s">
        <v>2656</v>
      </c>
      <c r="C1200" s="8" t="s">
        <v>2945</v>
      </c>
      <c r="D1200" s="8" t="s">
        <v>2946</v>
      </c>
      <c r="E1200" s="8" t="s">
        <v>107</v>
      </c>
      <c r="F1200" s="8" t="s">
        <v>39</v>
      </c>
      <c r="G1200" s="8" t="s">
        <v>2947</v>
      </c>
    </row>
    <row r="1201" spans="1:7" ht="15" customHeight="1" x14ac:dyDescent="0.25">
      <c r="A1201" s="7" t="s">
        <v>2948</v>
      </c>
      <c r="B1201" s="7" t="s">
        <v>2539</v>
      </c>
      <c r="C1201" s="8" t="s">
        <v>31</v>
      </c>
      <c r="D1201" s="8" t="s">
        <v>57</v>
      </c>
      <c r="E1201" s="8" t="s">
        <v>94</v>
      </c>
      <c r="F1201" s="8" t="s">
        <v>2445</v>
      </c>
      <c r="G1201" s="8" t="s">
        <v>2949</v>
      </c>
    </row>
    <row r="1202" spans="1:7" ht="15" customHeight="1" x14ac:dyDescent="0.25">
      <c r="A1202" s="7" t="s">
        <v>2950</v>
      </c>
      <c r="B1202" s="7" t="s">
        <v>2951</v>
      </c>
      <c r="C1202" s="8" t="s">
        <v>1403</v>
      </c>
      <c r="D1202" s="8" t="s">
        <v>327</v>
      </c>
      <c r="E1202" s="8" t="s">
        <v>27</v>
      </c>
      <c r="F1202" s="8" t="s">
        <v>59</v>
      </c>
      <c r="G1202" s="8" t="s">
        <v>2952</v>
      </c>
    </row>
    <row r="1203" spans="1:7" ht="15" customHeight="1" x14ac:dyDescent="0.25">
      <c r="A1203" s="7" t="s">
        <v>2953</v>
      </c>
      <c r="B1203" s="7" t="s">
        <v>2479</v>
      </c>
      <c r="C1203" s="8" t="s">
        <v>122</v>
      </c>
      <c r="D1203" s="8" t="s">
        <v>57</v>
      </c>
      <c r="E1203" s="8" t="s">
        <v>103</v>
      </c>
      <c r="F1203" s="8" t="s">
        <v>2801</v>
      </c>
      <c r="G1203" s="8" t="s">
        <v>2954</v>
      </c>
    </row>
    <row r="1204" spans="1:7" ht="15" customHeight="1" x14ac:dyDescent="0.25">
      <c r="A1204" s="7" t="s">
        <v>2955</v>
      </c>
      <c r="B1204" s="7" t="s">
        <v>2656</v>
      </c>
      <c r="C1204" s="8" t="s">
        <v>149</v>
      </c>
      <c r="D1204" s="8" t="s">
        <v>2956</v>
      </c>
      <c r="E1204" s="8" t="s">
        <v>206</v>
      </c>
      <c r="F1204" s="8" t="s">
        <v>28</v>
      </c>
      <c r="G1204" s="8" t="s">
        <v>2957</v>
      </c>
    </row>
    <row r="1205" spans="1:7" ht="15" customHeight="1" x14ac:dyDescent="0.25">
      <c r="A1205" s="7" t="s">
        <v>2958</v>
      </c>
      <c r="B1205" s="7" t="s">
        <v>2448</v>
      </c>
      <c r="C1205" s="8" t="s">
        <v>79</v>
      </c>
      <c r="D1205" s="8" t="s">
        <v>2959</v>
      </c>
      <c r="E1205" s="8" t="s">
        <v>211</v>
      </c>
      <c r="F1205" s="8" t="s">
        <v>59</v>
      </c>
      <c r="G1205" s="8" t="s">
        <v>2960</v>
      </c>
    </row>
    <row r="1206" spans="1:7" ht="15" customHeight="1" x14ac:dyDescent="0.25">
      <c r="A1206" s="7" t="s">
        <v>2961</v>
      </c>
      <c r="B1206" s="7" t="s">
        <v>2627</v>
      </c>
      <c r="C1206" s="8" t="s">
        <v>584</v>
      </c>
      <c r="D1206" s="8" t="s">
        <v>149</v>
      </c>
      <c r="E1206" s="8" t="s">
        <v>44</v>
      </c>
      <c r="F1206" s="8" t="s">
        <v>2445</v>
      </c>
      <c r="G1206" s="8" t="s">
        <v>2962</v>
      </c>
    </row>
    <row r="1207" spans="1:7" ht="15" customHeight="1" x14ac:dyDescent="0.25">
      <c r="A1207" s="7" t="s">
        <v>2963</v>
      </c>
      <c r="B1207" s="7" t="s">
        <v>2964</v>
      </c>
      <c r="C1207" s="8" t="s">
        <v>2965</v>
      </c>
      <c r="D1207" s="8" t="s">
        <v>2966</v>
      </c>
      <c r="E1207" s="8" t="s">
        <v>541</v>
      </c>
      <c r="F1207" s="8" t="s">
        <v>39</v>
      </c>
      <c r="G1207" s="8" t="s">
        <v>2967</v>
      </c>
    </row>
    <row r="1208" spans="1:7" ht="15" customHeight="1" x14ac:dyDescent="0.25">
      <c r="A1208" s="7" t="s">
        <v>2968</v>
      </c>
      <c r="B1208" s="7" t="s">
        <v>2969</v>
      </c>
      <c r="C1208" s="8" t="s">
        <v>483</v>
      </c>
      <c r="D1208" s="8" t="s">
        <v>149</v>
      </c>
      <c r="E1208" s="8" t="s">
        <v>581</v>
      </c>
      <c r="F1208" s="8" t="s">
        <v>59</v>
      </c>
      <c r="G1208" s="8" t="s">
        <v>2970</v>
      </c>
    </row>
    <row r="1209" spans="1:7" ht="15" customHeight="1" x14ac:dyDescent="0.25">
      <c r="A1209" s="7" t="s">
        <v>2971</v>
      </c>
      <c r="B1209" s="7" t="s">
        <v>2543</v>
      </c>
      <c r="C1209" s="8" t="s">
        <v>2972</v>
      </c>
      <c r="D1209" s="8" t="s">
        <v>2706</v>
      </c>
      <c r="E1209" s="8" t="s">
        <v>1808</v>
      </c>
      <c r="F1209" s="8" t="s">
        <v>65</v>
      </c>
      <c r="G1209" s="8" t="s">
        <v>2973</v>
      </c>
    </row>
    <row r="1210" spans="1:7" ht="15" customHeight="1" x14ac:dyDescent="0.25">
      <c r="A1210" s="7" t="s">
        <v>2974</v>
      </c>
      <c r="B1210" s="7" t="s">
        <v>2444</v>
      </c>
      <c r="C1210" s="8" t="s">
        <v>550</v>
      </c>
      <c r="D1210" s="8" t="s">
        <v>2975</v>
      </c>
      <c r="E1210" s="8" t="s">
        <v>296</v>
      </c>
      <c r="F1210" s="8" t="s">
        <v>59</v>
      </c>
      <c r="G1210" s="8" t="s">
        <v>2976</v>
      </c>
    </row>
    <row r="1211" spans="1:7" ht="15" customHeight="1" x14ac:dyDescent="0.25">
      <c r="A1211" s="7" t="s">
        <v>2977</v>
      </c>
      <c r="B1211" s="7" t="s">
        <v>2482</v>
      </c>
      <c r="C1211" s="8" t="s">
        <v>26</v>
      </c>
      <c r="D1211" s="8" t="s">
        <v>2978</v>
      </c>
      <c r="E1211" s="8" t="s">
        <v>33</v>
      </c>
      <c r="F1211" s="8" t="s">
        <v>28</v>
      </c>
      <c r="G1211" s="8" t="s">
        <v>2979</v>
      </c>
    </row>
    <row r="1212" spans="1:7" ht="15" customHeight="1" x14ac:dyDescent="0.25">
      <c r="A1212" s="7" t="s">
        <v>2980</v>
      </c>
      <c r="B1212" s="7" t="s">
        <v>2878</v>
      </c>
      <c r="C1212" s="8" t="s">
        <v>2981</v>
      </c>
      <c r="D1212" s="8" t="s">
        <v>2982</v>
      </c>
      <c r="E1212" s="8" t="s">
        <v>1078</v>
      </c>
      <c r="F1212" s="8" t="s">
        <v>39</v>
      </c>
      <c r="G1212" s="8" t="s">
        <v>2983</v>
      </c>
    </row>
    <row r="1213" spans="1:7" ht="15" customHeight="1" x14ac:dyDescent="0.25">
      <c r="A1213" s="7" t="s">
        <v>2984</v>
      </c>
      <c r="B1213" s="7" t="s">
        <v>2557</v>
      </c>
      <c r="C1213" s="8" t="s">
        <v>57</v>
      </c>
      <c r="D1213" s="8" t="s">
        <v>221</v>
      </c>
      <c r="E1213" s="8" t="s">
        <v>251</v>
      </c>
      <c r="F1213" s="8" t="s">
        <v>123</v>
      </c>
      <c r="G1213" s="8" t="s">
        <v>2985</v>
      </c>
    </row>
    <row r="1214" spans="1:7" ht="15" customHeight="1" x14ac:dyDescent="0.25">
      <c r="A1214" s="7" t="s">
        <v>2986</v>
      </c>
      <c r="B1214" s="7" t="s">
        <v>2567</v>
      </c>
      <c r="C1214" s="8" t="s">
        <v>232</v>
      </c>
      <c r="D1214" s="8" t="s">
        <v>142</v>
      </c>
      <c r="E1214" s="8" t="s">
        <v>44</v>
      </c>
      <c r="F1214" s="8" t="s">
        <v>59</v>
      </c>
      <c r="G1214" s="8" t="s">
        <v>2987</v>
      </c>
    </row>
    <row r="1215" spans="1:7" ht="15" customHeight="1" x14ac:dyDescent="0.25">
      <c r="A1215" s="7" t="s">
        <v>2988</v>
      </c>
      <c r="B1215" s="7" t="s">
        <v>2653</v>
      </c>
      <c r="C1215" s="8" t="s">
        <v>2529</v>
      </c>
      <c r="D1215" s="8" t="s">
        <v>117</v>
      </c>
      <c r="E1215" s="8" t="s">
        <v>942</v>
      </c>
      <c r="F1215" s="8" t="s">
        <v>2445</v>
      </c>
      <c r="G1215" s="8" t="s">
        <v>2989</v>
      </c>
    </row>
    <row r="1216" spans="1:7" ht="15" customHeight="1" x14ac:dyDescent="0.25">
      <c r="A1216" s="7" t="s">
        <v>2990</v>
      </c>
      <c r="B1216" s="7" t="s">
        <v>2482</v>
      </c>
      <c r="C1216" s="8" t="s">
        <v>1635</v>
      </c>
      <c r="D1216" s="8" t="s">
        <v>2865</v>
      </c>
      <c r="E1216" s="8" t="s">
        <v>118</v>
      </c>
      <c r="F1216" s="8" t="s">
        <v>363</v>
      </c>
      <c r="G1216" s="8" t="s">
        <v>2991</v>
      </c>
    </row>
    <row r="1217" spans="1:7" ht="15" customHeight="1" x14ac:dyDescent="0.25">
      <c r="A1217" s="7" t="s">
        <v>2992</v>
      </c>
      <c r="B1217" s="7" t="s">
        <v>2505</v>
      </c>
      <c r="C1217" s="8" t="s">
        <v>2993</v>
      </c>
      <c r="D1217" s="8" t="s">
        <v>2499</v>
      </c>
      <c r="E1217" s="8" t="s">
        <v>48</v>
      </c>
      <c r="F1217" s="8" t="s">
        <v>28</v>
      </c>
      <c r="G1217" s="8" t="s">
        <v>2994</v>
      </c>
    </row>
    <row r="1218" spans="1:7" ht="15" customHeight="1" x14ac:dyDescent="0.25">
      <c r="A1218" s="7" t="s">
        <v>2995</v>
      </c>
      <c r="B1218" s="7" t="s">
        <v>2448</v>
      </c>
      <c r="C1218" s="8" t="s">
        <v>57</v>
      </c>
      <c r="D1218" s="8" t="s">
        <v>69</v>
      </c>
      <c r="E1218" s="8" t="s">
        <v>70</v>
      </c>
      <c r="F1218" s="8" t="s">
        <v>476</v>
      </c>
      <c r="G1218" s="8" t="s">
        <v>2996</v>
      </c>
    </row>
    <row r="1219" spans="1:7" ht="15" customHeight="1" x14ac:dyDescent="0.25">
      <c r="A1219" s="7" t="s">
        <v>2997</v>
      </c>
      <c r="B1219" s="7" t="s">
        <v>2874</v>
      </c>
      <c r="C1219" s="8" t="s">
        <v>2698</v>
      </c>
      <c r="D1219" s="8" t="s">
        <v>2998</v>
      </c>
      <c r="E1219" s="8" t="s">
        <v>247</v>
      </c>
      <c r="F1219" s="8" t="s">
        <v>59</v>
      </c>
      <c r="G1219" s="8" t="s">
        <v>2999</v>
      </c>
    </row>
    <row r="1220" spans="1:7" ht="15" customHeight="1" x14ac:dyDescent="0.25">
      <c r="A1220" s="7" t="s">
        <v>3000</v>
      </c>
      <c r="B1220" s="7" t="s">
        <v>2440</v>
      </c>
      <c r="C1220" s="8" t="s">
        <v>1827</v>
      </c>
      <c r="D1220" s="8" t="s">
        <v>285</v>
      </c>
      <c r="E1220" s="8" t="s">
        <v>1078</v>
      </c>
      <c r="F1220" s="8" t="s">
        <v>201</v>
      </c>
      <c r="G1220" s="8" t="s">
        <v>3001</v>
      </c>
    </row>
    <row r="1221" spans="1:7" ht="15" customHeight="1" x14ac:dyDescent="0.25">
      <c r="A1221" s="7" t="s">
        <v>3002</v>
      </c>
      <c r="B1221" s="7" t="s">
        <v>2482</v>
      </c>
      <c r="C1221" s="8" t="s">
        <v>220</v>
      </c>
      <c r="D1221" s="8" t="s">
        <v>3003</v>
      </c>
      <c r="E1221" s="8" t="s">
        <v>541</v>
      </c>
      <c r="F1221" s="8" t="s">
        <v>28</v>
      </c>
      <c r="G1221" s="8" t="s">
        <v>3004</v>
      </c>
    </row>
    <row r="1222" spans="1:7" ht="15" customHeight="1" x14ac:dyDescent="0.25">
      <c r="A1222" s="7" t="s">
        <v>3005</v>
      </c>
      <c r="B1222" s="7" t="s">
        <v>2587</v>
      </c>
      <c r="C1222" s="8" t="s">
        <v>895</v>
      </c>
      <c r="D1222" s="8" t="s">
        <v>3006</v>
      </c>
      <c r="E1222" s="8" t="s">
        <v>127</v>
      </c>
      <c r="F1222" s="8" t="s">
        <v>65</v>
      </c>
      <c r="G1222" s="8" t="s">
        <v>3007</v>
      </c>
    </row>
    <row r="1223" spans="1:7" ht="15" customHeight="1" x14ac:dyDescent="0.25">
      <c r="A1223" s="7" t="s">
        <v>3008</v>
      </c>
      <c r="B1223" s="7" t="s">
        <v>3009</v>
      </c>
      <c r="C1223" s="8" t="s">
        <v>980</v>
      </c>
      <c r="D1223" s="8" t="s">
        <v>3010</v>
      </c>
      <c r="E1223" s="8" t="s">
        <v>182</v>
      </c>
      <c r="F1223" s="8" t="s">
        <v>65</v>
      </c>
      <c r="G1223" s="8" t="s">
        <v>3011</v>
      </c>
    </row>
    <row r="1224" spans="1:7" ht="15" customHeight="1" x14ac:dyDescent="0.25">
      <c r="A1224" s="7" t="s">
        <v>3012</v>
      </c>
      <c r="B1224" s="7" t="s">
        <v>2642</v>
      </c>
      <c r="C1224" s="8" t="s">
        <v>633</v>
      </c>
      <c r="D1224" s="8" t="s">
        <v>633</v>
      </c>
      <c r="E1224" s="8" t="s">
        <v>166</v>
      </c>
      <c r="F1224" s="8" t="s">
        <v>65</v>
      </c>
      <c r="G1224" s="8" t="s">
        <v>876</v>
      </c>
    </row>
    <row r="1225" spans="1:7" ht="15" customHeight="1" x14ac:dyDescent="0.25">
      <c r="A1225" s="7" t="s">
        <v>3013</v>
      </c>
      <c r="B1225" s="7" t="s">
        <v>2479</v>
      </c>
      <c r="C1225" s="8" t="s">
        <v>43</v>
      </c>
      <c r="D1225" s="8" t="s">
        <v>195</v>
      </c>
      <c r="E1225" s="8" t="s">
        <v>254</v>
      </c>
      <c r="F1225" s="8" t="s">
        <v>757</v>
      </c>
      <c r="G1225" s="8" t="s">
        <v>3014</v>
      </c>
    </row>
    <row r="1226" spans="1:7" ht="15" customHeight="1" x14ac:dyDescent="0.25">
      <c r="A1226" s="7" t="s">
        <v>3015</v>
      </c>
      <c r="B1226" s="7" t="s">
        <v>3016</v>
      </c>
      <c r="C1226" s="8" t="s">
        <v>1335</v>
      </c>
      <c r="D1226" s="8" t="s">
        <v>3017</v>
      </c>
      <c r="E1226" s="8" t="s">
        <v>113</v>
      </c>
      <c r="F1226" s="8" t="s">
        <v>86</v>
      </c>
      <c r="G1226" s="8" t="s">
        <v>3018</v>
      </c>
    </row>
    <row r="1227" spans="1:7" ht="15" customHeight="1" x14ac:dyDescent="0.25">
      <c r="A1227" s="7" t="s">
        <v>3019</v>
      </c>
      <c r="B1227" s="7" t="s">
        <v>2567</v>
      </c>
      <c r="C1227" s="8" t="s">
        <v>2353</v>
      </c>
      <c r="D1227" s="8" t="s">
        <v>2096</v>
      </c>
      <c r="E1227" s="8" t="s">
        <v>118</v>
      </c>
      <c r="F1227" s="8" t="s">
        <v>39</v>
      </c>
      <c r="G1227" s="8" t="s">
        <v>3020</v>
      </c>
    </row>
    <row r="1228" spans="1:7" ht="15" customHeight="1" x14ac:dyDescent="0.25">
      <c r="A1228" s="7" t="s">
        <v>3021</v>
      </c>
      <c r="B1228" s="7" t="s">
        <v>2479</v>
      </c>
      <c r="C1228" s="8" t="s">
        <v>57</v>
      </c>
      <c r="D1228" s="8" t="s">
        <v>327</v>
      </c>
      <c r="E1228" s="8" t="s">
        <v>228</v>
      </c>
      <c r="F1228" s="8" t="s">
        <v>757</v>
      </c>
      <c r="G1228" s="8" t="s">
        <v>3022</v>
      </c>
    </row>
    <row r="1229" spans="1:7" ht="15" customHeight="1" x14ac:dyDescent="0.25">
      <c r="A1229" s="7" t="s">
        <v>3023</v>
      </c>
      <c r="B1229" s="7" t="s">
        <v>2526</v>
      </c>
      <c r="C1229" s="8" t="s">
        <v>3024</v>
      </c>
      <c r="D1229" s="8" t="s">
        <v>3025</v>
      </c>
      <c r="E1229" s="8" t="s">
        <v>424</v>
      </c>
      <c r="F1229" s="8" t="s">
        <v>59</v>
      </c>
      <c r="G1229" s="8" t="s">
        <v>3026</v>
      </c>
    </row>
    <row r="1230" spans="1:7" ht="15" customHeight="1" x14ac:dyDescent="0.25">
      <c r="A1230" s="7" t="s">
        <v>3027</v>
      </c>
      <c r="B1230" s="7" t="s">
        <v>2489</v>
      </c>
      <c r="C1230" s="8" t="s">
        <v>37</v>
      </c>
      <c r="D1230" s="8" t="s">
        <v>3028</v>
      </c>
      <c r="E1230" s="8" t="s">
        <v>70</v>
      </c>
      <c r="F1230" s="8" t="s">
        <v>363</v>
      </c>
      <c r="G1230" s="8" t="s">
        <v>3029</v>
      </c>
    </row>
    <row r="1231" spans="1:7" ht="15" customHeight="1" x14ac:dyDescent="0.25">
      <c r="A1231" s="7" t="s">
        <v>3030</v>
      </c>
      <c r="B1231" s="7" t="s">
        <v>2489</v>
      </c>
      <c r="C1231" s="8" t="s">
        <v>1335</v>
      </c>
      <c r="D1231" s="8" t="s">
        <v>3031</v>
      </c>
      <c r="E1231" s="8" t="s">
        <v>33</v>
      </c>
      <c r="F1231" s="8" t="s">
        <v>86</v>
      </c>
      <c r="G1231" s="8" t="s">
        <v>3032</v>
      </c>
    </row>
    <row r="1232" spans="1:7" ht="15" customHeight="1" x14ac:dyDescent="0.25">
      <c r="A1232" s="7" t="s">
        <v>3033</v>
      </c>
      <c r="B1232" s="7" t="s">
        <v>2587</v>
      </c>
      <c r="C1232" s="8" t="s">
        <v>220</v>
      </c>
      <c r="D1232" s="8" t="s">
        <v>910</v>
      </c>
      <c r="E1232" s="8" t="s">
        <v>346</v>
      </c>
      <c r="F1232" s="8" t="s">
        <v>65</v>
      </c>
      <c r="G1232" s="8" t="s">
        <v>3034</v>
      </c>
    </row>
    <row r="1233" spans="1:7" ht="15" customHeight="1" x14ac:dyDescent="0.25">
      <c r="A1233" s="7" t="s">
        <v>3035</v>
      </c>
      <c r="B1233" s="7" t="s">
        <v>2489</v>
      </c>
      <c r="C1233" s="8" t="s">
        <v>69</v>
      </c>
      <c r="D1233" s="8" t="s">
        <v>3036</v>
      </c>
      <c r="E1233" s="8" t="s">
        <v>228</v>
      </c>
      <c r="F1233" s="8" t="s">
        <v>321</v>
      </c>
      <c r="G1233" s="8" t="s">
        <v>3037</v>
      </c>
    </row>
    <row r="1234" spans="1:7" ht="15" customHeight="1" x14ac:dyDescent="0.25">
      <c r="A1234" s="7" t="s">
        <v>3038</v>
      </c>
      <c r="B1234" s="7" t="s">
        <v>2467</v>
      </c>
      <c r="C1234" s="8" t="s">
        <v>149</v>
      </c>
      <c r="D1234" s="8" t="s">
        <v>3039</v>
      </c>
      <c r="E1234" s="8" t="s">
        <v>113</v>
      </c>
      <c r="F1234" s="8" t="s">
        <v>28</v>
      </c>
      <c r="G1234" s="8" t="s">
        <v>3040</v>
      </c>
    </row>
    <row r="1235" spans="1:7" ht="15" customHeight="1" x14ac:dyDescent="0.25">
      <c r="A1235" s="7" t="s">
        <v>3041</v>
      </c>
      <c r="B1235" s="7" t="s">
        <v>2479</v>
      </c>
      <c r="C1235" s="8" t="s">
        <v>411</v>
      </c>
      <c r="D1235" s="8" t="s">
        <v>43</v>
      </c>
      <c r="E1235" s="8" t="s">
        <v>131</v>
      </c>
      <c r="F1235" s="8" t="s">
        <v>123</v>
      </c>
      <c r="G1235" s="8" t="s">
        <v>2251</v>
      </c>
    </row>
    <row r="1236" spans="1:7" ht="15" customHeight="1" x14ac:dyDescent="0.25">
      <c r="A1236" s="7" t="s">
        <v>3042</v>
      </c>
      <c r="B1236" s="7" t="s">
        <v>2874</v>
      </c>
      <c r="C1236" s="8" t="s">
        <v>3043</v>
      </c>
      <c r="D1236" s="8" t="s">
        <v>3044</v>
      </c>
      <c r="E1236" s="8" t="s">
        <v>107</v>
      </c>
      <c r="F1236" s="8" t="s">
        <v>65</v>
      </c>
      <c r="G1236" s="8" t="s">
        <v>3045</v>
      </c>
    </row>
    <row r="1237" spans="1:7" ht="15" customHeight="1" x14ac:dyDescent="0.25">
      <c r="A1237" s="7" t="s">
        <v>3046</v>
      </c>
      <c r="B1237" s="7" t="s">
        <v>2539</v>
      </c>
      <c r="C1237" s="8" t="s">
        <v>3047</v>
      </c>
      <c r="D1237" s="8" t="s">
        <v>195</v>
      </c>
      <c r="E1237" s="8" t="s">
        <v>127</v>
      </c>
      <c r="F1237" s="8" t="s">
        <v>65</v>
      </c>
      <c r="G1237" s="8" t="s">
        <v>3048</v>
      </c>
    </row>
    <row r="1238" spans="1:7" ht="15" customHeight="1" x14ac:dyDescent="0.25">
      <c r="A1238" s="7" t="s">
        <v>3049</v>
      </c>
      <c r="B1238" s="7" t="s">
        <v>2536</v>
      </c>
      <c r="C1238" s="8" t="s">
        <v>3050</v>
      </c>
      <c r="D1238" s="8" t="s">
        <v>2789</v>
      </c>
      <c r="E1238" s="8" t="s">
        <v>182</v>
      </c>
      <c r="F1238" s="8" t="s">
        <v>86</v>
      </c>
      <c r="G1238" s="8" t="s">
        <v>3051</v>
      </c>
    </row>
    <row r="1239" spans="1:7" ht="15" customHeight="1" x14ac:dyDescent="0.25">
      <c r="A1239" s="7" t="s">
        <v>3052</v>
      </c>
      <c r="B1239" s="7" t="s">
        <v>2440</v>
      </c>
      <c r="C1239" s="8" t="s">
        <v>3053</v>
      </c>
      <c r="D1239" s="8" t="s">
        <v>3054</v>
      </c>
      <c r="E1239" s="8" t="s">
        <v>1279</v>
      </c>
      <c r="F1239" s="8" t="s">
        <v>59</v>
      </c>
      <c r="G1239" s="8" t="s">
        <v>882</v>
      </c>
    </row>
    <row r="1240" spans="1:7" ht="15" customHeight="1" x14ac:dyDescent="0.25">
      <c r="A1240" s="7" t="s">
        <v>3055</v>
      </c>
      <c r="B1240" s="7" t="s">
        <v>2543</v>
      </c>
      <c r="C1240" s="8" t="s">
        <v>3056</v>
      </c>
      <c r="D1240" s="8" t="s">
        <v>3010</v>
      </c>
      <c r="E1240" s="8" t="s">
        <v>97</v>
      </c>
      <c r="F1240" s="8" t="s">
        <v>2445</v>
      </c>
      <c r="G1240" s="8" t="s">
        <v>2880</v>
      </c>
    </row>
    <row r="1241" spans="1:7" ht="15" customHeight="1" x14ac:dyDescent="0.25">
      <c r="A1241" s="7" t="s">
        <v>3057</v>
      </c>
      <c r="B1241" s="7" t="s">
        <v>2627</v>
      </c>
      <c r="C1241" s="8" t="s">
        <v>195</v>
      </c>
      <c r="D1241" s="8" t="s">
        <v>149</v>
      </c>
      <c r="E1241" s="8" t="s">
        <v>424</v>
      </c>
      <c r="F1241" s="8" t="s">
        <v>86</v>
      </c>
      <c r="G1241" s="8" t="s">
        <v>2714</v>
      </c>
    </row>
    <row r="1242" spans="1:7" ht="15" customHeight="1" x14ac:dyDescent="0.25">
      <c r="A1242" s="7" t="s">
        <v>3058</v>
      </c>
      <c r="B1242" s="7" t="s">
        <v>2486</v>
      </c>
      <c r="C1242" s="8" t="s">
        <v>1190</v>
      </c>
      <c r="D1242" s="8" t="s">
        <v>3059</v>
      </c>
      <c r="E1242" s="8" t="s">
        <v>281</v>
      </c>
      <c r="F1242" s="8" t="s">
        <v>363</v>
      </c>
      <c r="G1242" s="8" t="s">
        <v>3060</v>
      </c>
    </row>
    <row r="1243" spans="1:7" ht="15" customHeight="1" x14ac:dyDescent="0.25">
      <c r="A1243" s="7" t="s">
        <v>3061</v>
      </c>
      <c r="B1243" s="7" t="s">
        <v>2922</v>
      </c>
      <c r="C1243" s="8" t="s">
        <v>3062</v>
      </c>
      <c r="D1243" s="8" t="s">
        <v>3063</v>
      </c>
      <c r="E1243" s="8" t="s">
        <v>997</v>
      </c>
      <c r="F1243" s="8" t="s">
        <v>65</v>
      </c>
      <c r="G1243" s="8" t="s">
        <v>3064</v>
      </c>
    </row>
    <row r="1244" spans="1:7" ht="15" customHeight="1" x14ac:dyDescent="0.25">
      <c r="A1244" s="7" t="s">
        <v>3065</v>
      </c>
      <c r="B1244" s="7" t="s">
        <v>2543</v>
      </c>
      <c r="C1244" s="8" t="s">
        <v>1749</v>
      </c>
      <c r="D1244" s="8" t="s">
        <v>3066</v>
      </c>
      <c r="E1244" s="8" t="s">
        <v>826</v>
      </c>
      <c r="F1244" s="8" t="s">
        <v>363</v>
      </c>
      <c r="G1244" s="8" t="s">
        <v>3067</v>
      </c>
    </row>
    <row r="1245" spans="1:7" ht="15" customHeight="1" x14ac:dyDescent="0.25">
      <c r="A1245" s="7" t="s">
        <v>3068</v>
      </c>
      <c r="B1245" s="7" t="s">
        <v>2479</v>
      </c>
      <c r="C1245" s="8" t="s">
        <v>3069</v>
      </c>
      <c r="D1245" s="8" t="s">
        <v>250</v>
      </c>
      <c r="E1245" s="8" t="s">
        <v>76</v>
      </c>
      <c r="F1245" s="8" t="s">
        <v>3070</v>
      </c>
      <c r="G1245" s="8" t="s">
        <v>3071</v>
      </c>
    </row>
    <row r="1246" spans="1:7" ht="15" customHeight="1" x14ac:dyDescent="0.25">
      <c r="A1246" s="7" t="s">
        <v>3072</v>
      </c>
      <c r="B1246" s="7" t="s">
        <v>2557</v>
      </c>
      <c r="C1246" s="8" t="s">
        <v>2502</v>
      </c>
      <c r="D1246" s="8" t="s">
        <v>3073</v>
      </c>
      <c r="E1246" s="8" t="s">
        <v>350</v>
      </c>
      <c r="F1246" s="8" t="s">
        <v>119</v>
      </c>
      <c r="G1246" s="8" t="s">
        <v>1780</v>
      </c>
    </row>
    <row r="1247" spans="1:7" ht="15" customHeight="1" x14ac:dyDescent="0.25">
      <c r="A1247" s="7" t="s">
        <v>3074</v>
      </c>
      <c r="B1247" s="7" t="s">
        <v>2878</v>
      </c>
      <c r="C1247" s="8" t="s">
        <v>3075</v>
      </c>
      <c r="D1247" s="8" t="s">
        <v>3076</v>
      </c>
      <c r="E1247" s="8" t="s">
        <v>1078</v>
      </c>
      <c r="F1247" s="8" t="s">
        <v>2445</v>
      </c>
      <c r="G1247" s="8" t="s">
        <v>3077</v>
      </c>
    </row>
    <row r="1248" spans="1:7" ht="15" customHeight="1" x14ac:dyDescent="0.25">
      <c r="A1248" s="7" t="s">
        <v>3078</v>
      </c>
      <c r="B1248" s="7" t="s">
        <v>2539</v>
      </c>
      <c r="C1248" s="8" t="s">
        <v>2540</v>
      </c>
      <c r="D1248" s="8" t="s">
        <v>26</v>
      </c>
      <c r="E1248" s="8" t="s">
        <v>342</v>
      </c>
      <c r="F1248" s="8" t="s">
        <v>123</v>
      </c>
      <c r="G1248" s="8" t="s">
        <v>3079</v>
      </c>
    </row>
    <row r="1249" spans="1:7" ht="15" customHeight="1" x14ac:dyDescent="0.25">
      <c r="A1249" s="7" t="s">
        <v>3080</v>
      </c>
      <c r="B1249" s="7" t="s">
        <v>3081</v>
      </c>
      <c r="C1249" s="8" t="s">
        <v>90</v>
      </c>
      <c r="D1249" s="8" t="s">
        <v>175</v>
      </c>
      <c r="E1249" s="8" t="s">
        <v>44</v>
      </c>
      <c r="F1249" s="8" t="s">
        <v>2445</v>
      </c>
      <c r="G1249" s="8" t="s">
        <v>3082</v>
      </c>
    </row>
    <row r="1250" spans="1:7" ht="15" customHeight="1" x14ac:dyDescent="0.25">
      <c r="A1250" s="7" t="s">
        <v>3083</v>
      </c>
      <c r="B1250" s="7" t="s">
        <v>2505</v>
      </c>
      <c r="C1250" s="8" t="s">
        <v>1863</v>
      </c>
      <c r="D1250" s="8" t="s">
        <v>871</v>
      </c>
      <c r="E1250" s="8" t="s">
        <v>247</v>
      </c>
      <c r="F1250" s="8" t="s">
        <v>86</v>
      </c>
      <c r="G1250" s="8" t="s">
        <v>3084</v>
      </c>
    </row>
    <row r="1251" spans="1:7" ht="15" customHeight="1" x14ac:dyDescent="0.25">
      <c r="A1251" s="7" t="s">
        <v>3085</v>
      </c>
      <c r="B1251" s="7" t="s">
        <v>2841</v>
      </c>
      <c r="C1251" s="8" t="s">
        <v>3086</v>
      </c>
      <c r="D1251" s="8" t="s">
        <v>444</v>
      </c>
      <c r="E1251" s="8" t="s">
        <v>107</v>
      </c>
      <c r="F1251" s="8" t="s">
        <v>59</v>
      </c>
      <c r="G1251" s="8" t="s">
        <v>3087</v>
      </c>
    </row>
    <row r="1252" spans="1:7" ht="15" customHeight="1" x14ac:dyDescent="0.25">
      <c r="A1252" s="7" t="s">
        <v>3088</v>
      </c>
      <c r="B1252" s="7" t="s">
        <v>2479</v>
      </c>
      <c r="C1252" s="8" t="s">
        <v>3089</v>
      </c>
      <c r="D1252" s="8" t="s">
        <v>3090</v>
      </c>
      <c r="E1252" s="8" t="s">
        <v>262</v>
      </c>
      <c r="F1252" s="8" t="s">
        <v>86</v>
      </c>
      <c r="G1252" s="8" t="s">
        <v>3091</v>
      </c>
    </row>
    <row r="1253" spans="1:7" ht="15" customHeight="1" x14ac:dyDescent="0.25">
      <c r="A1253" s="7" t="s">
        <v>3092</v>
      </c>
      <c r="B1253" s="7" t="s">
        <v>2922</v>
      </c>
      <c r="C1253" s="8" t="s">
        <v>3093</v>
      </c>
      <c r="D1253" s="8" t="s">
        <v>250</v>
      </c>
      <c r="E1253" s="8" t="s">
        <v>372</v>
      </c>
      <c r="F1253" s="8" t="s">
        <v>2639</v>
      </c>
      <c r="G1253" s="8" t="s">
        <v>3094</v>
      </c>
    </row>
    <row r="1254" spans="1:7" ht="15" customHeight="1" x14ac:dyDescent="0.25">
      <c r="A1254" s="7" t="s">
        <v>3095</v>
      </c>
      <c r="B1254" s="7" t="s">
        <v>2543</v>
      </c>
      <c r="C1254" s="8" t="s">
        <v>3096</v>
      </c>
      <c r="D1254" s="8" t="s">
        <v>1995</v>
      </c>
      <c r="E1254" s="8" t="s">
        <v>1808</v>
      </c>
      <c r="F1254" s="8" t="s">
        <v>65</v>
      </c>
      <c r="G1254" s="8" t="s">
        <v>3097</v>
      </c>
    </row>
    <row r="1255" spans="1:7" ht="15" customHeight="1" x14ac:dyDescent="0.25">
      <c r="A1255" s="7" t="s">
        <v>3098</v>
      </c>
      <c r="B1255" s="7" t="s">
        <v>2627</v>
      </c>
      <c r="C1255" s="8" t="s">
        <v>3099</v>
      </c>
      <c r="D1255" s="8" t="s">
        <v>3100</v>
      </c>
      <c r="E1255" s="8" t="s">
        <v>113</v>
      </c>
      <c r="F1255" s="8" t="s">
        <v>86</v>
      </c>
      <c r="G1255" s="8" t="s">
        <v>3101</v>
      </c>
    </row>
    <row r="1256" spans="1:7" ht="15" customHeight="1" x14ac:dyDescent="0.25">
      <c r="A1256" s="7" t="s">
        <v>3102</v>
      </c>
      <c r="B1256" s="7" t="s">
        <v>2587</v>
      </c>
      <c r="C1256" s="8" t="s">
        <v>243</v>
      </c>
      <c r="D1256" s="8" t="s">
        <v>3103</v>
      </c>
      <c r="E1256" s="8" t="s">
        <v>113</v>
      </c>
      <c r="F1256" s="8" t="s">
        <v>86</v>
      </c>
      <c r="G1256" s="8" t="s">
        <v>3104</v>
      </c>
    </row>
    <row r="1257" spans="1:7" ht="15" customHeight="1" x14ac:dyDescent="0.25">
      <c r="A1257" s="7" t="s">
        <v>3105</v>
      </c>
      <c r="B1257" s="7" t="s">
        <v>2592</v>
      </c>
      <c r="C1257" s="8" t="s">
        <v>3106</v>
      </c>
      <c r="D1257" s="8" t="s">
        <v>3107</v>
      </c>
      <c r="E1257" s="8" t="s">
        <v>73</v>
      </c>
      <c r="F1257" s="8" t="s">
        <v>59</v>
      </c>
      <c r="G1257" s="8" t="s">
        <v>811</v>
      </c>
    </row>
    <row r="1258" spans="1:7" ht="15" customHeight="1" x14ac:dyDescent="0.25">
      <c r="A1258" s="7" t="s">
        <v>3108</v>
      </c>
      <c r="B1258" s="7" t="s">
        <v>2526</v>
      </c>
      <c r="C1258" s="8" t="s">
        <v>69</v>
      </c>
      <c r="D1258" s="8" t="s">
        <v>1091</v>
      </c>
      <c r="E1258" s="8" t="s">
        <v>976</v>
      </c>
      <c r="F1258" s="8" t="s">
        <v>59</v>
      </c>
      <c r="G1258" s="8" t="s">
        <v>1579</v>
      </c>
    </row>
    <row r="1259" spans="1:7" ht="15" customHeight="1" x14ac:dyDescent="0.25">
      <c r="A1259" s="7" t="s">
        <v>3109</v>
      </c>
      <c r="B1259" s="7" t="s">
        <v>2567</v>
      </c>
      <c r="C1259" s="8" t="s">
        <v>3110</v>
      </c>
      <c r="D1259" s="8" t="s">
        <v>232</v>
      </c>
      <c r="E1259" s="8" t="s">
        <v>76</v>
      </c>
      <c r="F1259" s="8" t="s">
        <v>2445</v>
      </c>
      <c r="G1259" s="8" t="s">
        <v>3111</v>
      </c>
    </row>
    <row r="1260" spans="1:7" ht="15" customHeight="1" x14ac:dyDescent="0.25">
      <c r="A1260" s="7" t="s">
        <v>3112</v>
      </c>
      <c r="B1260" s="7" t="s">
        <v>2489</v>
      </c>
      <c r="C1260" s="8" t="s">
        <v>1635</v>
      </c>
      <c r="D1260" s="8" t="s">
        <v>556</v>
      </c>
      <c r="E1260" s="8" t="s">
        <v>206</v>
      </c>
      <c r="F1260" s="8" t="s">
        <v>214</v>
      </c>
      <c r="G1260" s="8" t="s">
        <v>3113</v>
      </c>
    </row>
    <row r="1261" spans="1:7" ht="15" customHeight="1" x14ac:dyDescent="0.25">
      <c r="A1261" s="7" t="s">
        <v>3114</v>
      </c>
      <c r="B1261" s="7" t="s">
        <v>2489</v>
      </c>
      <c r="C1261" s="8" t="s">
        <v>2388</v>
      </c>
      <c r="D1261" s="8" t="s">
        <v>3115</v>
      </c>
      <c r="E1261" s="8" t="s">
        <v>150</v>
      </c>
      <c r="F1261" s="8" t="s">
        <v>39</v>
      </c>
      <c r="G1261" s="8" t="s">
        <v>3116</v>
      </c>
    </row>
    <row r="1262" spans="1:7" ht="15" customHeight="1" x14ac:dyDescent="0.25">
      <c r="A1262" s="7" t="s">
        <v>3117</v>
      </c>
      <c r="B1262" s="7" t="s">
        <v>3118</v>
      </c>
      <c r="C1262" s="8" t="s">
        <v>3119</v>
      </c>
      <c r="D1262" s="8" t="s">
        <v>2584</v>
      </c>
      <c r="E1262" s="8" t="s">
        <v>360</v>
      </c>
      <c r="F1262" s="8" t="s">
        <v>39</v>
      </c>
      <c r="G1262" s="8" t="s">
        <v>3120</v>
      </c>
    </row>
    <row r="1263" spans="1:7" ht="15" customHeight="1" x14ac:dyDescent="0.25">
      <c r="A1263" s="7" t="s">
        <v>3121</v>
      </c>
      <c r="B1263" s="7" t="s">
        <v>2486</v>
      </c>
      <c r="C1263" s="8" t="s">
        <v>483</v>
      </c>
      <c r="D1263" s="8" t="s">
        <v>3122</v>
      </c>
      <c r="E1263" s="8" t="s">
        <v>70</v>
      </c>
      <c r="F1263" s="8" t="s">
        <v>363</v>
      </c>
      <c r="G1263" s="8" t="s">
        <v>3123</v>
      </c>
    </row>
    <row r="1264" spans="1:7" ht="15" customHeight="1" x14ac:dyDescent="0.25">
      <c r="A1264" s="7" t="s">
        <v>3124</v>
      </c>
      <c r="B1264" s="7" t="s">
        <v>2505</v>
      </c>
      <c r="C1264" s="8" t="s">
        <v>2913</v>
      </c>
      <c r="D1264" s="8" t="s">
        <v>682</v>
      </c>
      <c r="E1264" s="8" t="s">
        <v>76</v>
      </c>
      <c r="F1264" s="8" t="s">
        <v>59</v>
      </c>
      <c r="G1264" s="8" t="s">
        <v>3125</v>
      </c>
    </row>
    <row r="1265" spans="1:7" ht="15" customHeight="1" x14ac:dyDescent="0.25">
      <c r="A1265" s="7" t="s">
        <v>3126</v>
      </c>
      <c r="B1265" s="7" t="s">
        <v>3127</v>
      </c>
      <c r="C1265" s="8" t="s">
        <v>3128</v>
      </c>
      <c r="D1265" s="8" t="s">
        <v>3129</v>
      </c>
      <c r="E1265" s="8" t="s">
        <v>127</v>
      </c>
      <c r="F1265" s="8" t="s">
        <v>59</v>
      </c>
      <c r="G1265" s="8" t="s">
        <v>3130</v>
      </c>
    </row>
    <row r="1266" spans="1:7" ht="15" customHeight="1" x14ac:dyDescent="0.25">
      <c r="A1266" s="7" t="s">
        <v>3131</v>
      </c>
      <c r="B1266" s="7" t="s">
        <v>2482</v>
      </c>
      <c r="C1266" s="8" t="s">
        <v>3132</v>
      </c>
      <c r="D1266" s="8" t="s">
        <v>52</v>
      </c>
      <c r="E1266" s="8" t="s">
        <v>581</v>
      </c>
      <c r="F1266" s="8" t="s">
        <v>59</v>
      </c>
      <c r="G1266" s="8" t="s">
        <v>3133</v>
      </c>
    </row>
    <row r="1267" spans="1:7" ht="15" customHeight="1" x14ac:dyDescent="0.25">
      <c r="A1267" s="7" t="s">
        <v>3134</v>
      </c>
      <c r="B1267" s="7" t="s">
        <v>2758</v>
      </c>
      <c r="C1267" s="8" t="s">
        <v>678</v>
      </c>
      <c r="D1267" s="8" t="s">
        <v>3025</v>
      </c>
      <c r="E1267" s="8" t="s">
        <v>1179</v>
      </c>
      <c r="F1267" s="8" t="s">
        <v>363</v>
      </c>
      <c r="G1267" s="8" t="s">
        <v>3135</v>
      </c>
    </row>
    <row r="1268" spans="1:7" ht="15" customHeight="1" x14ac:dyDescent="0.25">
      <c r="A1268" s="7" t="s">
        <v>3136</v>
      </c>
      <c r="B1268" s="7" t="s">
        <v>2440</v>
      </c>
      <c r="C1268" s="8" t="s">
        <v>3137</v>
      </c>
      <c r="D1268" s="8" t="s">
        <v>3138</v>
      </c>
      <c r="E1268" s="8" t="s">
        <v>360</v>
      </c>
      <c r="F1268" s="8" t="s">
        <v>65</v>
      </c>
      <c r="G1268" s="8" t="s">
        <v>683</v>
      </c>
    </row>
    <row r="1269" spans="1:7" ht="15" customHeight="1" x14ac:dyDescent="0.25">
      <c r="A1269" s="7" t="s">
        <v>3139</v>
      </c>
      <c r="B1269" s="7" t="s">
        <v>2451</v>
      </c>
      <c r="C1269" s="8" t="s">
        <v>79</v>
      </c>
      <c r="D1269" s="8" t="s">
        <v>285</v>
      </c>
      <c r="E1269" s="8" t="s">
        <v>156</v>
      </c>
      <c r="F1269" s="8" t="s">
        <v>119</v>
      </c>
      <c r="G1269" s="8" t="s">
        <v>3140</v>
      </c>
    </row>
    <row r="1270" spans="1:7" ht="15" customHeight="1" x14ac:dyDescent="0.25">
      <c r="A1270" s="7" t="s">
        <v>3141</v>
      </c>
      <c r="B1270" s="7" t="s">
        <v>2755</v>
      </c>
      <c r="C1270" s="8" t="s">
        <v>3142</v>
      </c>
      <c r="D1270" s="8" t="s">
        <v>3142</v>
      </c>
      <c r="E1270" s="8" t="s">
        <v>166</v>
      </c>
      <c r="F1270" s="8" t="s">
        <v>28</v>
      </c>
      <c r="G1270" s="8" t="s">
        <v>1356</v>
      </c>
    </row>
    <row r="1271" spans="1:7" ht="15" customHeight="1" x14ac:dyDescent="0.25">
      <c r="A1271" s="7" t="s">
        <v>3143</v>
      </c>
      <c r="B1271" s="7" t="s">
        <v>2539</v>
      </c>
      <c r="C1271" s="8" t="s">
        <v>2540</v>
      </c>
      <c r="D1271" s="8" t="s">
        <v>90</v>
      </c>
      <c r="E1271" s="8" t="s">
        <v>48</v>
      </c>
      <c r="F1271" s="8" t="s">
        <v>39</v>
      </c>
      <c r="G1271" s="8" t="s">
        <v>3144</v>
      </c>
    </row>
    <row r="1272" spans="1:7" ht="15" customHeight="1" x14ac:dyDescent="0.25">
      <c r="A1272" s="7" t="s">
        <v>3145</v>
      </c>
      <c r="B1272" s="7" t="s">
        <v>3146</v>
      </c>
      <c r="C1272" s="8" t="s">
        <v>62</v>
      </c>
      <c r="D1272" s="8" t="s">
        <v>57</v>
      </c>
      <c r="E1272" s="8" t="s">
        <v>239</v>
      </c>
      <c r="F1272" s="8" t="s">
        <v>417</v>
      </c>
      <c r="G1272" s="8" t="s">
        <v>762</v>
      </c>
    </row>
    <row r="1273" spans="1:7" ht="15" customHeight="1" x14ac:dyDescent="0.25">
      <c r="A1273" s="7" t="s">
        <v>3147</v>
      </c>
      <c r="B1273" s="7" t="s">
        <v>2543</v>
      </c>
      <c r="C1273" s="8" t="s">
        <v>3148</v>
      </c>
      <c r="D1273" s="8" t="s">
        <v>3090</v>
      </c>
      <c r="E1273" s="8" t="s">
        <v>1396</v>
      </c>
      <c r="F1273" s="8" t="s">
        <v>65</v>
      </c>
      <c r="G1273" s="8" t="s">
        <v>3149</v>
      </c>
    </row>
    <row r="1274" spans="1:7" ht="15" customHeight="1" x14ac:dyDescent="0.25">
      <c r="A1274" s="7" t="s">
        <v>3150</v>
      </c>
      <c r="B1274" s="7" t="s">
        <v>2508</v>
      </c>
      <c r="C1274" s="8" t="s">
        <v>1538</v>
      </c>
      <c r="D1274" s="8" t="s">
        <v>3151</v>
      </c>
      <c r="E1274" s="8" t="s">
        <v>372</v>
      </c>
      <c r="F1274" s="8" t="s">
        <v>39</v>
      </c>
      <c r="G1274" s="8" t="s">
        <v>3152</v>
      </c>
    </row>
    <row r="1275" spans="1:7" ht="15" customHeight="1" x14ac:dyDescent="0.25">
      <c r="A1275" s="7" t="s">
        <v>3153</v>
      </c>
      <c r="B1275" s="7" t="s">
        <v>2448</v>
      </c>
      <c r="C1275" s="8" t="s">
        <v>63</v>
      </c>
      <c r="D1275" s="8" t="s">
        <v>57</v>
      </c>
      <c r="E1275" s="8" t="s">
        <v>463</v>
      </c>
      <c r="F1275" s="8" t="s">
        <v>39</v>
      </c>
      <c r="G1275" s="8" t="s">
        <v>3154</v>
      </c>
    </row>
    <row r="1276" spans="1:7" ht="15" customHeight="1" x14ac:dyDescent="0.25">
      <c r="A1276" s="7" t="s">
        <v>3155</v>
      </c>
      <c r="B1276" s="7" t="s">
        <v>3156</v>
      </c>
      <c r="C1276" s="8" t="s">
        <v>3157</v>
      </c>
      <c r="D1276" s="8" t="s">
        <v>3158</v>
      </c>
      <c r="E1276" s="8" t="s">
        <v>296</v>
      </c>
      <c r="F1276" s="8" t="s">
        <v>2445</v>
      </c>
      <c r="G1276" s="8" t="s">
        <v>3159</v>
      </c>
    </row>
    <row r="1277" spans="1:7" ht="15" customHeight="1" x14ac:dyDescent="0.25">
      <c r="A1277" s="7" t="s">
        <v>3160</v>
      </c>
      <c r="B1277" s="7" t="s">
        <v>2587</v>
      </c>
      <c r="C1277" s="8" t="s">
        <v>43</v>
      </c>
      <c r="D1277" s="8" t="s">
        <v>195</v>
      </c>
      <c r="E1277" s="8" t="s">
        <v>254</v>
      </c>
      <c r="F1277" s="8" t="s">
        <v>757</v>
      </c>
      <c r="G1277" s="8" t="s">
        <v>3161</v>
      </c>
    </row>
    <row r="1278" spans="1:7" ht="15" customHeight="1" x14ac:dyDescent="0.25">
      <c r="A1278" s="7" t="s">
        <v>3162</v>
      </c>
      <c r="B1278" s="7" t="s">
        <v>2440</v>
      </c>
      <c r="C1278" s="8" t="s">
        <v>3163</v>
      </c>
      <c r="D1278" s="8" t="s">
        <v>250</v>
      </c>
      <c r="E1278" s="8" t="s">
        <v>1073</v>
      </c>
      <c r="F1278" s="8" t="s">
        <v>59</v>
      </c>
      <c r="G1278" s="8" t="s">
        <v>3164</v>
      </c>
    </row>
    <row r="1279" spans="1:7" ht="15" customHeight="1" x14ac:dyDescent="0.25">
      <c r="A1279" s="7" t="s">
        <v>3165</v>
      </c>
      <c r="B1279" s="7" t="s">
        <v>2627</v>
      </c>
      <c r="C1279" s="8" t="s">
        <v>1863</v>
      </c>
      <c r="D1279" s="8" t="s">
        <v>285</v>
      </c>
      <c r="E1279" s="8" t="s">
        <v>76</v>
      </c>
      <c r="F1279" s="8" t="s">
        <v>363</v>
      </c>
      <c r="G1279" s="8" t="s">
        <v>2773</v>
      </c>
    </row>
    <row r="1280" spans="1:7" ht="15" customHeight="1" x14ac:dyDescent="0.25">
      <c r="A1280" s="7" t="s">
        <v>3166</v>
      </c>
      <c r="B1280" s="7" t="s">
        <v>2508</v>
      </c>
      <c r="C1280" s="8" t="s">
        <v>3167</v>
      </c>
      <c r="D1280" s="8" t="s">
        <v>3151</v>
      </c>
      <c r="E1280" s="8" t="s">
        <v>127</v>
      </c>
      <c r="F1280" s="8" t="s">
        <v>59</v>
      </c>
      <c r="G1280" s="8" t="s">
        <v>3168</v>
      </c>
    </row>
    <row r="1281" spans="1:7" ht="15" customHeight="1" x14ac:dyDescent="0.25">
      <c r="A1281" s="7" t="s">
        <v>3169</v>
      </c>
      <c r="B1281" s="7" t="s">
        <v>2567</v>
      </c>
      <c r="C1281" s="8" t="s">
        <v>1214</v>
      </c>
      <c r="D1281" s="8" t="s">
        <v>556</v>
      </c>
      <c r="E1281" s="8" t="s">
        <v>1396</v>
      </c>
      <c r="F1281" s="8" t="s">
        <v>3170</v>
      </c>
      <c r="G1281" s="8" t="s">
        <v>3171</v>
      </c>
    </row>
    <row r="1282" spans="1:7" ht="15" customHeight="1" x14ac:dyDescent="0.25">
      <c r="A1282" s="7" t="s">
        <v>3172</v>
      </c>
      <c r="B1282" s="7" t="s">
        <v>2592</v>
      </c>
      <c r="C1282" s="8" t="s">
        <v>483</v>
      </c>
      <c r="D1282" s="8" t="s">
        <v>3173</v>
      </c>
      <c r="E1282" s="8" t="s">
        <v>1206</v>
      </c>
      <c r="F1282" s="8" t="s">
        <v>59</v>
      </c>
      <c r="G1282" s="8" t="s">
        <v>3174</v>
      </c>
    </row>
    <row r="1283" spans="1:7" ht="15" customHeight="1" x14ac:dyDescent="0.25">
      <c r="A1283" s="7" t="s">
        <v>3175</v>
      </c>
      <c r="B1283" s="7" t="s">
        <v>2444</v>
      </c>
      <c r="C1283" s="8" t="s">
        <v>3176</v>
      </c>
      <c r="D1283" s="8" t="s">
        <v>483</v>
      </c>
      <c r="E1283" s="8" t="s">
        <v>296</v>
      </c>
      <c r="F1283" s="8" t="s">
        <v>39</v>
      </c>
      <c r="G1283" s="8" t="s">
        <v>577</v>
      </c>
    </row>
    <row r="1284" spans="1:7" ht="15" customHeight="1" x14ac:dyDescent="0.25">
      <c r="A1284" s="7" t="s">
        <v>3177</v>
      </c>
      <c r="B1284" s="7" t="s">
        <v>2444</v>
      </c>
      <c r="C1284" s="8" t="s">
        <v>1863</v>
      </c>
      <c r="D1284" s="8" t="s">
        <v>1701</v>
      </c>
      <c r="E1284" s="8" t="s">
        <v>118</v>
      </c>
      <c r="F1284" s="8" t="s">
        <v>363</v>
      </c>
      <c r="G1284" s="8" t="s">
        <v>3178</v>
      </c>
    </row>
    <row r="1285" spans="1:7" ht="15" customHeight="1" x14ac:dyDescent="0.25">
      <c r="A1285" s="7" t="s">
        <v>3179</v>
      </c>
      <c r="B1285" s="7" t="s">
        <v>2526</v>
      </c>
      <c r="C1285" s="8" t="s">
        <v>250</v>
      </c>
      <c r="D1285" s="8" t="s">
        <v>910</v>
      </c>
      <c r="E1285" s="8" t="s">
        <v>352</v>
      </c>
      <c r="F1285" s="8" t="s">
        <v>59</v>
      </c>
      <c r="G1285" s="8" t="s">
        <v>3180</v>
      </c>
    </row>
    <row r="1286" spans="1:7" ht="15" customHeight="1" x14ac:dyDescent="0.25">
      <c r="A1286" s="7" t="s">
        <v>3181</v>
      </c>
      <c r="B1286" s="7" t="s">
        <v>2592</v>
      </c>
      <c r="C1286" s="8" t="s">
        <v>3182</v>
      </c>
      <c r="D1286" s="8" t="s">
        <v>3183</v>
      </c>
      <c r="E1286" s="8" t="s">
        <v>76</v>
      </c>
      <c r="F1286" s="8" t="s">
        <v>65</v>
      </c>
      <c r="G1286" s="8" t="s">
        <v>3184</v>
      </c>
    </row>
    <row r="1287" spans="1:7" ht="15" customHeight="1" x14ac:dyDescent="0.25">
      <c r="A1287" s="7" t="s">
        <v>3185</v>
      </c>
      <c r="B1287" s="7" t="s">
        <v>2841</v>
      </c>
      <c r="C1287" s="8" t="s">
        <v>3186</v>
      </c>
      <c r="D1287" s="8" t="s">
        <v>3187</v>
      </c>
      <c r="E1287" s="8" t="s">
        <v>80</v>
      </c>
      <c r="F1287" s="8" t="s">
        <v>39</v>
      </c>
      <c r="G1287" s="8" t="s">
        <v>3188</v>
      </c>
    </row>
    <row r="1288" spans="1:7" ht="15" customHeight="1" x14ac:dyDescent="0.25">
      <c r="A1288" s="7" t="s">
        <v>3189</v>
      </c>
      <c r="B1288" s="7" t="s">
        <v>2557</v>
      </c>
      <c r="C1288" s="8" t="s">
        <v>57</v>
      </c>
      <c r="D1288" s="8" t="s">
        <v>221</v>
      </c>
      <c r="E1288" s="8" t="s">
        <v>251</v>
      </c>
      <c r="F1288" s="8" t="s">
        <v>1364</v>
      </c>
      <c r="G1288" s="8" t="s">
        <v>3190</v>
      </c>
    </row>
    <row r="1289" spans="1:7" ht="15" customHeight="1" x14ac:dyDescent="0.25">
      <c r="A1289" s="7" t="s">
        <v>3191</v>
      </c>
      <c r="B1289" s="7" t="s">
        <v>2656</v>
      </c>
      <c r="C1289" s="8" t="s">
        <v>3192</v>
      </c>
      <c r="D1289" s="8" t="s">
        <v>3193</v>
      </c>
      <c r="E1289" s="8" t="s">
        <v>797</v>
      </c>
      <c r="F1289" s="8" t="s">
        <v>2445</v>
      </c>
      <c r="G1289" s="8" t="s">
        <v>3194</v>
      </c>
    </row>
    <row r="1290" spans="1:7" ht="15" customHeight="1" x14ac:dyDescent="0.25">
      <c r="A1290" s="7" t="s">
        <v>3195</v>
      </c>
      <c r="B1290" s="7" t="s">
        <v>2557</v>
      </c>
      <c r="C1290" s="8" t="s">
        <v>3196</v>
      </c>
      <c r="D1290" s="8" t="s">
        <v>3197</v>
      </c>
      <c r="E1290" s="8" t="s">
        <v>515</v>
      </c>
      <c r="F1290" s="8" t="s">
        <v>119</v>
      </c>
      <c r="G1290" s="8" t="s">
        <v>3198</v>
      </c>
    </row>
    <row r="1291" spans="1:7" ht="15" customHeight="1" x14ac:dyDescent="0.25">
      <c r="A1291" s="7" t="s">
        <v>3199</v>
      </c>
      <c r="B1291" s="7" t="s">
        <v>2878</v>
      </c>
      <c r="C1291" s="8" t="s">
        <v>702</v>
      </c>
      <c r="D1291" s="8" t="s">
        <v>102</v>
      </c>
      <c r="E1291" s="8" t="s">
        <v>169</v>
      </c>
      <c r="F1291" s="8" t="s">
        <v>476</v>
      </c>
      <c r="G1291" s="8" t="s">
        <v>2733</v>
      </c>
    </row>
    <row r="1292" spans="1:7" ht="15" customHeight="1" x14ac:dyDescent="0.25">
      <c r="A1292" s="7" t="s">
        <v>3200</v>
      </c>
      <c r="B1292" s="7" t="s">
        <v>2749</v>
      </c>
      <c r="C1292" s="8" t="s">
        <v>3201</v>
      </c>
      <c r="D1292" s="8" t="s">
        <v>1345</v>
      </c>
      <c r="E1292" s="8" t="s">
        <v>70</v>
      </c>
      <c r="F1292" s="8" t="s">
        <v>59</v>
      </c>
      <c r="G1292" s="8" t="s">
        <v>3202</v>
      </c>
    </row>
    <row r="1293" spans="1:7" ht="15" customHeight="1" x14ac:dyDescent="0.25">
      <c r="A1293" s="7" t="s">
        <v>3203</v>
      </c>
      <c r="B1293" s="7" t="s">
        <v>2444</v>
      </c>
      <c r="C1293" s="8" t="s">
        <v>3204</v>
      </c>
      <c r="D1293" s="8" t="s">
        <v>3205</v>
      </c>
      <c r="E1293" s="8" t="s">
        <v>107</v>
      </c>
      <c r="F1293" s="8" t="s">
        <v>59</v>
      </c>
      <c r="G1293" s="8" t="s">
        <v>3140</v>
      </c>
    </row>
    <row r="1294" spans="1:7" ht="15" customHeight="1" x14ac:dyDescent="0.25">
      <c r="A1294" s="7" t="s">
        <v>3206</v>
      </c>
      <c r="B1294" s="7" t="s">
        <v>2444</v>
      </c>
      <c r="C1294" s="8" t="s">
        <v>90</v>
      </c>
      <c r="D1294" s="8" t="s">
        <v>195</v>
      </c>
      <c r="E1294" s="8" t="s">
        <v>103</v>
      </c>
      <c r="F1294" s="8" t="s">
        <v>321</v>
      </c>
      <c r="G1294" s="8" t="s">
        <v>3207</v>
      </c>
    </row>
    <row r="1295" spans="1:7" ht="15" customHeight="1" x14ac:dyDescent="0.25">
      <c r="A1295" s="7" t="s">
        <v>3208</v>
      </c>
      <c r="B1295" s="7" t="s">
        <v>2444</v>
      </c>
      <c r="C1295" s="8" t="s">
        <v>3209</v>
      </c>
      <c r="D1295" s="8" t="s">
        <v>285</v>
      </c>
      <c r="E1295" s="8" t="s">
        <v>200</v>
      </c>
      <c r="F1295" s="8" t="s">
        <v>476</v>
      </c>
      <c r="G1295" s="8" t="s">
        <v>3210</v>
      </c>
    </row>
    <row r="1296" spans="1:7" ht="15" customHeight="1" x14ac:dyDescent="0.25">
      <c r="A1296" s="7" t="s">
        <v>3211</v>
      </c>
      <c r="B1296" s="7" t="s">
        <v>2539</v>
      </c>
      <c r="C1296" s="8" t="s">
        <v>3212</v>
      </c>
      <c r="D1296" s="8" t="s">
        <v>3213</v>
      </c>
      <c r="E1296" s="8" t="s">
        <v>350</v>
      </c>
      <c r="F1296" s="8" t="s">
        <v>28</v>
      </c>
      <c r="G1296" s="8" t="s">
        <v>3214</v>
      </c>
    </row>
    <row r="1297" spans="1:7" ht="15" customHeight="1" x14ac:dyDescent="0.25">
      <c r="A1297" s="7" t="s">
        <v>3215</v>
      </c>
      <c r="B1297" s="7" t="s">
        <v>2656</v>
      </c>
      <c r="C1297" s="8" t="s">
        <v>26</v>
      </c>
      <c r="D1297" s="8" t="s">
        <v>806</v>
      </c>
      <c r="E1297" s="8" t="s">
        <v>222</v>
      </c>
      <c r="F1297" s="8" t="s">
        <v>39</v>
      </c>
      <c r="G1297" s="8" t="s">
        <v>3048</v>
      </c>
    </row>
    <row r="1298" spans="1:7" ht="15" customHeight="1" x14ac:dyDescent="0.25">
      <c r="A1298" s="7" t="s">
        <v>3216</v>
      </c>
      <c r="B1298" s="7" t="s">
        <v>2682</v>
      </c>
      <c r="C1298" s="8" t="s">
        <v>1068</v>
      </c>
      <c r="D1298" s="8" t="s">
        <v>444</v>
      </c>
      <c r="E1298" s="8" t="s">
        <v>463</v>
      </c>
      <c r="F1298" s="8" t="s">
        <v>28</v>
      </c>
      <c r="G1298" s="8" t="s">
        <v>3217</v>
      </c>
    </row>
    <row r="1299" spans="1:7" ht="15" customHeight="1" x14ac:dyDescent="0.25">
      <c r="A1299" s="7" t="s">
        <v>3218</v>
      </c>
      <c r="B1299" s="7" t="s">
        <v>2841</v>
      </c>
      <c r="C1299" s="8" t="s">
        <v>3219</v>
      </c>
      <c r="D1299" s="8" t="s">
        <v>3220</v>
      </c>
      <c r="E1299" s="8" t="s">
        <v>144</v>
      </c>
      <c r="F1299" s="8" t="s">
        <v>28</v>
      </c>
      <c r="G1299" s="8" t="s">
        <v>3221</v>
      </c>
    </row>
    <row r="1300" spans="1:7" ht="15" customHeight="1" x14ac:dyDescent="0.25">
      <c r="A1300" s="7" t="s">
        <v>3222</v>
      </c>
      <c r="B1300" s="7" t="s">
        <v>2448</v>
      </c>
      <c r="C1300" s="8" t="s">
        <v>210</v>
      </c>
      <c r="D1300" s="8" t="s">
        <v>69</v>
      </c>
      <c r="E1300" s="8" t="s">
        <v>372</v>
      </c>
      <c r="F1300" s="8" t="s">
        <v>59</v>
      </c>
      <c r="G1300" s="8" t="s">
        <v>3223</v>
      </c>
    </row>
    <row r="1301" spans="1:7" ht="15" customHeight="1" x14ac:dyDescent="0.25">
      <c r="A1301" s="7" t="s">
        <v>3224</v>
      </c>
      <c r="B1301" s="7" t="s">
        <v>2536</v>
      </c>
      <c r="C1301" s="8" t="s">
        <v>3066</v>
      </c>
      <c r="D1301" s="8" t="s">
        <v>3225</v>
      </c>
      <c r="E1301" s="8" t="s">
        <v>328</v>
      </c>
      <c r="F1301" s="8" t="s">
        <v>2801</v>
      </c>
      <c r="G1301" s="8" t="s">
        <v>3226</v>
      </c>
    </row>
    <row r="1302" spans="1:7" ht="15" customHeight="1" x14ac:dyDescent="0.25">
      <c r="A1302" s="7" t="s">
        <v>3227</v>
      </c>
      <c r="B1302" s="7" t="s">
        <v>2878</v>
      </c>
      <c r="C1302" s="8" t="s">
        <v>101</v>
      </c>
      <c r="D1302" s="8" t="s">
        <v>3228</v>
      </c>
      <c r="E1302" s="8" t="s">
        <v>103</v>
      </c>
      <c r="F1302" s="8" t="s">
        <v>86</v>
      </c>
      <c r="G1302" s="8" t="s">
        <v>3229</v>
      </c>
    </row>
    <row r="1303" spans="1:7" ht="15" customHeight="1" x14ac:dyDescent="0.25">
      <c r="A1303" s="7" t="s">
        <v>3230</v>
      </c>
      <c r="B1303" s="7" t="s">
        <v>2878</v>
      </c>
      <c r="C1303" s="8" t="s">
        <v>429</v>
      </c>
      <c r="D1303" s="8" t="s">
        <v>3231</v>
      </c>
      <c r="E1303" s="8" t="s">
        <v>602</v>
      </c>
      <c r="F1303" s="8" t="s">
        <v>65</v>
      </c>
      <c r="G1303" s="8" t="s">
        <v>2855</v>
      </c>
    </row>
    <row r="1304" spans="1:7" ht="15" customHeight="1" x14ac:dyDescent="0.25">
      <c r="A1304" s="7" t="s">
        <v>3232</v>
      </c>
      <c r="B1304" s="7" t="s">
        <v>2482</v>
      </c>
      <c r="C1304" s="8" t="s">
        <v>584</v>
      </c>
      <c r="D1304" s="8" t="s">
        <v>3233</v>
      </c>
      <c r="E1304" s="8" t="s">
        <v>3234</v>
      </c>
      <c r="F1304" s="8" t="s">
        <v>65</v>
      </c>
      <c r="G1304" s="8" t="s">
        <v>3235</v>
      </c>
    </row>
    <row r="1305" spans="1:7" ht="15" customHeight="1" x14ac:dyDescent="0.25">
      <c r="A1305" s="7" t="s">
        <v>3236</v>
      </c>
      <c r="B1305" s="7" t="s">
        <v>2539</v>
      </c>
      <c r="C1305" s="8" t="s">
        <v>217</v>
      </c>
      <c r="D1305" s="8" t="s">
        <v>57</v>
      </c>
      <c r="E1305" s="8" t="s">
        <v>1009</v>
      </c>
      <c r="F1305" s="8" t="s">
        <v>2445</v>
      </c>
      <c r="G1305" s="8" t="s">
        <v>3237</v>
      </c>
    </row>
    <row r="1306" spans="1:7" ht="15" customHeight="1" x14ac:dyDescent="0.25">
      <c r="A1306" s="7" t="s">
        <v>3238</v>
      </c>
      <c r="B1306" s="7" t="s">
        <v>3239</v>
      </c>
      <c r="C1306" s="8" t="s">
        <v>3240</v>
      </c>
      <c r="D1306" s="8" t="s">
        <v>3240</v>
      </c>
      <c r="E1306" s="8" t="s">
        <v>166</v>
      </c>
      <c r="F1306" s="8" t="s">
        <v>65</v>
      </c>
      <c r="G1306" s="8" t="s">
        <v>3241</v>
      </c>
    </row>
    <row r="1307" spans="1:7" ht="15" customHeight="1" x14ac:dyDescent="0.25">
      <c r="A1307" s="7" t="s">
        <v>3242</v>
      </c>
      <c r="B1307" s="7" t="s">
        <v>2482</v>
      </c>
      <c r="C1307" s="8" t="s">
        <v>1565</v>
      </c>
      <c r="D1307" s="8" t="s">
        <v>1992</v>
      </c>
      <c r="E1307" s="8" t="s">
        <v>602</v>
      </c>
      <c r="F1307" s="8" t="s">
        <v>2445</v>
      </c>
      <c r="G1307" s="8" t="s">
        <v>3243</v>
      </c>
    </row>
    <row r="1308" spans="1:7" ht="15" customHeight="1" x14ac:dyDescent="0.25">
      <c r="A1308" s="7" t="s">
        <v>3244</v>
      </c>
      <c r="B1308" s="7" t="s">
        <v>3245</v>
      </c>
      <c r="C1308" s="8" t="s">
        <v>3246</v>
      </c>
      <c r="D1308" s="8" t="s">
        <v>2899</v>
      </c>
      <c r="E1308" s="8" t="s">
        <v>44</v>
      </c>
      <c r="F1308" s="8" t="s">
        <v>86</v>
      </c>
      <c r="G1308" s="8" t="s">
        <v>3247</v>
      </c>
    </row>
    <row r="1309" spans="1:7" ht="15" customHeight="1" x14ac:dyDescent="0.25">
      <c r="A1309" s="7" t="s">
        <v>3248</v>
      </c>
      <c r="B1309" s="7" t="s">
        <v>2758</v>
      </c>
      <c r="C1309" s="8" t="s">
        <v>242</v>
      </c>
      <c r="D1309" s="8" t="s">
        <v>837</v>
      </c>
      <c r="E1309" s="8" t="s">
        <v>3234</v>
      </c>
      <c r="F1309" s="8" t="s">
        <v>59</v>
      </c>
      <c r="G1309" s="8" t="s">
        <v>3249</v>
      </c>
    </row>
    <row r="1310" spans="1:7" ht="15" customHeight="1" x14ac:dyDescent="0.25">
      <c r="A1310" s="7" t="s">
        <v>3250</v>
      </c>
      <c r="B1310" s="7" t="s">
        <v>2755</v>
      </c>
      <c r="C1310" s="8" t="s">
        <v>3251</v>
      </c>
      <c r="D1310" s="8" t="s">
        <v>25</v>
      </c>
      <c r="E1310" s="8" t="s">
        <v>372</v>
      </c>
      <c r="F1310" s="8" t="s">
        <v>214</v>
      </c>
      <c r="G1310" s="8" t="s">
        <v>427</v>
      </c>
    </row>
    <row r="1311" spans="1:7" ht="15" customHeight="1" x14ac:dyDescent="0.25">
      <c r="A1311" s="7" t="s">
        <v>3252</v>
      </c>
      <c r="B1311" s="7" t="s">
        <v>2444</v>
      </c>
      <c r="C1311" s="8" t="s">
        <v>327</v>
      </c>
      <c r="D1311" s="8" t="s">
        <v>1701</v>
      </c>
      <c r="E1311" s="8" t="s">
        <v>602</v>
      </c>
      <c r="F1311" s="8" t="s">
        <v>3253</v>
      </c>
      <c r="G1311" s="8" t="s">
        <v>3253</v>
      </c>
    </row>
    <row r="1312" spans="1:7" ht="15" customHeight="1" x14ac:dyDescent="0.25">
      <c r="A1312" s="7" t="s">
        <v>3254</v>
      </c>
      <c r="B1312" s="7" t="s">
        <v>2486</v>
      </c>
      <c r="C1312" s="8" t="s">
        <v>3255</v>
      </c>
      <c r="D1312" s="8" t="s">
        <v>3256</v>
      </c>
      <c r="E1312" s="8" t="s">
        <v>182</v>
      </c>
      <c r="F1312" s="8" t="s">
        <v>2445</v>
      </c>
      <c r="G1312" s="8" t="s">
        <v>3257</v>
      </c>
    </row>
    <row r="1313" spans="1:7" ht="15" customHeight="1" x14ac:dyDescent="0.25">
      <c r="A1313" s="7" t="s">
        <v>3258</v>
      </c>
      <c r="B1313" s="7" t="s">
        <v>2489</v>
      </c>
      <c r="C1313" s="8" t="s">
        <v>1635</v>
      </c>
      <c r="D1313" s="8" t="s">
        <v>556</v>
      </c>
      <c r="E1313" s="8" t="s">
        <v>206</v>
      </c>
      <c r="F1313" s="8" t="s">
        <v>123</v>
      </c>
      <c r="G1313" s="8" t="s">
        <v>3084</v>
      </c>
    </row>
    <row r="1314" spans="1:7" ht="15" customHeight="1" x14ac:dyDescent="0.25">
      <c r="A1314" s="7" t="s">
        <v>3259</v>
      </c>
      <c r="B1314" s="7" t="s">
        <v>3127</v>
      </c>
      <c r="C1314" s="8" t="s">
        <v>475</v>
      </c>
      <c r="D1314" s="8" t="s">
        <v>3205</v>
      </c>
      <c r="E1314" s="8" t="s">
        <v>33</v>
      </c>
      <c r="F1314" s="8" t="s">
        <v>363</v>
      </c>
      <c r="G1314" s="8" t="s">
        <v>3260</v>
      </c>
    </row>
    <row r="1315" spans="1:7" ht="15" customHeight="1" x14ac:dyDescent="0.25">
      <c r="A1315" s="7" t="s">
        <v>3261</v>
      </c>
      <c r="B1315" s="7" t="s">
        <v>2567</v>
      </c>
      <c r="C1315" s="8" t="s">
        <v>3262</v>
      </c>
      <c r="D1315" s="8" t="s">
        <v>3138</v>
      </c>
      <c r="E1315" s="8" t="s">
        <v>1078</v>
      </c>
      <c r="F1315" s="8" t="s">
        <v>39</v>
      </c>
      <c r="G1315" s="8" t="s">
        <v>3263</v>
      </c>
    </row>
    <row r="1316" spans="1:7" ht="15" customHeight="1" x14ac:dyDescent="0.25">
      <c r="A1316" s="7" t="s">
        <v>3264</v>
      </c>
      <c r="B1316" s="7" t="s">
        <v>3009</v>
      </c>
      <c r="C1316" s="8" t="s">
        <v>57</v>
      </c>
      <c r="D1316" s="8" t="s">
        <v>221</v>
      </c>
      <c r="E1316" s="8" t="s">
        <v>251</v>
      </c>
      <c r="F1316" s="8" t="s">
        <v>2639</v>
      </c>
      <c r="G1316" s="8" t="s">
        <v>3265</v>
      </c>
    </row>
    <row r="1317" spans="1:7" ht="15" customHeight="1" x14ac:dyDescent="0.25">
      <c r="A1317" s="7" t="s">
        <v>3266</v>
      </c>
      <c r="B1317" s="7" t="s">
        <v>2653</v>
      </c>
      <c r="C1317" s="8" t="s">
        <v>1622</v>
      </c>
      <c r="D1317" s="8" t="s">
        <v>69</v>
      </c>
      <c r="E1317" s="8" t="s">
        <v>352</v>
      </c>
      <c r="F1317" s="8" t="s">
        <v>3267</v>
      </c>
      <c r="G1317" s="8" t="s">
        <v>3268</v>
      </c>
    </row>
    <row r="1318" spans="1:7" ht="15" customHeight="1" x14ac:dyDescent="0.25">
      <c r="A1318" s="7" t="s">
        <v>3269</v>
      </c>
      <c r="B1318" s="7" t="s">
        <v>2592</v>
      </c>
      <c r="C1318" s="8" t="s">
        <v>63</v>
      </c>
      <c r="D1318" s="8" t="s">
        <v>441</v>
      </c>
      <c r="E1318" s="8" t="s">
        <v>70</v>
      </c>
      <c r="F1318" s="8" t="s">
        <v>2445</v>
      </c>
      <c r="G1318" s="8" t="s">
        <v>236</v>
      </c>
    </row>
    <row r="1319" spans="1:7" ht="15" customHeight="1" x14ac:dyDescent="0.25">
      <c r="A1319" s="7" t="s">
        <v>3270</v>
      </c>
      <c r="B1319" s="7" t="s">
        <v>2878</v>
      </c>
      <c r="C1319" s="8" t="s">
        <v>3271</v>
      </c>
      <c r="D1319" s="8" t="s">
        <v>135</v>
      </c>
      <c r="E1319" s="8" t="s">
        <v>156</v>
      </c>
      <c r="F1319" s="8" t="s">
        <v>86</v>
      </c>
      <c r="G1319" s="8" t="s">
        <v>3272</v>
      </c>
    </row>
    <row r="1320" spans="1:7" ht="15" customHeight="1" x14ac:dyDescent="0.25">
      <c r="A1320" s="7" t="s">
        <v>3273</v>
      </c>
      <c r="B1320" s="7" t="s">
        <v>2482</v>
      </c>
      <c r="C1320" s="8" t="s">
        <v>3274</v>
      </c>
      <c r="D1320" s="8" t="s">
        <v>3275</v>
      </c>
      <c r="E1320" s="8" t="s">
        <v>222</v>
      </c>
      <c r="F1320" s="8" t="s">
        <v>59</v>
      </c>
      <c r="G1320" s="8" t="s">
        <v>3276</v>
      </c>
    </row>
    <row r="1321" spans="1:7" ht="15" customHeight="1" x14ac:dyDescent="0.25">
      <c r="A1321" s="7" t="s">
        <v>3277</v>
      </c>
      <c r="B1321" s="7" t="s">
        <v>2482</v>
      </c>
      <c r="C1321" s="8" t="s">
        <v>3278</v>
      </c>
      <c r="D1321" s="8" t="s">
        <v>711</v>
      </c>
      <c r="E1321" s="8" t="s">
        <v>463</v>
      </c>
      <c r="F1321" s="8" t="s">
        <v>214</v>
      </c>
      <c r="G1321" s="8" t="s">
        <v>3279</v>
      </c>
    </row>
    <row r="1322" spans="1:7" ht="15" customHeight="1" x14ac:dyDescent="0.25">
      <c r="A1322" s="7" t="s">
        <v>3280</v>
      </c>
      <c r="B1322" s="7" t="s">
        <v>2587</v>
      </c>
      <c r="C1322" s="8" t="s">
        <v>3281</v>
      </c>
      <c r="D1322" s="8" t="s">
        <v>69</v>
      </c>
      <c r="E1322" s="8" t="s">
        <v>206</v>
      </c>
      <c r="F1322" s="8" t="s">
        <v>86</v>
      </c>
      <c r="G1322" s="8" t="s">
        <v>926</v>
      </c>
    </row>
    <row r="1323" spans="1:7" ht="15" customHeight="1" x14ac:dyDescent="0.25">
      <c r="A1323" s="7" t="s">
        <v>3282</v>
      </c>
      <c r="B1323" s="7" t="s">
        <v>2508</v>
      </c>
      <c r="C1323" s="8" t="s">
        <v>3283</v>
      </c>
      <c r="D1323" s="8" t="s">
        <v>3284</v>
      </c>
      <c r="E1323" s="8" t="s">
        <v>73</v>
      </c>
      <c r="F1323" s="8" t="s">
        <v>28</v>
      </c>
      <c r="G1323" s="8" t="s">
        <v>3285</v>
      </c>
    </row>
    <row r="1324" spans="1:7" ht="15" customHeight="1" x14ac:dyDescent="0.25">
      <c r="A1324" s="7" t="s">
        <v>3286</v>
      </c>
      <c r="B1324" s="7" t="s">
        <v>2656</v>
      </c>
      <c r="C1324" s="8" t="s">
        <v>1190</v>
      </c>
      <c r="D1324" s="8" t="s">
        <v>3287</v>
      </c>
      <c r="E1324" s="8" t="s">
        <v>182</v>
      </c>
      <c r="F1324" s="8" t="s">
        <v>65</v>
      </c>
      <c r="G1324" s="8" t="s">
        <v>3288</v>
      </c>
    </row>
    <row r="1325" spans="1:7" ht="15" customHeight="1" x14ac:dyDescent="0.25">
      <c r="A1325" s="7" t="s">
        <v>3289</v>
      </c>
      <c r="B1325" s="7" t="s">
        <v>2567</v>
      </c>
      <c r="C1325" s="8" t="s">
        <v>117</v>
      </c>
      <c r="D1325" s="8" t="s">
        <v>1995</v>
      </c>
      <c r="E1325" s="8" t="s">
        <v>222</v>
      </c>
      <c r="F1325" s="8" t="s">
        <v>363</v>
      </c>
      <c r="G1325" s="8" t="s">
        <v>3290</v>
      </c>
    </row>
    <row r="1326" spans="1:7" ht="15" customHeight="1" x14ac:dyDescent="0.25">
      <c r="A1326" s="7" t="s">
        <v>3291</v>
      </c>
      <c r="B1326" s="7" t="s">
        <v>2592</v>
      </c>
      <c r="C1326" s="8" t="s">
        <v>3292</v>
      </c>
      <c r="D1326" s="8" t="s">
        <v>3293</v>
      </c>
      <c r="E1326" s="8" t="s">
        <v>342</v>
      </c>
      <c r="F1326" s="8" t="s">
        <v>59</v>
      </c>
      <c r="G1326" s="8" t="s">
        <v>373</v>
      </c>
    </row>
    <row r="1327" spans="1:7" ht="15" customHeight="1" x14ac:dyDescent="0.25">
      <c r="A1327" s="7" t="s">
        <v>3294</v>
      </c>
      <c r="B1327" s="7" t="s">
        <v>2878</v>
      </c>
      <c r="C1327" s="8" t="s">
        <v>245</v>
      </c>
      <c r="D1327" s="8" t="s">
        <v>3295</v>
      </c>
      <c r="E1327" s="8" t="s">
        <v>211</v>
      </c>
      <c r="F1327" s="8" t="s">
        <v>2445</v>
      </c>
      <c r="G1327" s="8" t="s">
        <v>3296</v>
      </c>
    </row>
    <row r="1328" spans="1:7" ht="15" customHeight="1" x14ac:dyDescent="0.25">
      <c r="A1328" s="7" t="s">
        <v>3297</v>
      </c>
      <c r="B1328" s="7" t="s">
        <v>2489</v>
      </c>
      <c r="C1328" s="8" t="s">
        <v>2533</v>
      </c>
      <c r="D1328" s="8" t="s">
        <v>3298</v>
      </c>
      <c r="E1328" s="8" t="s">
        <v>463</v>
      </c>
      <c r="F1328" s="8" t="s">
        <v>28</v>
      </c>
      <c r="G1328" s="8" t="s">
        <v>3299</v>
      </c>
    </row>
    <row r="1329" spans="1:7" ht="15" customHeight="1" x14ac:dyDescent="0.25">
      <c r="A1329" s="7" t="s">
        <v>3300</v>
      </c>
      <c r="B1329" s="7" t="s">
        <v>2479</v>
      </c>
      <c r="C1329" s="8" t="s">
        <v>1756</v>
      </c>
      <c r="D1329" s="8" t="s">
        <v>69</v>
      </c>
      <c r="E1329" s="8" t="s">
        <v>228</v>
      </c>
      <c r="F1329" s="8" t="s">
        <v>214</v>
      </c>
      <c r="G1329" s="8" t="s">
        <v>3301</v>
      </c>
    </row>
    <row r="1330" spans="1:7" ht="15" customHeight="1" x14ac:dyDescent="0.25">
      <c r="A1330" s="7" t="s">
        <v>3302</v>
      </c>
      <c r="B1330" s="7" t="s">
        <v>2772</v>
      </c>
      <c r="C1330" s="8" t="s">
        <v>3303</v>
      </c>
      <c r="D1330" s="8" t="s">
        <v>2564</v>
      </c>
      <c r="E1330" s="8" t="s">
        <v>144</v>
      </c>
      <c r="F1330" s="8" t="s">
        <v>28</v>
      </c>
      <c r="G1330" s="8" t="s">
        <v>3304</v>
      </c>
    </row>
    <row r="1331" spans="1:7" ht="15" customHeight="1" x14ac:dyDescent="0.25">
      <c r="A1331" s="7" t="s">
        <v>3305</v>
      </c>
      <c r="B1331" s="7" t="s">
        <v>3146</v>
      </c>
      <c r="C1331" s="8" t="s">
        <v>26</v>
      </c>
      <c r="D1331" s="8" t="s">
        <v>250</v>
      </c>
      <c r="E1331" s="8" t="s">
        <v>247</v>
      </c>
      <c r="F1331" s="8" t="s">
        <v>59</v>
      </c>
      <c r="G1331" s="8" t="s">
        <v>3306</v>
      </c>
    </row>
    <row r="1332" spans="1:7" ht="15" customHeight="1" x14ac:dyDescent="0.25">
      <c r="A1332" s="7" t="s">
        <v>3307</v>
      </c>
      <c r="B1332" s="7" t="s">
        <v>2543</v>
      </c>
      <c r="C1332" s="8" t="s">
        <v>3308</v>
      </c>
      <c r="D1332" s="8" t="s">
        <v>3309</v>
      </c>
      <c r="E1332" s="8" t="s">
        <v>228</v>
      </c>
      <c r="F1332" s="8" t="s">
        <v>28</v>
      </c>
      <c r="G1332" s="8" t="s">
        <v>3310</v>
      </c>
    </row>
    <row r="1333" spans="1:7" ht="15" customHeight="1" x14ac:dyDescent="0.25">
      <c r="A1333" s="7" t="s">
        <v>3311</v>
      </c>
      <c r="B1333" s="7" t="s">
        <v>2486</v>
      </c>
      <c r="C1333" s="8" t="s">
        <v>3312</v>
      </c>
      <c r="D1333" s="8" t="s">
        <v>1646</v>
      </c>
      <c r="E1333" s="8" t="s">
        <v>127</v>
      </c>
      <c r="F1333" s="8" t="s">
        <v>39</v>
      </c>
      <c r="G1333" s="8" t="s">
        <v>2651</v>
      </c>
    </row>
    <row r="1334" spans="1:7" ht="15" customHeight="1" x14ac:dyDescent="0.25">
      <c r="A1334" s="7" t="s">
        <v>3313</v>
      </c>
      <c r="B1334" s="7" t="s">
        <v>2479</v>
      </c>
      <c r="C1334" s="8" t="s">
        <v>79</v>
      </c>
      <c r="D1334" s="8" t="s">
        <v>483</v>
      </c>
      <c r="E1334" s="8" t="s">
        <v>44</v>
      </c>
      <c r="F1334" s="8" t="s">
        <v>2445</v>
      </c>
      <c r="G1334" s="8" t="s">
        <v>2855</v>
      </c>
    </row>
    <row r="1335" spans="1:7" ht="15" customHeight="1" x14ac:dyDescent="0.25">
      <c r="A1335" s="7" t="s">
        <v>3314</v>
      </c>
      <c r="B1335" s="7" t="s">
        <v>2479</v>
      </c>
      <c r="C1335" s="8" t="s">
        <v>3315</v>
      </c>
      <c r="D1335" s="8" t="s">
        <v>116</v>
      </c>
      <c r="E1335" s="8" t="s">
        <v>1009</v>
      </c>
      <c r="F1335" s="8" t="s">
        <v>28</v>
      </c>
      <c r="G1335" s="8" t="s">
        <v>3316</v>
      </c>
    </row>
    <row r="1336" spans="1:7" ht="15" customHeight="1" x14ac:dyDescent="0.25">
      <c r="A1336" s="7" t="s">
        <v>3317</v>
      </c>
      <c r="B1336" s="7" t="s">
        <v>2448</v>
      </c>
      <c r="C1336" s="8" t="s">
        <v>69</v>
      </c>
      <c r="D1336" s="8" t="s">
        <v>467</v>
      </c>
      <c r="E1336" s="8" t="s">
        <v>73</v>
      </c>
      <c r="F1336" s="8" t="s">
        <v>28</v>
      </c>
      <c r="G1336" s="8" t="s">
        <v>3318</v>
      </c>
    </row>
    <row r="1337" spans="1:7" ht="15" customHeight="1" x14ac:dyDescent="0.25">
      <c r="A1337" s="7" t="s">
        <v>3319</v>
      </c>
      <c r="B1337" s="7" t="s">
        <v>3320</v>
      </c>
      <c r="C1337" s="8" t="s">
        <v>3321</v>
      </c>
      <c r="D1337" s="8" t="s">
        <v>1549</v>
      </c>
      <c r="E1337" s="8" t="s">
        <v>76</v>
      </c>
      <c r="F1337" s="8" t="s">
        <v>59</v>
      </c>
      <c r="G1337" s="8" t="s">
        <v>3322</v>
      </c>
    </row>
    <row r="1338" spans="1:7" ht="15" customHeight="1" x14ac:dyDescent="0.25">
      <c r="A1338" s="7" t="s">
        <v>3323</v>
      </c>
      <c r="B1338" s="7" t="s">
        <v>3324</v>
      </c>
      <c r="C1338" s="8" t="s">
        <v>3325</v>
      </c>
      <c r="D1338" s="8" t="s">
        <v>456</v>
      </c>
      <c r="E1338" s="8" t="s">
        <v>281</v>
      </c>
      <c r="F1338" s="8" t="s">
        <v>86</v>
      </c>
      <c r="G1338" s="8" t="s">
        <v>3326</v>
      </c>
    </row>
    <row r="1339" spans="1:7" ht="15" customHeight="1" x14ac:dyDescent="0.25">
      <c r="A1339" s="7" t="s">
        <v>3327</v>
      </c>
      <c r="B1339" s="7" t="s">
        <v>2482</v>
      </c>
      <c r="C1339" s="8" t="s">
        <v>43</v>
      </c>
      <c r="D1339" s="8" t="s">
        <v>3132</v>
      </c>
      <c r="E1339" s="8" t="s">
        <v>1073</v>
      </c>
      <c r="F1339" s="8" t="s">
        <v>59</v>
      </c>
      <c r="G1339" s="8" t="s">
        <v>3328</v>
      </c>
    </row>
    <row r="1340" spans="1:7" ht="15" customHeight="1" x14ac:dyDescent="0.25">
      <c r="A1340" s="7" t="s">
        <v>3329</v>
      </c>
      <c r="B1340" s="7" t="s">
        <v>2667</v>
      </c>
      <c r="C1340" s="8" t="s">
        <v>1352</v>
      </c>
      <c r="D1340" s="8" t="s">
        <v>2796</v>
      </c>
      <c r="E1340" s="8" t="s">
        <v>296</v>
      </c>
      <c r="F1340" s="8" t="s">
        <v>28</v>
      </c>
      <c r="G1340" s="8" t="s">
        <v>3330</v>
      </c>
    </row>
    <row r="1341" spans="1:7" ht="15" customHeight="1" x14ac:dyDescent="0.25">
      <c r="A1341" s="7" t="s">
        <v>3331</v>
      </c>
      <c r="B1341" s="7" t="s">
        <v>2526</v>
      </c>
      <c r="C1341" s="8" t="s">
        <v>3025</v>
      </c>
      <c r="D1341" s="8" t="s">
        <v>2679</v>
      </c>
      <c r="E1341" s="8" t="s">
        <v>296</v>
      </c>
      <c r="F1341" s="8" t="s">
        <v>59</v>
      </c>
      <c r="G1341" s="8" t="s">
        <v>3332</v>
      </c>
    </row>
    <row r="1342" spans="1:7" ht="15" customHeight="1" x14ac:dyDescent="0.25">
      <c r="A1342" s="7" t="s">
        <v>3333</v>
      </c>
      <c r="B1342" s="7" t="s">
        <v>2444</v>
      </c>
      <c r="C1342" s="8" t="s">
        <v>3334</v>
      </c>
      <c r="D1342" s="8" t="s">
        <v>149</v>
      </c>
      <c r="E1342" s="8" t="s">
        <v>150</v>
      </c>
      <c r="F1342" s="8" t="s">
        <v>39</v>
      </c>
      <c r="G1342" s="8" t="s">
        <v>3335</v>
      </c>
    </row>
    <row r="1343" spans="1:7" ht="15" customHeight="1" x14ac:dyDescent="0.25">
      <c r="A1343" s="7" t="s">
        <v>3336</v>
      </c>
      <c r="B1343" s="7" t="s">
        <v>2489</v>
      </c>
      <c r="C1343" s="8" t="s">
        <v>3337</v>
      </c>
      <c r="D1343" s="8" t="s">
        <v>3338</v>
      </c>
      <c r="E1343" s="8" t="s">
        <v>182</v>
      </c>
      <c r="F1343" s="8" t="s">
        <v>39</v>
      </c>
      <c r="G1343" s="8" t="s">
        <v>3339</v>
      </c>
    </row>
    <row r="1344" spans="1:7" ht="15" customHeight="1" x14ac:dyDescent="0.25">
      <c r="A1344" s="7" t="s">
        <v>3340</v>
      </c>
      <c r="B1344" s="7" t="s">
        <v>2543</v>
      </c>
      <c r="C1344" s="8" t="s">
        <v>2769</v>
      </c>
      <c r="D1344" s="8" t="s">
        <v>910</v>
      </c>
      <c r="E1344" s="8" t="s">
        <v>3341</v>
      </c>
      <c r="F1344" s="8" t="s">
        <v>28</v>
      </c>
      <c r="G1344" s="8" t="s">
        <v>3342</v>
      </c>
    </row>
    <row r="1345" spans="1:7" ht="15" customHeight="1" x14ac:dyDescent="0.25">
      <c r="A1345" s="7" t="s">
        <v>3343</v>
      </c>
      <c r="B1345" s="7" t="s">
        <v>2951</v>
      </c>
      <c r="C1345" s="8" t="s">
        <v>3334</v>
      </c>
      <c r="D1345" s="8" t="s">
        <v>3344</v>
      </c>
      <c r="E1345" s="8" t="s">
        <v>1114</v>
      </c>
      <c r="F1345" s="8" t="s">
        <v>28</v>
      </c>
      <c r="G1345" s="8" t="s">
        <v>3345</v>
      </c>
    </row>
    <row r="1346" spans="1:7" ht="15" customHeight="1" x14ac:dyDescent="0.25">
      <c r="A1346" s="7" t="s">
        <v>3346</v>
      </c>
      <c r="B1346" s="7" t="s">
        <v>2440</v>
      </c>
      <c r="C1346" s="8" t="s">
        <v>3347</v>
      </c>
      <c r="D1346" s="8" t="s">
        <v>221</v>
      </c>
      <c r="E1346" s="8" t="s">
        <v>206</v>
      </c>
      <c r="F1346" s="8" t="s">
        <v>123</v>
      </c>
      <c r="G1346" s="8" t="s">
        <v>2445</v>
      </c>
    </row>
    <row r="1347" spans="1:7" ht="15" customHeight="1" x14ac:dyDescent="0.25">
      <c r="A1347" s="7" t="s">
        <v>3348</v>
      </c>
      <c r="B1347" s="7" t="s">
        <v>2964</v>
      </c>
      <c r="C1347" s="8" t="s">
        <v>3349</v>
      </c>
      <c r="D1347" s="8" t="s">
        <v>3350</v>
      </c>
      <c r="E1347" s="8" t="s">
        <v>1206</v>
      </c>
      <c r="F1347" s="8" t="s">
        <v>123</v>
      </c>
      <c r="G1347" s="8" t="s">
        <v>2043</v>
      </c>
    </row>
    <row r="1348" spans="1:7" ht="15" customHeight="1" x14ac:dyDescent="0.25">
      <c r="A1348" s="7" t="s">
        <v>3351</v>
      </c>
      <c r="B1348" s="7" t="s">
        <v>2486</v>
      </c>
      <c r="C1348" s="8" t="s">
        <v>3352</v>
      </c>
      <c r="D1348" s="8" t="s">
        <v>2717</v>
      </c>
      <c r="E1348" s="8" t="s">
        <v>44</v>
      </c>
      <c r="F1348" s="8" t="s">
        <v>321</v>
      </c>
      <c r="G1348" s="8" t="s">
        <v>3353</v>
      </c>
    </row>
    <row r="1349" spans="1:7" ht="15" customHeight="1" x14ac:dyDescent="0.25">
      <c r="A1349" s="7" t="s">
        <v>3354</v>
      </c>
      <c r="B1349" s="7" t="s">
        <v>2440</v>
      </c>
      <c r="C1349" s="8" t="s">
        <v>3355</v>
      </c>
      <c r="D1349" s="8" t="s">
        <v>356</v>
      </c>
      <c r="E1349" s="8" t="s">
        <v>70</v>
      </c>
      <c r="F1349" s="8" t="s">
        <v>28</v>
      </c>
      <c r="G1349" s="8" t="s">
        <v>2996</v>
      </c>
    </row>
    <row r="1350" spans="1:7" ht="15" customHeight="1" x14ac:dyDescent="0.25">
      <c r="A1350" s="7" t="s">
        <v>3356</v>
      </c>
      <c r="B1350" s="7" t="s">
        <v>2508</v>
      </c>
      <c r="C1350" s="8" t="s">
        <v>3056</v>
      </c>
      <c r="D1350" s="8" t="s">
        <v>3357</v>
      </c>
      <c r="E1350" s="8" t="s">
        <v>107</v>
      </c>
      <c r="F1350" s="8" t="s">
        <v>2445</v>
      </c>
      <c r="G1350" s="8" t="s">
        <v>3358</v>
      </c>
    </row>
    <row r="1351" spans="1:7" ht="15" customHeight="1" x14ac:dyDescent="0.25">
      <c r="A1351" s="7" t="s">
        <v>3359</v>
      </c>
      <c r="B1351" s="7" t="s">
        <v>2436</v>
      </c>
      <c r="C1351" s="8" t="s">
        <v>584</v>
      </c>
      <c r="D1351" s="8" t="s">
        <v>3360</v>
      </c>
      <c r="E1351" s="8" t="s">
        <v>94</v>
      </c>
      <c r="F1351" s="8" t="s">
        <v>59</v>
      </c>
      <c r="G1351" s="8" t="s">
        <v>3361</v>
      </c>
    </row>
    <row r="1352" spans="1:7" ht="15" customHeight="1" x14ac:dyDescent="0.25">
      <c r="A1352" s="7" t="s">
        <v>3362</v>
      </c>
      <c r="B1352" s="7" t="s">
        <v>2489</v>
      </c>
      <c r="C1352" s="8" t="s">
        <v>2128</v>
      </c>
      <c r="D1352" s="8" t="s">
        <v>3363</v>
      </c>
      <c r="E1352" s="8" t="s">
        <v>33</v>
      </c>
      <c r="F1352" s="8" t="s">
        <v>39</v>
      </c>
      <c r="G1352" s="8" t="s">
        <v>3364</v>
      </c>
    </row>
    <row r="1353" spans="1:7" ht="15" customHeight="1" x14ac:dyDescent="0.25">
      <c r="A1353" s="7" t="s">
        <v>3365</v>
      </c>
      <c r="B1353" s="7" t="s">
        <v>2482</v>
      </c>
      <c r="C1353" s="8" t="s">
        <v>3366</v>
      </c>
      <c r="D1353" s="8" t="s">
        <v>711</v>
      </c>
      <c r="E1353" s="8" t="s">
        <v>127</v>
      </c>
      <c r="F1353" s="8" t="s">
        <v>2445</v>
      </c>
      <c r="G1353" s="8" t="s">
        <v>3367</v>
      </c>
    </row>
    <row r="1354" spans="1:7" ht="15" customHeight="1" x14ac:dyDescent="0.25">
      <c r="A1354" s="7" t="s">
        <v>3368</v>
      </c>
      <c r="B1354" s="7" t="s">
        <v>2486</v>
      </c>
      <c r="C1354" s="8" t="s">
        <v>3369</v>
      </c>
      <c r="D1354" s="8" t="s">
        <v>3370</v>
      </c>
      <c r="E1354" s="8" t="s">
        <v>33</v>
      </c>
      <c r="F1354" s="8" t="s">
        <v>39</v>
      </c>
      <c r="G1354" s="8" t="s">
        <v>3371</v>
      </c>
    </row>
    <row r="1355" spans="1:7" ht="15" customHeight="1" x14ac:dyDescent="0.25">
      <c r="A1355" s="7" t="s">
        <v>3372</v>
      </c>
      <c r="B1355" s="7" t="s">
        <v>2508</v>
      </c>
      <c r="C1355" s="8" t="s">
        <v>3373</v>
      </c>
      <c r="D1355" s="8" t="s">
        <v>3374</v>
      </c>
      <c r="E1355" s="8" t="s">
        <v>1078</v>
      </c>
      <c r="F1355" s="8" t="s">
        <v>28</v>
      </c>
      <c r="G1355" s="8" t="s">
        <v>3375</v>
      </c>
    </row>
    <row r="1356" spans="1:7" ht="15" customHeight="1" x14ac:dyDescent="0.25">
      <c r="A1356" s="7" t="s">
        <v>3376</v>
      </c>
      <c r="B1356" s="7" t="s">
        <v>3377</v>
      </c>
      <c r="C1356" s="8" t="s">
        <v>3378</v>
      </c>
      <c r="D1356" s="8" t="s">
        <v>3379</v>
      </c>
      <c r="E1356" s="8" t="s">
        <v>33</v>
      </c>
      <c r="F1356" s="8" t="s">
        <v>65</v>
      </c>
      <c r="G1356" s="8" t="s">
        <v>641</v>
      </c>
    </row>
    <row r="1357" spans="1:7" ht="15" customHeight="1" x14ac:dyDescent="0.25">
      <c r="A1357" s="7" t="s">
        <v>3380</v>
      </c>
      <c r="B1357" s="7" t="s">
        <v>2755</v>
      </c>
      <c r="C1357" s="8" t="s">
        <v>2784</v>
      </c>
      <c r="D1357" s="8" t="s">
        <v>2784</v>
      </c>
      <c r="E1357" s="8" t="s">
        <v>166</v>
      </c>
      <c r="F1357" s="8" t="s">
        <v>2445</v>
      </c>
      <c r="G1357" s="8" t="s">
        <v>3381</v>
      </c>
    </row>
    <row r="1358" spans="1:7" ht="15" customHeight="1" x14ac:dyDescent="0.25">
      <c r="A1358" s="7" t="s">
        <v>3382</v>
      </c>
      <c r="B1358" s="7" t="s">
        <v>2653</v>
      </c>
      <c r="C1358" s="8" t="s">
        <v>3383</v>
      </c>
      <c r="D1358" s="8" t="s">
        <v>2287</v>
      </c>
      <c r="E1358" s="8" t="s">
        <v>118</v>
      </c>
      <c r="F1358" s="8" t="s">
        <v>3384</v>
      </c>
      <c r="G1358" s="8" t="s">
        <v>528</v>
      </c>
    </row>
    <row r="1359" spans="1:7" ht="15" customHeight="1" x14ac:dyDescent="0.25">
      <c r="A1359" s="7" t="s">
        <v>3385</v>
      </c>
      <c r="B1359" s="7" t="s">
        <v>2467</v>
      </c>
      <c r="C1359" s="8" t="s">
        <v>3386</v>
      </c>
      <c r="D1359" s="8" t="s">
        <v>250</v>
      </c>
      <c r="E1359" s="8" t="s">
        <v>239</v>
      </c>
      <c r="F1359" s="8" t="s">
        <v>363</v>
      </c>
      <c r="G1359" s="8" t="s">
        <v>3387</v>
      </c>
    </row>
    <row r="1360" spans="1:7" ht="15" customHeight="1" x14ac:dyDescent="0.25">
      <c r="A1360" s="7" t="s">
        <v>3388</v>
      </c>
      <c r="B1360" s="7" t="s">
        <v>3389</v>
      </c>
      <c r="C1360" s="8" t="s">
        <v>3390</v>
      </c>
      <c r="D1360" s="8" t="s">
        <v>3391</v>
      </c>
      <c r="E1360" s="8" t="s">
        <v>1456</v>
      </c>
      <c r="F1360" s="8" t="s">
        <v>119</v>
      </c>
      <c r="G1360" s="8" t="s">
        <v>3392</v>
      </c>
    </row>
    <row r="1361" spans="1:7" ht="15" customHeight="1" x14ac:dyDescent="0.25">
      <c r="A1361" s="7" t="s">
        <v>3393</v>
      </c>
      <c r="B1361" s="7" t="s">
        <v>2686</v>
      </c>
      <c r="C1361" s="8" t="s">
        <v>221</v>
      </c>
      <c r="D1361" s="8" t="s">
        <v>314</v>
      </c>
      <c r="E1361" s="8" t="s">
        <v>222</v>
      </c>
      <c r="F1361" s="8" t="s">
        <v>417</v>
      </c>
      <c r="G1361" s="8" t="s">
        <v>3394</v>
      </c>
    </row>
    <row r="1362" spans="1:7" ht="15" customHeight="1" x14ac:dyDescent="0.25">
      <c r="A1362" s="7" t="s">
        <v>3395</v>
      </c>
      <c r="B1362" s="7" t="s">
        <v>2444</v>
      </c>
      <c r="C1362" s="8" t="s">
        <v>3396</v>
      </c>
      <c r="D1362" s="8" t="s">
        <v>643</v>
      </c>
      <c r="E1362" s="8" t="s">
        <v>33</v>
      </c>
      <c r="F1362" s="8" t="s">
        <v>39</v>
      </c>
      <c r="G1362" s="8" t="s">
        <v>3387</v>
      </c>
    </row>
    <row r="1363" spans="1:7" ht="15" customHeight="1" x14ac:dyDescent="0.25">
      <c r="A1363" s="7" t="s">
        <v>3397</v>
      </c>
      <c r="B1363" s="7" t="s">
        <v>2489</v>
      </c>
      <c r="C1363" s="8" t="s">
        <v>909</v>
      </c>
      <c r="D1363" s="8" t="s">
        <v>1352</v>
      </c>
      <c r="E1363" s="8" t="s">
        <v>541</v>
      </c>
      <c r="F1363" s="8" t="s">
        <v>2445</v>
      </c>
      <c r="G1363" s="8" t="s">
        <v>3398</v>
      </c>
    </row>
    <row r="1364" spans="1:7" ht="15" customHeight="1" x14ac:dyDescent="0.25">
      <c r="A1364" s="7" t="s">
        <v>3399</v>
      </c>
      <c r="B1364" s="7" t="s">
        <v>3400</v>
      </c>
      <c r="C1364" s="8" t="s">
        <v>90</v>
      </c>
      <c r="D1364" s="8" t="s">
        <v>149</v>
      </c>
      <c r="E1364" s="8" t="s">
        <v>76</v>
      </c>
      <c r="F1364" s="8" t="s">
        <v>2445</v>
      </c>
      <c r="G1364" s="8" t="s">
        <v>3401</v>
      </c>
    </row>
    <row r="1365" spans="1:7" ht="15" customHeight="1" x14ac:dyDescent="0.25">
      <c r="A1365" s="7" t="s">
        <v>3402</v>
      </c>
      <c r="B1365" s="7" t="s">
        <v>2444</v>
      </c>
      <c r="C1365" s="8" t="s">
        <v>2374</v>
      </c>
      <c r="D1365" s="8" t="s">
        <v>285</v>
      </c>
      <c r="E1365" s="8" t="s">
        <v>27</v>
      </c>
      <c r="F1365" s="8" t="s">
        <v>417</v>
      </c>
      <c r="G1365" s="8" t="s">
        <v>539</v>
      </c>
    </row>
    <row r="1366" spans="1:7" ht="15" customHeight="1" x14ac:dyDescent="0.25">
      <c r="A1366" s="7" t="s">
        <v>3403</v>
      </c>
      <c r="B1366" s="7" t="s">
        <v>2451</v>
      </c>
      <c r="C1366" s="8" t="s">
        <v>3404</v>
      </c>
      <c r="D1366" s="8" t="s">
        <v>165</v>
      </c>
      <c r="E1366" s="8" t="s">
        <v>150</v>
      </c>
      <c r="F1366" s="8" t="s">
        <v>2445</v>
      </c>
      <c r="G1366" s="8" t="s">
        <v>3405</v>
      </c>
    </row>
    <row r="1367" spans="1:7" ht="15" customHeight="1" x14ac:dyDescent="0.25">
      <c r="A1367" s="7" t="s">
        <v>3406</v>
      </c>
      <c r="B1367" s="7" t="s">
        <v>2505</v>
      </c>
      <c r="C1367" s="8" t="s">
        <v>1674</v>
      </c>
      <c r="D1367" s="8" t="s">
        <v>149</v>
      </c>
      <c r="E1367" s="8" t="s">
        <v>598</v>
      </c>
      <c r="F1367" s="8" t="s">
        <v>321</v>
      </c>
      <c r="G1367" s="8" t="s">
        <v>3407</v>
      </c>
    </row>
    <row r="1368" spans="1:7" ht="15" customHeight="1" x14ac:dyDescent="0.25">
      <c r="A1368" s="7" t="s">
        <v>3408</v>
      </c>
      <c r="B1368" s="7" t="s">
        <v>2489</v>
      </c>
      <c r="C1368" s="8" t="s">
        <v>3409</v>
      </c>
      <c r="D1368" s="8" t="s">
        <v>3410</v>
      </c>
      <c r="E1368" s="8" t="s">
        <v>113</v>
      </c>
      <c r="F1368" s="8" t="s">
        <v>28</v>
      </c>
      <c r="G1368" s="8" t="s">
        <v>3411</v>
      </c>
    </row>
    <row r="1369" spans="1:7" ht="15" customHeight="1" x14ac:dyDescent="0.25">
      <c r="A1369" s="7" t="s">
        <v>3412</v>
      </c>
      <c r="B1369" s="7" t="s">
        <v>2526</v>
      </c>
      <c r="C1369" s="8" t="s">
        <v>3413</v>
      </c>
      <c r="D1369" s="8" t="s">
        <v>3024</v>
      </c>
      <c r="E1369" s="8" t="s">
        <v>826</v>
      </c>
      <c r="F1369" s="8" t="s">
        <v>363</v>
      </c>
      <c r="G1369" s="8" t="s">
        <v>3375</v>
      </c>
    </row>
    <row r="1370" spans="1:7" ht="15" customHeight="1" x14ac:dyDescent="0.25">
      <c r="A1370" s="7" t="s">
        <v>3414</v>
      </c>
      <c r="B1370" s="7" t="s">
        <v>2749</v>
      </c>
      <c r="C1370" s="8" t="s">
        <v>2454</v>
      </c>
      <c r="D1370" s="8" t="s">
        <v>57</v>
      </c>
      <c r="E1370" s="8" t="s">
        <v>127</v>
      </c>
      <c r="F1370" s="8" t="s">
        <v>59</v>
      </c>
      <c r="G1370" s="8" t="s">
        <v>3415</v>
      </c>
    </row>
    <row r="1371" spans="1:7" ht="15" customHeight="1" x14ac:dyDescent="0.25">
      <c r="A1371" s="7" t="s">
        <v>3416</v>
      </c>
      <c r="B1371" s="7" t="s">
        <v>3417</v>
      </c>
      <c r="C1371" s="8" t="s">
        <v>165</v>
      </c>
      <c r="D1371" s="8" t="s">
        <v>327</v>
      </c>
      <c r="E1371" s="8" t="s">
        <v>239</v>
      </c>
      <c r="F1371" s="8" t="s">
        <v>28</v>
      </c>
      <c r="G1371" s="8" t="s">
        <v>414</v>
      </c>
    </row>
    <row r="1372" spans="1:7" ht="15" customHeight="1" x14ac:dyDescent="0.25">
      <c r="A1372" s="7" t="s">
        <v>3418</v>
      </c>
      <c r="B1372" s="7" t="s">
        <v>2755</v>
      </c>
      <c r="C1372" s="8" t="s">
        <v>57</v>
      </c>
      <c r="D1372" s="8" t="s">
        <v>69</v>
      </c>
      <c r="E1372" s="8" t="s">
        <v>70</v>
      </c>
      <c r="F1372" s="8" t="s">
        <v>65</v>
      </c>
      <c r="G1372" s="8" t="s">
        <v>3419</v>
      </c>
    </row>
    <row r="1373" spans="1:7" ht="15" customHeight="1" x14ac:dyDescent="0.25">
      <c r="A1373" s="7" t="s">
        <v>3420</v>
      </c>
      <c r="B1373" s="7" t="s">
        <v>2482</v>
      </c>
      <c r="C1373" s="8" t="s">
        <v>377</v>
      </c>
      <c r="D1373" s="8" t="s">
        <v>1884</v>
      </c>
      <c r="E1373" s="8" t="s">
        <v>541</v>
      </c>
      <c r="F1373" s="8" t="s">
        <v>28</v>
      </c>
      <c r="G1373" s="8" t="s">
        <v>3421</v>
      </c>
    </row>
    <row r="1374" spans="1:7" ht="15" customHeight="1" x14ac:dyDescent="0.25">
      <c r="A1374" s="7" t="s">
        <v>3422</v>
      </c>
      <c r="B1374" s="7" t="s">
        <v>2749</v>
      </c>
      <c r="C1374" s="8" t="s">
        <v>106</v>
      </c>
      <c r="D1374" s="8" t="s">
        <v>2054</v>
      </c>
      <c r="E1374" s="8" t="s">
        <v>107</v>
      </c>
      <c r="F1374" s="8" t="s">
        <v>59</v>
      </c>
      <c r="G1374" s="8" t="s">
        <v>3423</v>
      </c>
    </row>
    <row r="1375" spans="1:7" ht="15" customHeight="1" x14ac:dyDescent="0.25">
      <c r="A1375" s="7" t="s">
        <v>3424</v>
      </c>
      <c r="B1375" s="7" t="s">
        <v>2755</v>
      </c>
      <c r="C1375" s="8" t="s">
        <v>881</v>
      </c>
      <c r="D1375" s="8" t="s">
        <v>165</v>
      </c>
      <c r="E1375" s="8" t="s">
        <v>85</v>
      </c>
      <c r="F1375" s="8" t="s">
        <v>39</v>
      </c>
      <c r="G1375" s="8" t="s">
        <v>3425</v>
      </c>
    </row>
    <row r="1376" spans="1:7" ht="15" customHeight="1" x14ac:dyDescent="0.25">
      <c r="A1376" s="7" t="s">
        <v>3426</v>
      </c>
      <c r="B1376" s="7" t="s">
        <v>2444</v>
      </c>
      <c r="C1376" s="8" t="s">
        <v>3427</v>
      </c>
      <c r="D1376" s="8" t="s">
        <v>69</v>
      </c>
      <c r="E1376" s="8" t="s">
        <v>350</v>
      </c>
      <c r="F1376" s="8" t="s">
        <v>201</v>
      </c>
      <c r="G1376" s="8" t="s">
        <v>3428</v>
      </c>
    </row>
    <row r="1377" spans="1:7" ht="15" customHeight="1" x14ac:dyDescent="0.25">
      <c r="A1377" s="7" t="s">
        <v>3429</v>
      </c>
      <c r="B1377" s="7" t="s">
        <v>3430</v>
      </c>
      <c r="C1377" s="8" t="s">
        <v>122</v>
      </c>
      <c r="D1377" s="8" t="s">
        <v>43</v>
      </c>
      <c r="E1377" s="8" t="s">
        <v>94</v>
      </c>
      <c r="F1377" s="8" t="s">
        <v>65</v>
      </c>
      <c r="G1377" s="8" t="s">
        <v>3431</v>
      </c>
    </row>
    <row r="1378" spans="1:7" ht="15" customHeight="1" x14ac:dyDescent="0.25">
      <c r="A1378" s="7" t="s">
        <v>3432</v>
      </c>
      <c r="B1378" s="7" t="s">
        <v>2755</v>
      </c>
      <c r="C1378" s="8" t="s">
        <v>843</v>
      </c>
      <c r="D1378" s="8" t="s">
        <v>250</v>
      </c>
      <c r="E1378" s="8" t="s">
        <v>266</v>
      </c>
      <c r="F1378" s="8" t="s">
        <v>39</v>
      </c>
      <c r="G1378" s="8" t="s">
        <v>3433</v>
      </c>
    </row>
    <row r="1379" spans="1:7" ht="15" customHeight="1" x14ac:dyDescent="0.25">
      <c r="A1379" s="7" t="s">
        <v>3434</v>
      </c>
      <c r="B1379" s="7" t="s">
        <v>2482</v>
      </c>
      <c r="C1379" s="8" t="s">
        <v>1573</v>
      </c>
      <c r="D1379" s="8" t="s">
        <v>1549</v>
      </c>
      <c r="E1379" s="8" t="s">
        <v>262</v>
      </c>
      <c r="F1379" s="8" t="s">
        <v>65</v>
      </c>
      <c r="G1379" s="8" t="s">
        <v>3435</v>
      </c>
    </row>
    <row r="1380" spans="1:7" ht="15" customHeight="1" x14ac:dyDescent="0.25">
      <c r="A1380" s="7" t="s">
        <v>3436</v>
      </c>
      <c r="B1380" s="7" t="s">
        <v>2489</v>
      </c>
      <c r="C1380" s="8" t="s">
        <v>2945</v>
      </c>
      <c r="D1380" s="8" t="s">
        <v>702</v>
      </c>
      <c r="E1380" s="8" t="s">
        <v>570</v>
      </c>
      <c r="F1380" s="8" t="s">
        <v>214</v>
      </c>
      <c r="G1380" s="8" t="s">
        <v>3140</v>
      </c>
    </row>
    <row r="1381" spans="1:7" ht="15" customHeight="1" x14ac:dyDescent="0.25">
      <c r="A1381" s="7" t="s">
        <v>3437</v>
      </c>
      <c r="B1381" s="7" t="s">
        <v>2489</v>
      </c>
      <c r="C1381" s="8" t="s">
        <v>1884</v>
      </c>
      <c r="D1381" s="8" t="s">
        <v>3438</v>
      </c>
      <c r="E1381" s="8" t="s">
        <v>44</v>
      </c>
      <c r="F1381" s="8" t="s">
        <v>363</v>
      </c>
      <c r="G1381" s="8" t="s">
        <v>3439</v>
      </c>
    </row>
    <row r="1382" spans="1:7" ht="15" customHeight="1" x14ac:dyDescent="0.25">
      <c r="A1382" s="7" t="s">
        <v>3440</v>
      </c>
      <c r="B1382" s="7" t="s">
        <v>2878</v>
      </c>
      <c r="C1382" s="8" t="s">
        <v>117</v>
      </c>
      <c r="D1382" s="8" t="s">
        <v>2865</v>
      </c>
      <c r="E1382" s="8" t="s">
        <v>1456</v>
      </c>
      <c r="F1382" s="8" t="s">
        <v>39</v>
      </c>
      <c r="G1382" s="8" t="s">
        <v>3441</v>
      </c>
    </row>
    <row r="1383" spans="1:7" ht="15" customHeight="1" x14ac:dyDescent="0.25">
      <c r="A1383" s="7" t="s">
        <v>3442</v>
      </c>
      <c r="B1383" s="7" t="s">
        <v>2486</v>
      </c>
      <c r="C1383" s="8" t="s">
        <v>3443</v>
      </c>
      <c r="D1383" s="8" t="s">
        <v>3444</v>
      </c>
      <c r="E1383" s="8" t="s">
        <v>182</v>
      </c>
      <c r="F1383" s="8" t="s">
        <v>476</v>
      </c>
      <c r="G1383" s="8" t="s">
        <v>3445</v>
      </c>
    </row>
    <row r="1384" spans="1:7" ht="15" customHeight="1" x14ac:dyDescent="0.25">
      <c r="A1384" s="7" t="s">
        <v>3446</v>
      </c>
      <c r="B1384" s="7" t="s">
        <v>2486</v>
      </c>
      <c r="C1384" s="8" t="s">
        <v>117</v>
      </c>
      <c r="D1384" s="8" t="s">
        <v>1749</v>
      </c>
      <c r="E1384" s="8" t="s">
        <v>222</v>
      </c>
      <c r="F1384" s="8" t="s">
        <v>363</v>
      </c>
      <c r="G1384" s="8" t="s">
        <v>3447</v>
      </c>
    </row>
    <row r="1385" spans="1:7" ht="15" customHeight="1" x14ac:dyDescent="0.25">
      <c r="A1385" s="7" t="s">
        <v>3448</v>
      </c>
      <c r="B1385" s="7" t="s">
        <v>2486</v>
      </c>
      <c r="C1385" s="8" t="s">
        <v>221</v>
      </c>
      <c r="D1385" s="8" t="s">
        <v>3449</v>
      </c>
      <c r="E1385" s="8" t="s">
        <v>103</v>
      </c>
      <c r="F1385" s="8" t="s">
        <v>39</v>
      </c>
      <c r="G1385" s="8" t="s">
        <v>3450</v>
      </c>
    </row>
    <row r="1386" spans="1:7" ht="15" customHeight="1" x14ac:dyDescent="0.25">
      <c r="A1386" s="7" t="s">
        <v>3451</v>
      </c>
      <c r="B1386" s="7" t="s">
        <v>2772</v>
      </c>
      <c r="C1386" s="8" t="s">
        <v>3452</v>
      </c>
      <c r="D1386" s="8" t="s">
        <v>3453</v>
      </c>
      <c r="E1386" s="8" t="s">
        <v>73</v>
      </c>
      <c r="F1386" s="8" t="s">
        <v>59</v>
      </c>
      <c r="G1386" s="8" t="s">
        <v>2887</v>
      </c>
    </row>
    <row r="1387" spans="1:7" ht="15" customHeight="1" x14ac:dyDescent="0.25">
      <c r="A1387" s="7" t="s">
        <v>3454</v>
      </c>
      <c r="B1387" s="7" t="s">
        <v>2557</v>
      </c>
      <c r="C1387" s="8" t="s">
        <v>242</v>
      </c>
      <c r="D1387" s="8" t="s">
        <v>69</v>
      </c>
      <c r="E1387" s="8" t="s">
        <v>211</v>
      </c>
      <c r="F1387" s="8" t="s">
        <v>214</v>
      </c>
      <c r="G1387" s="8" t="s">
        <v>2445</v>
      </c>
    </row>
    <row r="1388" spans="1:7" ht="15" customHeight="1" x14ac:dyDescent="0.25">
      <c r="A1388" s="7" t="s">
        <v>3455</v>
      </c>
      <c r="B1388" s="7" t="s">
        <v>2969</v>
      </c>
      <c r="C1388" s="8" t="s">
        <v>3456</v>
      </c>
      <c r="D1388" s="8" t="s">
        <v>3010</v>
      </c>
      <c r="E1388" s="8" t="s">
        <v>1279</v>
      </c>
      <c r="F1388" s="8" t="s">
        <v>86</v>
      </c>
      <c r="G1388" s="8" t="s">
        <v>3457</v>
      </c>
    </row>
    <row r="1389" spans="1:7" ht="15" customHeight="1" x14ac:dyDescent="0.25">
      <c r="A1389" s="7" t="s">
        <v>3458</v>
      </c>
      <c r="B1389" s="7" t="s">
        <v>2482</v>
      </c>
      <c r="C1389" s="8" t="s">
        <v>3459</v>
      </c>
      <c r="D1389" s="8" t="s">
        <v>195</v>
      </c>
      <c r="E1389" s="8" t="s">
        <v>262</v>
      </c>
      <c r="F1389" s="8" t="s">
        <v>65</v>
      </c>
      <c r="G1389" s="8" t="s">
        <v>3460</v>
      </c>
    </row>
    <row r="1390" spans="1:7" ht="15" customHeight="1" x14ac:dyDescent="0.25">
      <c r="A1390" s="7" t="s">
        <v>3461</v>
      </c>
      <c r="B1390" s="7" t="s">
        <v>2489</v>
      </c>
      <c r="C1390" s="8" t="s">
        <v>250</v>
      </c>
      <c r="D1390" s="8" t="s">
        <v>910</v>
      </c>
      <c r="E1390" s="8" t="s">
        <v>352</v>
      </c>
      <c r="F1390" s="8" t="s">
        <v>757</v>
      </c>
      <c r="G1390" s="8" t="s">
        <v>3462</v>
      </c>
    </row>
    <row r="1391" spans="1:7" ht="15" customHeight="1" x14ac:dyDescent="0.25">
      <c r="A1391" s="7" t="s">
        <v>3463</v>
      </c>
      <c r="B1391" s="7" t="s">
        <v>2451</v>
      </c>
      <c r="C1391" s="8" t="s">
        <v>3464</v>
      </c>
      <c r="D1391" s="8" t="s">
        <v>149</v>
      </c>
      <c r="E1391" s="8" t="s">
        <v>228</v>
      </c>
      <c r="F1391" s="8" t="s">
        <v>65</v>
      </c>
      <c r="G1391" s="8" t="s">
        <v>3465</v>
      </c>
    </row>
    <row r="1392" spans="1:7" ht="15" customHeight="1" x14ac:dyDescent="0.25">
      <c r="A1392" s="7" t="s">
        <v>3466</v>
      </c>
      <c r="B1392" s="7" t="s">
        <v>2567</v>
      </c>
      <c r="C1392" s="8" t="s">
        <v>3467</v>
      </c>
      <c r="D1392" s="8" t="s">
        <v>2769</v>
      </c>
      <c r="E1392" s="8" t="s">
        <v>360</v>
      </c>
      <c r="F1392" s="8" t="s">
        <v>39</v>
      </c>
      <c r="G1392" s="8" t="s">
        <v>3468</v>
      </c>
    </row>
    <row r="1393" spans="1:7" ht="15" customHeight="1" x14ac:dyDescent="0.25">
      <c r="A1393" s="7" t="s">
        <v>3469</v>
      </c>
      <c r="B1393" s="7" t="s">
        <v>2592</v>
      </c>
      <c r="C1393" s="8" t="s">
        <v>3347</v>
      </c>
      <c r="D1393" s="8" t="s">
        <v>2258</v>
      </c>
      <c r="E1393" s="8" t="s">
        <v>541</v>
      </c>
      <c r="F1393" s="8" t="s">
        <v>39</v>
      </c>
      <c r="G1393" s="8" t="s">
        <v>3470</v>
      </c>
    </row>
    <row r="1394" spans="1:7" ht="15" customHeight="1" x14ac:dyDescent="0.25">
      <c r="A1394" s="7" t="s">
        <v>3471</v>
      </c>
      <c r="B1394" s="7" t="s">
        <v>2539</v>
      </c>
      <c r="C1394" s="8" t="s">
        <v>31</v>
      </c>
      <c r="D1394" s="8" t="s">
        <v>25</v>
      </c>
      <c r="E1394" s="8" t="s">
        <v>70</v>
      </c>
      <c r="F1394" s="8" t="s">
        <v>123</v>
      </c>
      <c r="G1394" s="8" t="s">
        <v>3472</v>
      </c>
    </row>
    <row r="1395" spans="1:7" ht="15" customHeight="1" x14ac:dyDescent="0.25">
      <c r="A1395" s="7" t="s">
        <v>3473</v>
      </c>
      <c r="B1395" s="7" t="s">
        <v>2448</v>
      </c>
      <c r="C1395" s="8" t="s">
        <v>122</v>
      </c>
      <c r="D1395" s="8" t="s">
        <v>165</v>
      </c>
      <c r="E1395" s="8" t="s">
        <v>44</v>
      </c>
      <c r="F1395" s="8" t="s">
        <v>417</v>
      </c>
      <c r="G1395" s="8" t="s">
        <v>2269</v>
      </c>
    </row>
    <row r="1396" spans="1:7" ht="15" customHeight="1" x14ac:dyDescent="0.25">
      <c r="A1396" s="7" t="s">
        <v>3474</v>
      </c>
      <c r="B1396" s="7" t="s">
        <v>2479</v>
      </c>
      <c r="C1396" s="8" t="s">
        <v>614</v>
      </c>
      <c r="D1396" s="8" t="s">
        <v>69</v>
      </c>
      <c r="E1396" s="8" t="s">
        <v>222</v>
      </c>
      <c r="F1396" s="8" t="s">
        <v>2445</v>
      </c>
      <c r="G1396" s="8" t="s">
        <v>267</v>
      </c>
    </row>
    <row r="1397" spans="1:7" ht="15" customHeight="1" x14ac:dyDescent="0.25">
      <c r="A1397" s="7" t="s">
        <v>3475</v>
      </c>
      <c r="B1397" s="7" t="s">
        <v>2941</v>
      </c>
      <c r="C1397" s="8" t="s">
        <v>3476</v>
      </c>
      <c r="D1397" s="8" t="s">
        <v>31</v>
      </c>
      <c r="E1397" s="8" t="s">
        <v>352</v>
      </c>
      <c r="F1397" s="8" t="s">
        <v>59</v>
      </c>
      <c r="G1397" s="8" t="s">
        <v>3477</v>
      </c>
    </row>
    <row r="1398" spans="1:7" ht="15" customHeight="1" x14ac:dyDescent="0.25">
      <c r="A1398" s="7" t="s">
        <v>3478</v>
      </c>
      <c r="B1398" s="7" t="s">
        <v>2557</v>
      </c>
      <c r="C1398" s="8" t="s">
        <v>57</v>
      </c>
      <c r="D1398" s="8" t="s">
        <v>327</v>
      </c>
      <c r="E1398" s="8" t="s">
        <v>228</v>
      </c>
      <c r="F1398" s="8" t="s">
        <v>39</v>
      </c>
      <c r="G1398" s="8" t="s">
        <v>3479</v>
      </c>
    </row>
    <row r="1399" spans="1:7" ht="15" customHeight="1" x14ac:dyDescent="0.25">
      <c r="A1399" s="7" t="s">
        <v>3480</v>
      </c>
      <c r="B1399" s="7" t="s">
        <v>2557</v>
      </c>
      <c r="C1399" s="8" t="s">
        <v>3481</v>
      </c>
      <c r="D1399" s="8" t="s">
        <v>3482</v>
      </c>
      <c r="E1399" s="8" t="s">
        <v>144</v>
      </c>
      <c r="F1399" s="8" t="s">
        <v>86</v>
      </c>
      <c r="G1399" s="8" t="s">
        <v>2943</v>
      </c>
    </row>
    <row r="1400" spans="1:7" ht="15" customHeight="1" x14ac:dyDescent="0.25">
      <c r="A1400" s="7" t="s">
        <v>3483</v>
      </c>
      <c r="B1400" s="7" t="s">
        <v>2436</v>
      </c>
      <c r="C1400" s="8" t="s">
        <v>2578</v>
      </c>
      <c r="D1400" s="8" t="s">
        <v>693</v>
      </c>
      <c r="E1400" s="8" t="s">
        <v>222</v>
      </c>
      <c r="F1400" s="8" t="s">
        <v>65</v>
      </c>
      <c r="G1400" s="8" t="s">
        <v>3484</v>
      </c>
    </row>
    <row r="1401" spans="1:7" ht="15" customHeight="1" x14ac:dyDescent="0.25">
      <c r="A1401" s="7" t="s">
        <v>3485</v>
      </c>
      <c r="B1401" s="7" t="s">
        <v>3486</v>
      </c>
      <c r="C1401" s="8" t="s">
        <v>26</v>
      </c>
      <c r="D1401" s="8" t="s">
        <v>467</v>
      </c>
      <c r="E1401" s="8" t="s">
        <v>247</v>
      </c>
      <c r="F1401" s="8" t="s">
        <v>119</v>
      </c>
      <c r="G1401" s="8" t="s">
        <v>3487</v>
      </c>
    </row>
    <row r="1402" spans="1:7" ht="15" customHeight="1" x14ac:dyDescent="0.25">
      <c r="A1402" s="7" t="s">
        <v>3488</v>
      </c>
      <c r="B1402" s="7" t="s">
        <v>2592</v>
      </c>
      <c r="C1402" s="8" t="s">
        <v>3489</v>
      </c>
      <c r="D1402" s="8" t="s">
        <v>3204</v>
      </c>
      <c r="E1402" s="8" t="s">
        <v>515</v>
      </c>
      <c r="F1402" s="8" t="s">
        <v>2445</v>
      </c>
      <c r="G1402" s="8" t="s">
        <v>3490</v>
      </c>
    </row>
    <row r="1403" spans="1:7" ht="15" customHeight="1" x14ac:dyDescent="0.25">
      <c r="A1403" s="7" t="s">
        <v>3491</v>
      </c>
      <c r="B1403" s="7" t="s">
        <v>2508</v>
      </c>
      <c r="C1403" s="8" t="s">
        <v>2633</v>
      </c>
      <c r="D1403" s="8" t="s">
        <v>1725</v>
      </c>
      <c r="E1403" s="8" t="s">
        <v>602</v>
      </c>
      <c r="F1403" s="8" t="s">
        <v>39</v>
      </c>
      <c r="G1403" s="8" t="s">
        <v>3492</v>
      </c>
    </row>
    <row r="1404" spans="1:7" ht="15" customHeight="1" x14ac:dyDescent="0.25">
      <c r="A1404" s="7" t="s">
        <v>3493</v>
      </c>
      <c r="B1404" s="7" t="s">
        <v>2592</v>
      </c>
      <c r="C1404" s="8" t="s">
        <v>220</v>
      </c>
      <c r="D1404" s="8" t="s">
        <v>1835</v>
      </c>
      <c r="E1404" s="8" t="s">
        <v>73</v>
      </c>
      <c r="F1404" s="8" t="s">
        <v>28</v>
      </c>
      <c r="G1404" s="8" t="s">
        <v>3494</v>
      </c>
    </row>
    <row r="1405" spans="1:7" ht="15" customHeight="1" x14ac:dyDescent="0.25">
      <c r="A1405" s="7" t="s">
        <v>3495</v>
      </c>
      <c r="B1405" s="7" t="s">
        <v>2436</v>
      </c>
      <c r="C1405" s="8" t="s">
        <v>3496</v>
      </c>
      <c r="D1405" s="8" t="s">
        <v>2610</v>
      </c>
      <c r="E1405" s="8" t="s">
        <v>239</v>
      </c>
      <c r="F1405" s="8" t="s">
        <v>59</v>
      </c>
      <c r="G1405" s="8" t="s">
        <v>3497</v>
      </c>
    </row>
    <row r="1406" spans="1:7" ht="15" customHeight="1" x14ac:dyDescent="0.25">
      <c r="A1406" s="7" t="s">
        <v>3498</v>
      </c>
      <c r="B1406" s="7" t="s">
        <v>2557</v>
      </c>
      <c r="C1406" s="8" t="s">
        <v>3148</v>
      </c>
      <c r="D1406" s="8" t="s">
        <v>3119</v>
      </c>
      <c r="E1406" s="8" t="s">
        <v>1114</v>
      </c>
      <c r="F1406" s="8" t="s">
        <v>123</v>
      </c>
      <c r="G1406" s="8" t="s">
        <v>3499</v>
      </c>
    </row>
    <row r="1407" spans="1:7" ht="15" customHeight="1" x14ac:dyDescent="0.25">
      <c r="A1407" s="7" t="s">
        <v>3500</v>
      </c>
      <c r="B1407" s="7" t="s">
        <v>2682</v>
      </c>
      <c r="C1407" s="8" t="s">
        <v>3501</v>
      </c>
      <c r="D1407" s="8" t="s">
        <v>817</v>
      </c>
      <c r="E1407" s="8" t="s">
        <v>118</v>
      </c>
      <c r="F1407" s="8" t="s">
        <v>59</v>
      </c>
      <c r="G1407" s="8" t="s">
        <v>3502</v>
      </c>
    </row>
    <row r="1408" spans="1:7" ht="15" customHeight="1" x14ac:dyDescent="0.25">
      <c r="A1408" s="7" t="s">
        <v>3503</v>
      </c>
      <c r="B1408" s="7" t="s">
        <v>2505</v>
      </c>
      <c r="C1408" s="8" t="s">
        <v>220</v>
      </c>
      <c r="D1408" s="8" t="s">
        <v>37</v>
      </c>
      <c r="E1408" s="8" t="s">
        <v>296</v>
      </c>
      <c r="F1408" s="8" t="s">
        <v>28</v>
      </c>
      <c r="G1408" s="8" t="s">
        <v>3504</v>
      </c>
    </row>
    <row r="1409" spans="1:7" ht="15" customHeight="1" x14ac:dyDescent="0.25">
      <c r="A1409" s="7" t="s">
        <v>3505</v>
      </c>
      <c r="B1409" s="7" t="s">
        <v>3156</v>
      </c>
      <c r="C1409" s="8" t="s">
        <v>3506</v>
      </c>
      <c r="D1409" s="8" t="s">
        <v>1976</v>
      </c>
      <c r="E1409" s="8" t="s">
        <v>33</v>
      </c>
      <c r="F1409" s="8" t="s">
        <v>65</v>
      </c>
      <c r="G1409" s="8" t="s">
        <v>3507</v>
      </c>
    </row>
    <row r="1410" spans="1:7" ht="15" customHeight="1" x14ac:dyDescent="0.25">
      <c r="A1410" s="7" t="s">
        <v>3508</v>
      </c>
      <c r="B1410" s="7" t="s">
        <v>2448</v>
      </c>
      <c r="C1410" s="8" t="s">
        <v>159</v>
      </c>
      <c r="D1410" s="8" t="s">
        <v>79</v>
      </c>
      <c r="E1410" s="8" t="s">
        <v>257</v>
      </c>
      <c r="F1410" s="8" t="s">
        <v>214</v>
      </c>
      <c r="G1410" s="8" t="s">
        <v>3509</v>
      </c>
    </row>
    <row r="1411" spans="1:7" ht="15" customHeight="1" x14ac:dyDescent="0.25">
      <c r="A1411" s="7" t="s">
        <v>3510</v>
      </c>
      <c r="B1411" s="7" t="s">
        <v>3430</v>
      </c>
      <c r="C1411" s="8" t="s">
        <v>51</v>
      </c>
      <c r="D1411" s="8" t="s">
        <v>2287</v>
      </c>
      <c r="E1411" s="8" t="s">
        <v>70</v>
      </c>
      <c r="F1411" s="8" t="s">
        <v>59</v>
      </c>
      <c r="G1411" s="8" t="s">
        <v>3511</v>
      </c>
    </row>
    <row r="1412" spans="1:7" ht="15" customHeight="1" x14ac:dyDescent="0.25">
      <c r="A1412" s="7" t="s">
        <v>3512</v>
      </c>
      <c r="B1412" s="7" t="s">
        <v>2486</v>
      </c>
      <c r="C1412" s="8" t="s">
        <v>2123</v>
      </c>
      <c r="D1412" s="8" t="s">
        <v>3513</v>
      </c>
      <c r="E1412" s="8" t="s">
        <v>797</v>
      </c>
      <c r="F1412" s="8" t="s">
        <v>119</v>
      </c>
      <c r="G1412" s="8" t="s">
        <v>3514</v>
      </c>
    </row>
    <row r="1413" spans="1:7" ht="15" customHeight="1" x14ac:dyDescent="0.25">
      <c r="A1413" s="7" t="s">
        <v>3515</v>
      </c>
      <c r="B1413" s="7" t="s">
        <v>2451</v>
      </c>
      <c r="C1413" s="8" t="s">
        <v>592</v>
      </c>
      <c r="D1413" s="8" t="s">
        <v>162</v>
      </c>
      <c r="E1413" s="8" t="s">
        <v>3234</v>
      </c>
      <c r="F1413" s="8" t="s">
        <v>28</v>
      </c>
      <c r="G1413" s="8" t="s">
        <v>3516</v>
      </c>
    </row>
    <row r="1414" spans="1:7" ht="15" customHeight="1" x14ac:dyDescent="0.25">
      <c r="A1414" s="7" t="s">
        <v>3517</v>
      </c>
      <c r="B1414" s="7" t="s">
        <v>2878</v>
      </c>
      <c r="C1414" s="8" t="s">
        <v>3373</v>
      </c>
      <c r="D1414" s="8" t="s">
        <v>3518</v>
      </c>
      <c r="E1414" s="8" t="s">
        <v>73</v>
      </c>
      <c r="F1414" s="8" t="s">
        <v>65</v>
      </c>
      <c r="G1414" s="8" t="s">
        <v>3519</v>
      </c>
    </row>
    <row r="1415" spans="1:7" ht="15" customHeight="1" x14ac:dyDescent="0.25">
      <c r="A1415" s="7" t="s">
        <v>3520</v>
      </c>
      <c r="B1415" s="7" t="s">
        <v>2486</v>
      </c>
      <c r="C1415" s="8" t="s">
        <v>3521</v>
      </c>
      <c r="D1415" s="8" t="s">
        <v>1068</v>
      </c>
      <c r="E1415" s="8" t="s">
        <v>1078</v>
      </c>
      <c r="F1415" s="8" t="s">
        <v>2445</v>
      </c>
      <c r="G1415" s="8" t="s">
        <v>3522</v>
      </c>
    </row>
    <row r="1416" spans="1:7" ht="15" customHeight="1" x14ac:dyDescent="0.25">
      <c r="A1416" s="7" t="s">
        <v>3523</v>
      </c>
      <c r="B1416" s="7" t="s">
        <v>2479</v>
      </c>
      <c r="C1416" s="8" t="s">
        <v>2545</v>
      </c>
      <c r="D1416" s="8" t="s">
        <v>1345</v>
      </c>
      <c r="E1416" s="8" t="s">
        <v>247</v>
      </c>
      <c r="F1416" s="8" t="s">
        <v>28</v>
      </c>
      <c r="G1416" s="8" t="s">
        <v>3524</v>
      </c>
    </row>
    <row r="1417" spans="1:7" ht="15" customHeight="1" x14ac:dyDescent="0.25">
      <c r="A1417" s="7" t="s">
        <v>3525</v>
      </c>
      <c r="B1417" s="7" t="s">
        <v>2467</v>
      </c>
      <c r="C1417" s="8" t="s">
        <v>3526</v>
      </c>
      <c r="D1417" s="8" t="s">
        <v>2572</v>
      </c>
      <c r="E1417" s="8" t="s">
        <v>463</v>
      </c>
      <c r="F1417" s="8" t="s">
        <v>28</v>
      </c>
      <c r="G1417" s="8" t="s">
        <v>3527</v>
      </c>
    </row>
    <row r="1418" spans="1:7" ht="15" customHeight="1" x14ac:dyDescent="0.25">
      <c r="A1418" s="7" t="s">
        <v>3528</v>
      </c>
      <c r="B1418" s="7" t="s">
        <v>2878</v>
      </c>
      <c r="C1418" s="8" t="s">
        <v>702</v>
      </c>
      <c r="D1418" s="8" t="s">
        <v>102</v>
      </c>
      <c r="E1418" s="8" t="s">
        <v>169</v>
      </c>
      <c r="F1418" s="8" t="s">
        <v>119</v>
      </c>
      <c r="G1418" s="8" t="s">
        <v>3529</v>
      </c>
    </row>
    <row r="1419" spans="1:7" ht="15" customHeight="1" x14ac:dyDescent="0.25">
      <c r="A1419" s="7" t="s">
        <v>3530</v>
      </c>
      <c r="B1419" s="7" t="s">
        <v>2539</v>
      </c>
      <c r="C1419" s="8" t="s">
        <v>3531</v>
      </c>
      <c r="D1419" s="8" t="s">
        <v>79</v>
      </c>
      <c r="E1419" s="8" t="s">
        <v>150</v>
      </c>
      <c r="F1419" s="8" t="s">
        <v>363</v>
      </c>
      <c r="G1419" s="8" t="s">
        <v>3529</v>
      </c>
    </row>
    <row r="1420" spans="1:7" ht="15" customHeight="1" x14ac:dyDescent="0.25">
      <c r="A1420" s="7" t="s">
        <v>3532</v>
      </c>
      <c r="B1420" s="7" t="s">
        <v>3533</v>
      </c>
      <c r="C1420" s="8" t="s">
        <v>149</v>
      </c>
      <c r="D1420" s="8" t="s">
        <v>285</v>
      </c>
      <c r="E1420" s="8" t="s">
        <v>73</v>
      </c>
      <c r="F1420" s="8" t="s">
        <v>86</v>
      </c>
      <c r="G1420" s="8" t="s">
        <v>1959</v>
      </c>
    </row>
    <row r="1421" spans="1:7" ht="15" customHeight="1" x14ac:dyDescent="0.25">
      <c r="A1421" s="7" t="s">
        <v>3534</v>
      </c>
      <c r="B1421" s="7" t="s">
        <v>2587</v>
      </c>
      <c r="C1421" s="8" t="s">
        <v>3535</v>
      </c>
      <c r="D1421" s="8" t="s">
        <v>1701</v>
      </c>
      <c r="E1421" s="8" t="s">
        <v>211</v>
      </c>
      <c r="F1421" s="8" t="s">
        <v>59</v>
      </c>
      <c r="G1421" s="8" t="s">
        <v>3536</v>
      </c>
    </row>
    <row r="1422" spans="1:7" ht="15" customHeight="1" x14ac:dyDescent="0.25">
      <c r="A1422" s="7" t="s">
        <v>3537</v>
      </c>
      <c r="B1422" s="7" t="s">
        <v>3430</v>
      </c>
      <c r="C1422" s="8" t="s">
        <v>3538</v>
      </c>
      <c r="D1422" s="8" t="s">
        <v>2025</v>
      </c>
      <c r="E1422" s="8" t="s">
        <v>453</v>
      </c>
      <c r="F1422" s="8" t="s">
        <v>28</v>
      </c>
      <c r="G1422" s="8" t="s">
        <v>1434</v>
      </c>
    </row>
    <row r="1423" spans="1:7" ht="15" customHeight="1" x14ac:dyDescent="0.25">
      <c r="A1423" s="7" t="s">
        <v>3539</v>
      </c>
      <c r="B1423" s="7" t="s">
        <v>2448</v>
      </c>
      <c r="C1423" s="8" t="s">
        <v>3540</v>
      </c>
      <c r="D1423" s="8" t="s">
        <v>69</v>
      </c>
      <c r="E1423" s="8" t="s">
        <v>76</v>
      </c>
      <c r="F1423" s="8" t="s">
        <v>65</v>
      </c>
      <c r="G1423" s="8" t="s">
        <v>3541</v>
      </c>
    </row>
    <row r="1424" spans="1:7" ht="15" customHeight="1" x14ac:dyDescent="0.25">
      <c r="A1424" s="7" t="s">
        <v>3542</v>
      </c>
      <c r="B1424" s="7" t="s">
        <v>3543</v>
      </c>
      <c r="C1424" s="8" t="s">
        <v>43</v>
      </c>
      <c r="D1424" s="8" t="s">
        <v>3003</v>
      </c>
      <c r="E1424" s="8" t="s">
        <v>453</v>
      </c>
      <c r="F1424" s="8" t="s">
        <v>59</v>
      </c>
      <c r="G1424" s="8" t="s">
        <v>3544</v>
      </c>
    </row>
    <row r="1425" spans="1:7" ht="15" customHeight="1" x14ac:dyDescent="0.25">
      <c r="A1425" s="7" t="s">
        <v>3545</v>
      </c>
      <c r="B1425" s="7" t="s">
        <v>2467</v>
      </c>
      <c r="C1425" s="8" t="s">
        <v>3546</v>
      </c>
      <c r="D1425" s="8" t="s">
        <v>3547</v>
      </c>
      <c r="E1425" s="8" t="s">
        <v>453</v>
      </c>
      <c r="F1425" s="8" t="s">
        <v>28</v>
      </c>
      <c r="G1425" s="8" t="s">
        <v>3548</v>
      </c>
    </row>
    <row r="1426" spans="1:7" ht="15" customHeight="1" x14ac:dyDescent="0.25">
      <c r="A1426" s="7" t="s">
        <v>3549</v>
      </c>
      <c r="B1426" s="7" t="s">
        <v>2755</v>
      </c>
      <c r="C1426" s="8" t="s">
        <v>3550</v>
      </c>
      <c r="D1426" s="8" t="s">
        <v>2916</v>
      </c>
      <c r="E1426" s="8" t="s">
        <v>942</v>
      </c>
      <c r="F1426" s="8" t="s">
        <v>59</v>
      </c>
      <c r="G1426" s="8" t="s">
        <v>609</v>
      </c>
    </row>
    <row r="1427" spans="1:7" ht="15" customHeight="1" x14ac:dyDescent="0.25">
      <c r="A1427" s="7" t="s">
        <v>3551</v>
      </c>
      <c r="B1427" s="7" t="s">
        <v>2448</v>
      </c>
      <c r="C1427" s="8" t="s">
        <v>1043</v>
      </c>
      <c r="D1427" s="8" t="s">
        <v>165</v>
      </c>
      <c r="E1427" s="8" t="s">
        <v>107</v>
      </c>
      <c r="F1427" s="8" t="s">
        <v>39</v>
      </c>
      <c r="G1427" s="8" t="s">
        <v>3552</v>
      </c>
    </row>
    <row r="1428" spans="1:7" ht="15" customHeight="1" x14ac:dyDescent="0.25">
      <c r="A1428" s="7" t="s">
        <v>3553</v>
      </c>
      <c r="B1428" s="7" t="s">
        <v>2436</v>
      </c>
      <c r="C1428" s="8" t="s">
        <v>2553</v>
      </c>
      <c r="D1428" s="8" t="s">
        <v>2865</v>
      </c>
      <c r="E1428" s="8" t="s">
        <v>453</v>
      </c>
      <c r="F1428" s="8" t="s">
        <v>39</v>
      </c>
      <c r="G1428" s="8" t="s">
        <v>3554</v>
      </c>
    </row>
    <row r="1429" spans="1:7" ht="15" customHeight="1" x14ac:dyDescent="0.25">
      <c r="A1429" s="7" t="s">
        <v>3555</v>
      </c>
      <c r="B1429" s="7" t="s">
        <v>2486</v>
      </c>
      <c r="C1429" s="8" t="s">
        <v>220</v>
      </c>
      <c r="D1429" s="8" t="s">
        <v>1342</v>
      </c>
      <c r="E1429" s="8" t="s">
        <v>94</v>
      </c>
      <c r="F1429" s="8" t="s">
        <v>363</v>
      </c>
      <c r="G1429" s="8" t="s">
        <v>3556</v>
      </c>
    </row>
    <row r="1430" spans="1:7" ht="15" customHeight="1" x14ac:dyDescent="0.25">
      <c r="A1430" s="7" t="s">
        <v>3557</v>
      </c>
      <c r="B1430" s="7" t="s">
        <v>2486</v>
      </c>
      <c r="C1430" s="8" t="s">
        <v>3443</v>
      </c>
      <c r="D1430" s="8" t="s">
        <v>3558</v>
      </c>
      <c r="E1430" s="8" t="s">
        <v>797</v>
      </c>
      <c r="F1430" s="8" t="s">
        <v>476</v>
      </c>
      <c r="G1430" s="8" t="s">
        <v>3559</v>
      </c>
    </row>
    <row r="1431" spans="1:7" ht="15" customHeight="1" x14ac:dyDescent="0.25">
      <c r="A1431" s="7" t="s">
        <v>3560</v>
      </c>
      <c r="B1431" s="7" t="s">
        <v>2543</v>
      </c>
      <c r="C1431" s="8" t="s">
        <v>117</v>
      </c>
      <c r="D1431" s="8" t="s">
        <v>1335</v>
      </c>
      <c r="E1431" s="8" t="s">
        <v>262</v>
      </c>
      <c r="F1431" s="8" t="s">
        <v>214</v>
      </c>
      <c r="G1431" s="8" t="s">
        <v>3561</v>
      </c>
    </row>
    <row r="1432" spans="1:7" ht="15" customHeight="1" x14ac:dyDescent="0.25">
      <c r="A1432" s="7" t="s">
        <v>3562</v>
      </c>
      <c r="B1432" s="7" t="s">
        <v>3245</v>
      </c>
      <c r="C1432" s="8" t="s">
        <v>795</v>
      </c>
      <c r="D1432" s="8" t="s">
        <v>331</v>
      </c>
      <c r="E1432" s="8" t="s">
        <v>296</v>
      </c>
      <c r="F1432" s="8" t="s">
        <v>59</v>
      </c>
      <c r="G1432" s="8" t="s">
        <v>3563</v>
      </c>
    </row>
    <row r="1433" spans="1:7" ht="15" customHeight="1" x14ac:dyDescent="0.25">
      <c r="A1433" s="7" t="s">
        <v>3564</v>
      </c>
      <c r="B1433" s="7" t="s">
        <v>2744</v>
      </c>
      <c r="C1433" s="8" t="s">
        <v>149</v>
      </c>
      <c r="D1433" s="8" t="s">
        <v>3565</v>
      </c>
      <c r="E1433" s="8" t="s">
        <v>581</v>
      </c>
      <c r="F1433" s="8" t="s">
        <v>28</v>
      </c>
      <c r="G1433" s="8" t="s">
        <v>3566</v>
      </c>
    </row>
    <row r="1434" spans="1:7" ht="15" customHeight="1" x14ac:dyDescent="0.25">
      <c r="A1434" s="7" t="s">
        <v>3567</v>
      </c>
      <c r="B1434" s="7" t="s">
        <v>3568</v>
      </c>
      <c r="C1434" s="8" t="s">
        <v>1068</v>
      </c>
      <c r="D1434" s="8" t="s">
        <v>3569</v>
      </c>
      <c r="E1434" s="8" t="s">
        <v>602</v>
      </c>
      <c r="F1434" s="8" t="s">
        <v>65</v>
      </c>
      <c r="G1434" s="8" t="s">
        <v>3570</v>
      </c>
    </row>
    <row r="1435" spans="1:7" ht="15" customHeight="1" x14ac:dyDescent="0.25">
      <c r="A1435" s="7" t="s">
        <v>3571</v>
      </c>
      <c r="B1435" s="7" t="s">
        <v>2656</v>
      </c>
      <c r="C1435" s="8" t="s">
        <v>1335</v>
      </c>
      <c r="D1435" s="8" t="s">
        <v>3572</v>
      </c>
      <c r="E1435" s="8" t="s">
        <v>118</v>
      </c>
      <c r="F1435" s="8" t="s">
        <v>39</v>
      </c>
      <c r="G1435" s="8" t="s">
        <v>3573</v>
      </c>
    </row>
    <row r="1436" spans="1:7" ht="15" customHeight="1" x14ac:dyDescent="0.25">
      <c r="A1436" s="7" t="s">
        <v>3574</v>
      </c>
      <c r="B1436" s="7" t="s">
        <v>3400</v>
      </c>
      <c r="C1436" s="8" t="s">
        <v>220</v>
      </c>
      <c r="D1436" s="8" t="s">
        <v>1345</v>
      </c>
      <c r="E1436" s="8" t="s">
        <v>70</v>
      </c>
      <c r="F1436" s="8" t="s">
        <v>39</v>
      </c>
      <c r="G1436" s="8" t="s">
        <v>3575</v>
      </c>
    </row>
    <row r="1437" spans="1:7" ht="15" customHeight="1" x14ac:dyDescent="0.25">
      <c r="A1437" s="7" t="s">
        <v>3576</v>
      </c>
      <c r="B1437" s="7" t="s">
        <v>2539</v>
      </c>
      <c r="C1437" s="8" t="s">
        <v>83</v>
      </c>
      <c r="D1437" s="8" t="s">
        <v>106</v>
      </c>
      <c r="E1437" s="8" t="s">
        <v>1808</v>
      </c>
      <c r="F1437" s="8" t="s">
        <v>2445</v>
      </c>
      <c r="G1437" s="8" t="s">
        <v>3577</v>
      </c>
    </row>
    <row r="1438" spans="1:7" ht="15" customHeight="1" x14ac:dyDescent="0.25">
      <c r="A1438" s="7" t="s">
        <v>3578</v>
      </c>
      <c r="B1438" s="7" t="s">
        <v>2444</v>
      </c>
      <c r="C1438" s="8" t="s">
        <v>79</v>
      </c>
      <c r="D1438" s="8" t="s">
        <v>220</v>
      </c>
      <c r="E1438" s="8" t="s">
        <v>73</v>
      </c>
      <c r="F1438" s="8" t="s">
        <v>86</v>
      </c>
      <c r="G1438" s="8" t="s">
        <v>3579</v>
      </c>
    </row>
    <row r="1439" spans="1:7" ht="15" customHeight="1" x14ac:dyDescent="0.25">
      <c r="A1439" s="7" t="s">
        <v>3580</v>
      </c>
      <c r="B1439" s="7" t="s">
        <v>2841</v>
      </c>
      <c r="C1439" s="8" t="s">
        <v>2623</v>
      </c>
      <c r="D1439" s="8" t="s">
        <v>1056</v>
      </c>
      <c r="E1439" s="8" t="s">
        <v>103</v>
      </c>
      <c r="F1439" s="8" t="s">
        <v>28</v>
      </c>
      <c r="G1439" s="8" t="s">
        <v>3581</v>
      </c>
    </row>
    <row r="1440" spans="1:7" ht="15" customHeight="1" x14ac:dyDescent="0.25">
      <c r="A1440" s="7" t="s">
        <v>3582</v>
      </c>
      <c r="B1440" s="7" t="s">
        <v>2536</v>
      </c>
      <c r="C1440" s="8" t="s">
        <v>3583</v>
      </c>
      <c r="D1440" s="8" t="s">
        <v>3584</v>
      </c>
      <c r="E1440" s="8" t="s">
        <v>107</v>
      </c>
      <c r="F1440" s="8" t="s">
        <v>119</v>
      </c>
      <c r="G1440" s="8" t="s">
        <v>3585</v>
      </c>
    </row>
    <row r="1441" spans="1:7" ht="15" customHeight="1" x14ac:dyDescent="0.25">
      <c r="A1441" s="7" t="s">
        <v>3586</v>
      </c>
      <c r="B1441" s="7" t="s">
        <v>3587</v>
      </c>
      <c r="C1441" s="8" t="s">
        <v>3588</v>
      </c>
      <c r="D1441" s="8" t="s">
        <v>3039</v>
      </c>
      <c r="E1441" s="8" t="s">
        <v>463</v>
      </c>
      <c r="F1441" s="8" t="s">
        <v>59</v>
      </c>
      <c r="G1441" s="8" t="s">
        <v>3589</v>
      </c>
    </row>
    <row r="1442" spans="1:7" ht="15" customHeight="1" x14ac:dyDescent="0.25">
      <c r="A1442" s="7" t="s">
        <v>3590</v>
      </c>
      <c r="B1442" s="7" t="s">
        <v>2755</v>
      </c>
      <c r="C1442" s="8" t="s">
        <v>31</v>
      </c>
      <c r="D1442" s="8" t="s">
        <v>2054</v>
      </c>
      <c r="E1442" s="8" t="s">
        <v>70</v>
      </c>
      <c r="F1442" s="8" t="s">
        <v>59</v>
      </c>
      <c r="G1442" s="8" t="s">
        <v>3591</v>
      </c>
    </row>
    <row r="1443" spans="1:7" ht="15" customHeight="1" x14ac:dyDescent="0.25">
      <c r="A1443" s="7" t="s">
        <v>3592</v>
      </c>
      <c r="B1443" s="7" t="s">
        <v>2436</v>
      </c>
      <c r="C1443" s="8" t="s">
        <v>3593</v>
      </c>
      <c r="D1443" s="8" t="s">
        <v>3594</v>
      </c>
      <c r="E1443" s="8" t="s">
        <v>1073</v>
      </c>
      <c r="F1443" s="8" t="s">
        <v>28</v>
      </c>
      <c r="G1443" s="8" t="s">
        <v>3595</v>
      </c>
    </row>
    <row r="1444" spans="1:7" ht="15" customHeight="1" x14ac:dyDescent="0.25">
      <c r="A1444" s="7" t="s">
        <v>3596</v>
      </c>
      <c r="B1444" s="7" t="s">
        <v>2656</v>
      </c>
      <c r="C1444" s="8" t="s">
        <v>221</v>
      </c>
      <c r="D1444" s="8" t="s">
        <v>3597</v>
      </c>
      <c r="E1444" s="8" t="s">
        <v>182</v>
      </c>
      <c r="F1444" s="8" t="s">
        <v>28</v>
      </c>
      <c r="G1444" s="8" t="s">
        <v>3598</v>
      </c>
    </row>
    <row r="1445" spans="1:7" ht="15" customHeight="1" x14ac:dyDescent="0.25">
      <c r="A1445" s="7" t="s">
        <v>3599</v>
      </c>
      <c r="B1445" s="7" t="s">
        <v>2749</v>
      </c>
      <c r="C1445" s="8" t="s">
        <v>285</v>
      </c>
      <c r="D1445" s="8" t="s">
        <v>2575</v>
      </c>
      <c r="E1445" s="8" t="s">
        <v>360</v>
      </c>
      <c r="F1445" s="8" t="s">
        <v>2445</v>
      </c>
      <c r="G1445" s="8" t="s">
        <v>3600</v>
      </c>
    </row>
    <row r="1446" spans="1:7" ht="15" customHeight="1" x14ac:dyDescent="0.25">
      <c r="A1446" s="7" t="s">
        <v>3601</v>
      </c>
      <c r="B1446" s="7" t="s">
        <v>3602</v>
      </c>
      <c r="C1446" s="8" t="s">
        <v>3603</v>
      </c>
      <c r="D1446" s="8" t="s">
        <v>225</v>
      </c>
      <c r="E1446" s="8" t="s">
        <v>1078</v>
      </c>
      <c r="F1446" s="8" t="s">
        <v>65</v>
      </c>
      <c r="G1446" s="8" t="s">
        <v>3604</v>
      </c>
    </row>
    <row r="1447" spans="1:7" ht="15" customHeight="1" x14ac:dyDescent="0.25">
      <c r="A1447" s="7" t="s">
        <v>3605</v>
      </c>
      <c r="B1447" s="7" t="s">
        <v>3156</v>
      </c>
      <c r="C1447" s="8" t="s">
        <v>57</v>
      </c>
      <c r="D1447" s="8" t="s">
        <v>79</v>
      </c>
      <c r="E1447" s="8" t="s">
        <v>107</v>
      </c>
      <c r="F1447" s="8" t="s">
        <v>214</v>
      </c>
      <c r="G1447" s="8" t="s">
        <v>3477</v>
      </c>
    </row>
    <row r="1448" spans="1:7" ht="15" customHeight="1" x14ac:dyDescent="0.25">
      <c r="A1448" s="7" t="s">
        <v>3606</v>
      </c>
      <c r="B1448" s="7" t="s">
        <v>2440</v>
      </c>
      <c r="C1448" s="8" t="s">
        <v>1026</v>
      </c>
      <c r="D1448" s="8" t="s">
        <v>37</v>
      </c>
      <c r="E1448" s="8" t="s">
        <v>113</v>
      </c>
      <c r="F1448" s="8" t="s">
        <v>417</v>
      </c>
      <c r="G1448" s="8" t="s">
        <v>528</v>
      </c>
    </row>
    <row r="1449" spans="1:7" ht="15" customHeight="1" x14ac:dyDescent="0.25">
      <c r="A1449" s="7" t="s">
        <v>3607</v>
      </c>
      <c r="B1449" s="7" t="s">
        <v>2482</v>
      </c>
      <c r="C1449" s="8" t="s">
        <v>3608</v>
      </c>
      <c r="D1449" s="8" t="s">
        <v>79</v>
      </c>
      <c r="E1449" s="8" t="s">
        <v>33</v>
      </c>
      <c r="F1449" s="8" t="s">
        <v>65</v>
      </c>
      <c r="G1449" s="8" t="s">
        <v>3609</v>
      </c>
    </row>
    <row r="1450" spans="1:7" ht="15" customHeight="1" x14ac:dyDescent="0.25">
      <c r="A1450" s="7" t="s">
        <v>3610</v>
      </c>
      <c r="B1450" s="7" t="s">
        <v>3146</v>
      </c>
      <c r="C1450" s="8" t="s">
        <v>62</v>
      </c>
      <c r="D1450" s="8" t="s">
        <v>25</v>
      </c>
      <c r="E1450" s="8" t="s">
        <v>33</v>
      </c>
      <c r="F1450" s="8" t="s">
        <v>214</v>
      </c>
      <c r="G1450" s="8" t="s">
        <v>3611</v>
      </c>
    </row>
    <row r="1451" spans="1:7" ht="15" customHeight="1" x14ac:dyDescent="0.25">
      <c r="A1451" s="7" t="s">
        <v>3612</v>
      </c>
      <c r="B1451" s="7" t="s">
        <v>2755</v>
      </c>
      <c r="C1451" s="8" t="s">
        <v>31</v>
      </c>
      <c r="D1451" s="8" t="s">
        <v>43</v>
      </c>
      <c r="E1451" s="8" t="s">
        <v>139</v>
      </c>
      <c r="F1451" s="8" t="s">
        <v>3613</v>
      </c>
      <c r="G1451" s="8" t="s">
        <v>3614</v>
      </c>
    </row>
    <row r="1452" spans="1:7" ht="15" customHeight="1" x14ac:dyDescent="0.25">
      <c r="A1452" s="7" t="s">
        <v>3615</v>
      </c>
      <c r="B1452" s="7" t="s">
        <v>3400</v>
      </c>
      <c r="C1452" s="8" t="s">
        <v>90</v>
      </c>
      <c r="D1452" s="8" t="s">
        <v>149</v>
      </c>
      <c r="E1452" s="8" t="s">
        <v>76</v>
      </c>
      <c r="F1452" s="8" t="s">
        <v>28</v>
      </c>
      <c r="G1452" s="8" t="s">
        <v>3616</v>
      </c>
    </row>
    <row r="1453" spans="1:7" ht="15" customHeight="1" x14ac:dyDescent="0.25">
      <c r="A1453" s="7" t="s">
        <v>3617</v>
      </c>
      <c r="B1453" s="7" t="s">
        <v>2951</v>
      </c>
      <c r="C1453" s="8" t="s">
        <v>250</v>
      </c>
      <c r="D1453" s="8" t="s">
        <v>221</v>
      </c>
      <c r="E1453" s="8" t="s">
        <v>336</v>
      </c>
      <c r="F1453" s="8" t="s">
        <v>86</v>
      </c>
      <c r="G1453" s="8" t="s">
        <v>3618</v>
      </c>
    </row>
    <row r="1454" spans="1:7" ht="15" customHeight="1" x14ac:dyDescent="0.25">
      <c r="A1454" s="7" t="s">
        <v>3619</v>
      </c>
      <c r="B1454" s="7" t="s">
        <v>2479</v>
      </c>
      <c r="C1454" s="8" t="s">
        <v>3620</v>
      </c>
      <c r="D1454" s="8" t="s">
        <v>69</v>
      </c>
      <c r="E1454" s="8" t="s">
        <v>352</v>
      </c>
      <c r="F1454" s="8" t="s">
        <v>59</v>
      </c>
      <c r="G1454" s="8" t="s">
        <v>3621</v>
      </c>
    </row>
    <row r="1455" spans="1:7" ht="15" customHeight="1" x14ac:dyDescent="0.25">
      <c r="A1455" s="7" t="s">
        <v>3622</v>
      </c>
      <c r="B1455" s="7" t="s">
        <v>2444</v>
      </c>
      <c r="C1455" s="8" t="s">
        <v>3623</v>
      </c>
      <c r="D1455" s="8" t="s">
        <v>3506</v>
      </c>
      <c r="E1455" s="8" t="s">
        <v>541</v>
      </c>
      <c r="F1455" s="8" t="s">
        <v>363</v>
      </c>
      <c r="G1455" s="8" t="s">
        <v>3624</v>
      </c>
    </row>
    <row r="1456" spans="1:7" ht="15" customHeight="1" x14ac:dyDescent="0.25">
      <c r="A1456" s="7" t="s">
        <v>3625</v>
      </c>
      <c r="B1456" s="7" t="s">
        <v>2922</v>
      </c>
      <c r="C1456" s="8" t="s">
        <v>3626</v>
      </c>
      <c r="D1456" s="8" t="s">
        <v>3627</v>
      </c>
      <c r="E1456" s="8" t="s">
        <v>70</v>
      </c>
      <c r="F1456" s="8" t="s">
        <v>417</v>
      </c>
      <c r="G1456" s="8" t="s">
        <v>3628</v>
      </c>
    </row>
    <row r="1457" spans="1:7" ht="15" customHeight="1" x14ac:dyDescent="0.25">
      <c r="A1457" s="7" t="s">
        <v>3629</v>
      </c>
      <c r="B1457" s="7" t="s">
        <v>2440</v>
      </c>
      <c r="C1457" s="8" t="s">
        <v>3630</v>
      </c>
      <c r="D1457" s="8" t="s">
        <v>1948</v>
      </c>
      <c r="E1457" s="8" t="s">
        <v>1114</v>
      </c>
      <c r="F1457" s="8" t="s">
        <v>59</v>
      </c>
      <c r="G1457" s="8" t="s">
        <v>3631</v>
      </c>
    </row>
    <row r="1458" spans="1:7" ht="15" customHeight="1" x14ac:dyDescent="0.25">
      <c r="A1458" s="7" t="s">
        <v>3632</v>
      </c>
      <c r="B1458" s="7" t="s">
        <v>2627</v>
      </c>
      <c r="C1458" s="8" t="s">
        <v>3633</v>
      </c>
      <c r="D1458" s="8" t="s">
        <v>452</v>
      </c>
      <c r="E1458" s="8" t="s">
        <v>453</v>
      </c>
      <c r="F1458" s="8" t="s">
        <v>486</v>
      </c>
      <c r="G1458" s="8" t="s">
        <v>3634</v>
      </c>
    </row>
    <row r="1459" spans="1:7" ht="15" customHeight="1" x14ac:dyDescent="0.25">
      <c r="A1459" s="7" t="s">
        <v>3635</v>
      </c>
      <c r="B1459" s="7" t="s">
        <v>2436</v>
      </c>
      <c r="C1459" s="8" t="s">
        <v>3100</v>
      </c>
      <c r="D1459" s="8" t="s">
        <v>3100</v>
      </c>
      <c r="E1459" s="8" t="s">
        <v>166</v>
      </c>
      <c r="F1459" s="8" t="s">
        <v>86</v>
      </c>
      <c r="G1459" s="8" t="s">
        <v>3636</v>
      </c>
    </row>
    <row r="1460" spans="1:7" ht="15" customHeight="1" x14ac:dyDescent="0.25">
      <c r="A1460" s="7" t="s">
        <v>3637</v>
      </c>
      <c r="B1460" s="7" t="s">
        <v>2440</v>
      </c>
      <c r="C1460" s="8" t="s">
        <v>584</v>
      </c>
      <c r="D1460" s="8" t="s">
        <v>693</v>
      </c>
      <c r="E1460" s="8" t="s">
        <v>453</v>
      </c>
      <c r="F1460" s="8" t="s">
        <v>214</v>
      </c>
      <c r="G1460" s="8" t="s">
        <v>2952</v>
      </c>
    </row>
    <row r="1461" spans="1:7" ht="15" customHeight="1" x14ac:dyDescent="0.25">
      <c r="A1461" s="7" t="s">
        <v>3638</v>
      </c>
      <c r="B1461" s="7" t="s">
        <v>2448</v>
      </c>
      <c r="C1461" s="8" t="s">
        <v>31</v>
      </c>
      <c r="D1461" s="8" t="s">
        <v>69</v>
      </c>
      <c r="E1461" s="8" t="s">
        <v>169</v>
      </c>
      <c r="F1461" s="8" t="s">
        <v>2639</v>
      </c>
      <c r="G1461" s="8" t="s">
        <v>3253</v>
      </c>
    </row>
    <row r="1462" spans="1:7" ht="15" customHeight="1" x14ac:dyDescent="0.25">
      <c r="A1462" s="7" t="s">
        <v>3639</v>
      </c>
      <c r="B1462" s="7" t="s">
        <v>2755</v>
      </c>
      <c r="C1462" s="8" t="s">
        <v>592</v>
      </c>
      <c r="D1462" s="8" t="s">
        <v>3640</v>
      </c>
      <c r="E1462" s="8" t="s">
        <v>453</v>
      </c>
      <c r="F1462" s="8" t="s">
        <v>2445</v>
      </c>
      <c r="G1462" s="8" t="s">
        <v>3641</v>
      </c>
    </row>
    <row r="1463" spans="1:7" ht="15" customHeight="1" x14ac:dyDescent="0.25">
      <c r="A1463" s="7" t="s">
        <v>3642</v>
      </c>
      <c r="B1463" s="7" t="s">
        <v>2772</v>
      </c>
      <c r="C1463" s="8" t="s">
        <v>3643</v>
      </c>
      <c r="D1463" s="8" t="s">
        <v>3597</v>
      </c>
      <c r="E1463" s="8" t="s">
        <v>144</v>
      </c>
      <c r="F1463" s="8" t="s">
        <v>59</v>
      </c>
      <c r="G1463" s="8" t="s">
        <v>3644</v>
      </c>
    </row>
    <row r="1464" spans="1:7" ht="15" customHeight="1" x14ac:dyDescent="0.25">
      <c r="A1464" s="7" t="s">
        <v>3645</v>
      </c>
      <c r="B1464" s="7" t="s">
        <v>2713</v>
      </c>
      <c r="C1464" s="8" t="s">
        <v>3646</v>
      </c>
      <c r="D1464" s="8" t="s">
        <v>3647</v>
      </c>
      <c r="E1464" s="8" t="s">
        <v>182</v>
      </c>
      <c r="F1464" s="8" t="s">
        <v>214</v>
      </c>
      <c r="G1464" s="8" t="s">
        <v>3648</v>
      </c>
    </row>
    <row r="1465" spans="1:7" ht="15" customHeight="1" x14ac:dyDescent="0.25">
      <c r="A1465" s="7" t="s">
        <v>3649</v>
      </c>
      <c r="B1465" s="7" t="s">
        <v>2744</v>
      </c>
      <c r="C1465" s="8" t="s">
        <v>243</v>
      </c>
      <c r="D1465" s="8" t="s">
        <v>2122</v>
      </c>
      <c r="E1465" s="8" t="s">
        <v>515</v>
      </c>
      <c r="F1465" s="8" t="s">
        <v>2445</v>
      </c>
      <c r="G1465" s="8" t="s">
        <v>3650</v>
      </c>
    </row>
    <row r="1466" spans="1:7" ht="15" customHeight="1" x14ac:dyDescent="0.25">
      <c r="A1466" s="7" t="s">
        <v>3651</v>
      </c>
      <c r="B1466" s="7" t="s">
        <v>2592</v>
      </c>
      <c r="C1466" s="8" t="s">
        <v>3652</v>
      </c>
      <c r="D1466" s="8" t="s">
        <v>3653</v>
      </c>
      <c r="E1466" s="8" t="s">
        <v>350</v>
      </c>
      <c r="F1466" s="8" t="s">
        <v>65</v>
      </c>
      <c r="G1466" s="8" t="s">
        <v>3654</v>
      </c>
    </row>
  </sheetData>
  <pageMargins left="0.3" right="0.3" top="0.4" bottom="0.4"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66"/>
  <sheetViews>
    <sheetView showGridLines="0" zoomScaleNormal="100" workbookViewId="0">
      <pane ySplit="1" topLeftCell="A2" activePane="bottomLeft" state="frozen"/>
      <selection pane="bottomLeft"/>
    </sheetView>
  </sheetViews>
  <sheetFormatPr defaultColWidth="8.7109375" defaultRowHeight="15" x14ac:dyDescent="0.25"/>
  <cols>
    <col min="1" max="1" width="55" style="1" customWidth="1"/>
    <col min="2" max="2" width="16" style="1" customWidth="1"/>
    <col min="3" max="3" width="24" style="1" customWidth="1"/>
    <col min="4" max="4" width="16" style="1" customWidth="1"/>
    <col min="5" max="5" width="14" style="1" customWidth="1"/>
    <col min="6" max="6" width="12" style="1" customWidth="1"/>
    <col min="7" max="7" width="10" style="1" customWidth="1"/>
    <col min="8" max="9" width="14" style="1" customWidth="1"/>
    <col min="10" max="10" width="18" style="1" customWidth="1"/>
    <col min="11" max="12" width="13" style="1" hidden="1" customWidth="1"/>
  </cols>
  <sheetData>
    <row r="1" spans="1:12" ht="15" customHeight="1" x14ac:dyDescent="0.25">
      <c r="A1" s="6" t="s">
        <v>16</v>
      </c>
      <c r="B1" s="6" t="s">
        <v>3655</v>
      </c>
      <c r="C1" s="6" t="s">
        <v>3656</v>
      </c>
      <c r="D1" s="6" t="s">
        <v>3657</v>
      </c>
      <c r="E1" s="6" t="s">
        <v>3658</v>
      </c>
      <c r="F1" s="6" t="s">
        <v>3659</v>
      </c>
      <c r="G1" s="6" t="s">
        <v>3660</v>
      </c>
      <c r="H1" s="6" t="s">
        <v>3661</v>
      </c>
      <c r="I1" s="6" t="s">
        <v>3662</v>
      </c>
      <c r="J1" s="6" t="s">
        <v>3663</v>
      </c>
      <c r="K1" s="9" t="s">
        <v>3664</v>
      </c>
      <c r="L1" s="9" t="s">
        <v>3665</v>
      </c>
    </row>
    <row r="2" spans="1:12" ht="15" customHeight="1" x14ac:dyDescent="0.25">
      <c r="A2" s="10" t="str">
        <f>Raw_Data!A2</f>
        <v>Wayona Nylon Braided USB to Lightning Fast Charging and Data Sync Cable Compatible for iPhone 13, 12,11, X, 8, 7, 6, 5, iPad Air, Pro, Mini (3 FT Pack of 1, Grey)</v>
      </c>
      <c r="B2" s="10" t="str">
        <f>IFERROR(TRIM(LEFT(Raw_Data!A2,FIND(" ",Raw_Data!A2)-1)),Raw_Data!A2)</f>
        <v>Wayona</v>
      </c>
      <c r="C2" s="10" t="str">
        <f>IFERROR(LEFT(Raw_Data!B2,FIND("|",Raw_Data!B2)-1),Raw_Data!B2)</f>
        <v>Computers&amp;Accessories</v>
      </c>
      <c r="D2" s="11">
        <f>IFERROR(VALUE(SUBSTITUTE(SUBSTITUTE(TRIM(Raw_Data!C2),"₹",""),",","")),"")</f>
        <v>399</v>
      </c>
      <c r="E2" s="11">
        <f>IFERROR(VALUE(SUBSTITUTE(SUBSTITUTE(TRIM(Raw_Data!D2),"₹",""),",","")),"")</f>
        <v>1099</v>
      </c>
      <c r="F2" s="12">
        <f>IFERROR(VALUE(SUBSTITUTE(Raw_Data!E2,"%",""))/100,"")</f>
        <v>0.64</v>
      </c>
      <c r="G2" s="13">
        <f>IFERROR(VALUE(Raw_Data!F2),"")</f>
        <v>4.2</v>
      </c>
      <c r="H2" s="14">
        <f>IFERROR(VALUE(SUBSTITUTE(Raw_Data!G2,",","")),"")</f>
        <v>24269</v>
      </c>
      <c r="I2" s="11">
        <f t="shared" ref="I2:I65" si="0">IFERROR(E2-D2,"")</f>
        <v>700</v>
      </c>
      <c r="J2" s="11">
        <f t="shared" ref="J2:J65" si="1">IFERROR(D2*H2,"")</f>
        <v>9683331</v>
      </c>
      <c r="K2" s="1">
        <f t="shared" ref="K2:K65" si="2">IF(ISNUMBER(H2),H2+ROW()/10000000,"")</f>
        <v>24269.000000200002</v>
      </c>
      <c r="L2" s="15">
        <f t="shared" ref="L2:L65" si="3">IF(ISNUMBER(F2),F2+ROW()/10000000,"")</f>
        <v>0.64000020000000002</v>
      </c>
    </row>
    <row r="3" spans="1:12" ht="15" customHeight="1" x14ac:dyDescent="0.25">
      <c r="A3" s="10" t="str">
        <f>Raw_Data!A3</f>
        <v>Ambrane Unbreakable 60W / 3A Fast Charging 1.5m Braided Type C Cable for Smartphones, Tablets, Laptops &amp; other Type C devices, PD Technology, 480Mbps Data Sync, Quick Charge 3.0 (RCT15A, Black)</v>
      </c>
      <c r="B3" s="10" t="str">
        <f>IFERROR(TRIM(LEFT(Raw_Data!A3,FIND(" ",Raw_Data!A3)-1)),Raw_Data!A3)</f>
        <v>Ambrane</v>
      </c>
      <c r="C3" s="10" t="str">
        <f>IFERROR(LEFT(Raw_Data!B3,FIND("|",Raw_Data!B3)-1),Raw_Data!B3)</f>
        <v>Computers&amp;Accessories</v>
      </c>
      <c r="D3" s="11">
        <f>IFERROR(VALUE(SUBSTITUTE(SUBSTITUTE(TRIM(Raw_Data!C3),"₹",""),",","")),"")</f>
        <v>199</v>
      </c>
      <c r="E3" s="11">
        <f>IFERROR(VALUE(SUBSTITUTE(SUBSTITUTE(TRIM(Raw_Data!D3),"₹",""),",","")),"")</f>
        <v>349</v>
      </c>
      <c r="F3" s="12">
        <f>IFERROR(VALUE(SUBSTITUTE(Raw_Data!E3,"%",""))/100,"")</f>
        <v>0.43</v>
      </c>
      <c r="G3" s="13">
        <f>IFERROR(VALUE(Raw_Data!F3),"")</f>
        <v>4</v>
      </c>
      <c r="H3" s="14">
        <f>IFERROR(VALUE(SUBSTITUTE(Raw_Data!G3,",","")),"")</f>
        <v>43994</v>
      </c>
      <c r="I3" s="11">
        <f t="shared" si="0"/>
        <v>150</v>
      </c>
      <c r="J3" s="11">
        <f t="shared" si="1"/>
        <v>8754806</v>
      </c>
      <c r="K3" s="1">
        <f t="shared" si="2"/>
        <v>43994.000000300002</v>
      </c>
      <c r="L3" s="15">
        <f t="shared" si="3"/>
        <v>0.4300003</v>
      </c>
    </row>
    <row r="4" spans="1:12" ht="15" customHeight="1" x14ac:dyDescent="0.25">
      <c r="A4" s="10" t="str">
        <f>Raw_Data!A4</f>
        <v>Sounce Fast Phone Charging Cable &amp; Data Sync USB Cable Compatible for iPhone 13, 12,11, X, 8, 7, 6, 5, iPad Air, Pro, Mini &amp; iOS Devices</v>
      </c>
      <c r="B4" s="10" t="str">
        <f>IFERROR(TRIM(LEFT(Raw_Data!A4,FIND(" ",Raw_Data!A4)-1)),Raw_Data!A4)</f>
        <v>Sounce</v>
      </c>
      <c r="C4" s="10" t="str">
        <f>IFERROR(LEFT(Raw_Data!B4,FIND("|",Raw_Data!B4)-1),Raw_Data!B4)</f>
        <v>Computers&amp;Accessories</v>
      </c>
      <c r="D4" s="11">
        <f>IFERROR(VALUE(SUBSTITUTE(SUBSTITUTE(TRIM(Raw_Data!C4),"₹",""),",","")),"")</f>
        <v>199</v>
      </c>
      <c r="E4" s="11">
        <f>IFERROR(VALUE(SUBSTITUTE(SUBSTITUTE(TRIM(Raw_Data!D4),"₹",""),",","")),"")</f>
        <v>1899</v>
      </c>
      <c r="F4" s="12">
        <f>IFERROR(VALUE(SUBSTITUTE(Raw_Data!E4,"%",""))/100,"")</f>
        <v>0.9</v>
      </c>
      <c r="G4" s="13">
        <f>IFERROR(VALUE(Raw_Data!F4),"")</f>
        <v>3.9</v>
      </c>
      <c r="H4" s="14">
        <f>IFERROR(VALUE(SUBSTITUTE(Raw_Data!G4,",","")),"")</f>
        <v>7928</v>
      </c>
      <c r="I4" s="11">
        <f t="shared" si="0"/>
        <v>1700</v>
      </c>
      <c r="J4" s="11">
        <f t="shared" si="1"/>
        <v>1577672</v>
      </c>
      <c r="K4" s="1">
        <f t="shared" si="2"/>
        <v>7928.0000004000003</v>
      </c>
      <c r="L4" s="15">
        <f t="shared" si="3"/>
        <v>0.90000040000000003</v>
      </c>
    </row>
    <row r="5" spans="1:12" ht="15" customHeight="1" x14ac:dyDescent="0.25">
      <c r="A5" s="10" t="str">
        <f>Raw_Data!A5</f>
        <v>boAt Deuce USB 300 2 in 1 Type-C &amp; Micro USB Stress Resistant, Tangle-Free, Sturdy Cable with 3A Fast Charging &amp; 480mbps Data Transmission, 10000+ Bends Lifespan and Extended 1.5m Length(Martian Red)</v>
      </c>
      <c r="B5" s="10" t="str">
        <f>IFERROR(TRIM(LEFT(Raw_Data!A5,FIND(" ",Raw_Data!A5)-1)),Raw_Data!A5)</f>
        <v>boAt</v>
      </c>
      <c r="C5" s="10" t="str">
        <f>IFERROR(LEFT(Raw_Data!B5,FIND("|",Raw_Data!B5)-1),Raw_Data!B5)</f>
        <v>Computers&amp;Accessories</v>
      </c>
      <c r="D5" s="11">
        <f>IFERROR(VALUE(SUBSTITUTE(SUBSTITUTE(TRIM(Raw_Data!C5),"₹",""),",","")),"")</f>
        <v>329</v>
      </c>
      <c r="E5" s="11">
        <f>IFERROR(VALUE(SUBSTITUTE(SUBSTITUTE(TRIM(Raw_Data!D5),"₹",""),",","")),"")</f>
        <v>699</v>
      </c>
      <c r="F5" s="12">
        <f>IFERROR(VALUE(SUBSTITUTE(Raw_Data!E5,"%",""))/100,"")</f>
        <v>0.53</v>
      </c>
      <c r="G5" s="13">
        <f>IFERROR(VALUE(Raw_Data!F5),"")</f>
        <v>4.2</v>
      </c>
      <c r="H5" s="14">
        <f>IFERROR(VALUE(SUBSTITUTE(Raw_Data!G5,",","")),"")</f>
        <v>94363</v>
      </c>
      <c r="I5" s="11">
        <f t="shared" si="0"/>
        <v>370</v>
      </c>
      <c r="J5" s="11">
        <f t="shared" si="1"/>
        <v>31045427</v>
      </c>
      <c r="K5" s="1">
        <f t="shared" si="2"/>
        <v>94363.000000500004</v>
      </c>
      <c r="L5" s="15">
        <f t="shared" si="3"/>
        <v>0.53000049999999999</v>
      </c>
    </row>
    <row r="6" spans="1:12" ht="15" customHeight="1" x14ac:dyDescent="0.25">
      <c r="A6" s="10" t="str">
        <f>Raw_Data!A6</f>
        <v>Portronics Konnect L 1.2M Fast Charging 3A 8 Pin USB Cable with Charge &amp; Sync Function for iPhone, iPad (Grey)</v>
      </c>
      <c r="B6" s="10" t="str">
        <f>IFERROR(TRIM(LEFT(Raw_Data!A6,FIND(" ",Raw_Data!A6)-1)),Raw_Data!A6)</f>
        <v>Portronics</v>
      </c>
      <c r="C6" s="10" t="str">
        <f>IFERROR(LEFT(Raw_Data!B6,FIND("|",Raw_Data!B6)-1),Raw_Data!B6)</f>
        <v>Computers&amp;Accessories</v>
      </c>
      <c r="D6" s="11">
        <f>IFERROR(VALUE(SUBSTITUTE(SUBSTITUTE(TRIM(Raw_Data!C6),"₹",""),",","")),"")</f>
        <v>154</v>
      </c>
      <c r="E6" s="11">
        <f>IFERROR(VALUE(SUBSTITUTE(SUBSTITUTE(TRIM(Raw_Data!D6),"₹",""),",","")),"")</f>
        <v>399</v>
      </c>
      <c r="F6" s="12">
        <f>IFERROR(VALUE(SUBSTITUTE(Raw_Data!E6,"%",""))/100,"")</f>
        <v>0.61</v>
      </c>
      <c r="G6" s="13">
        <f>IFERROR(VALUE(Raw_Data!F6),"")</f>
        <v>4.2</v>
      </c>
      <c r="H6" s="14">
        <f>IFERROR(VALUE(SUBSTITUTE(Raw_Data!G6,",","")),"")</f>
        <v>16905</v>
      </c>
      <c r="I6" s="11">
        <f t="shared" si="0"/>
        <v>245</v>
      </c>
      <c r="J6" s="11">
        <f t="shared" si="1"/>
        <v>2603370</v>
      </c>
      <c r="K6" s="1">
        <f t="shared" si="2"/>
        <v>16905.000000600001</v>
      </c>
      <c r="L6" s="15">
        <f t="shared" si="3"/>
        <v>0.6100006</v>
      </c>
    </row>
    <row r="7" spans="1:12" ht="15" customHeight="1" x14ac:dyDescent="0.25">
      <c r="A7" s="10" t="str">
        <f>Raw_Data!A7</f>
        <v>pTron Solero TB301 3A Type-C Data and Fast Charging Cable, Made in India, 480Mbps Data Sync, Strong and Durable 1.5-Meter Nylon Braided USB Cable for Type-C Devices for Charging Adapter (Black)</v>
      </c>
      <c r="B7" s="10" t="str">
        <f>IFERROR(TRIM(LEFT(Raw_Data!A7,FIND(" ",Raw_Data!A7)-1)),Raw_Data!A7)</f>
        <v>pTron</v>
      </c>
      <c r="C7" s="10" t="str">
        <f>IFERROR(LEFT(Raw_Data!B7,FIND("|",Raw_Data!B7)-1),Raw_Data!B7)</f>
        <v>Computers&amp;Accessories</v>
      </c>
      <c r="D7" s="11">
        <f>IFERROR(VALUE(SUBSTITUTE(SUBSTITUTE(TRIM(Raw_Data!C7),"₹",""),",","")),"")</f>
        <v>149</v>
      </c>
      <c r="E7" s="11">
        <f>IFERROR(VALUE(SUBSTITUTE(SUBSTITUTE(TRIM(Raw_Data!D7),"₹",""),",","")),"")</f>
        <v>1000</v>
      </c>
      <c r="F7" s="12">
        <f>IFERROR(VALUE(SUBSTITUTE(Raw_Data!E7,"%",""))/100,"")</f>
        <v>0.85</v>
      </c>
      <c r="G7" s="13">
        <f>IFERROR(VALUE(Raw_Data!F7),"")</f>
        <v>3.9</v>
      </c>
      <c r="H7" s="14">
        <f>IFERROR(VALUE(SUBSTITUTE(Raw_Data!G7,",","")),"")</f>
        <v>24871</v>
      </c>
      <c r="I7" s="11">
        <f t="shared" si="0"/>
        <v>851</v>
      </c>
      <c r="J7" s="11">
        <f t="shared" si="1"/>
        <v>3705779</v>
      </c>
      <c r="K7" s="1">
        <f t="shared" si="2"/>
        <v>24871.000000700002</v>
      </c>
      <c r="L7" s="15">
        <f t="shared" si="3"/>
        <v>0.85000069999999994</v>
      </c>
    </row>
    <row r="8" spans="1:12" ht="15" customHeight="1" x14ac:dyDescent="0.25">
      <c r="A8" s="10" t="str">
        <f>Raw_Data!A8</f>
        <v>boAt Micro USB 55 Tangle-free, Sturdy Micro USB Cable with 3A Fast Charging &amp; 480mbps Data Transmission (Black)</v>
      </c>
      <c r="B8" s="10" t="str">
        <f>IFERROR(TRIM(LEFT(Raw_Data!A8,FIND(" ",Raw_Data!A8)-1)),Raw_Data!A8)</f>
        <v>boAt</v>
      </c>
      <c r="C8" s="10" t="str">
        <f>IFERROR(LEFT(Raw_Data!B8,FIND("|",Raw_Data!B8)-1),Raw_Data!B8)</f>
        <v>Computers&amp;Accessories</v>
      </c>
      <c r="D8" s="11">
        <f>IFERROR(VALUE(SUBSTITUTE(SUBSTITUTE(TRIM(Raw_Data!C8),"₹",""),",","")),"")</f>
        <v>176.63</v>
      </c>
      <c r="E8" s="11">
        <f>IFERROR(VALUE(SUBSTITUTE(SUBSTITUTE(TRIM(Raw_Data!D8),"₹",""),",","")),"")</f>
        <v>499</v>
      </c>
      <c r="F8" s="12">
        <f>IFERROR(VALUE(SUBSTITUTE(Raw_Data!E8,"%",""))/100,"")</f>
        <v>0.65</v>
      </c>
      <c r="G8" s="13">
        <f>IFERROR(VALUE(Raw_Data!F8),"")</f>
        <v>4.0999999999999996</v>
      </c>
      <c r="H8" s="14">
        <f>IFERROR(VALUE(SUBSTITUTE(Raw_Data!G8,",","")),"")</f>
        <v>15188</v>
      </c>
      <c r="I8" s="11">
        <f t="shared" si="0"/>
        <v>322.37</v>
      </c>
      <c r="J8" s="11">
        <f t="shared" si="1"/>
        <v>2682656.44</v>
      </c>
      <c r="K8" s="1">
        <f t="shared" si="2"/>
        <v>15188.000000800001</v>
      </c>
      <c r="L8" s="15">
        <f t="shared" si="3"/>
        <v>0.65000080000000005</v>
      </c>
    </row>
    <row r="9" spans="1:12" ht="15" customHeight="1" x14ac:dyDescent="0.25">
      <c r="A9" s="10" t="str">
        <f>Raw_Data!A9</f>
        <v>MI Usb Type-C Cable Smartphone (Black)</v>
      </c>
      <c r="B9" s="10" t="str">
        <f>IFERROR(TRIM(LEFT(Raw_Data!A9,FIND(" ",Raw_Data!A9)-1)),Raw_Data!A9)</f>
        <v>MI</v>
      </c>
      <c r="C9" s="10" t="str">
        <f>IFERROR(LEFT(Raw_Data!B9,FIND("|",Raw_Data!B9)-1),Raw_Data!B9)</f>
        <v>Computers&amp;Accessories</v>
      </c>
      <c r="D9" s="11">
        <f>IFERROR(VALUE(SUBSTITUTE(SUBSTITUTE(TRIM(Raw_Data!C9),"₹",""),",","")),"")</f>
        <v>229</v>
      </c>
      <c r="E9" s="11">
        <f>IFERROR(VALUE(SUBSTITUTE(SUBSTITUTE(TRIM(Raw_Data!D9),"₹",""),",","")),"")</f>
        <v>299</v>
      </c>
      <c r="F9" s="12">
        <f>IFERROR(VALUE(SUBSTITUTE(Raw_Data!E9,"%",""))/100,"")</f>
        <v>0.23</v>
      </c>
      <c r="G9" s="13">
        <f>IFERROR(VALUE(Raw_Data!F9),"")</f>
        <v>4.3</v>
      </c>
      <c r="H9" s="14">
        <f>IFERROR(VALUE(SUBSTITUTE(Raw_Data!G9,",","")),"")</f>
        <v>30411</v>
      </c>
      <c r="I9" s="11">
        <f t="shared" si="0"/>
        <v>70</v>
      </c>
      <c r="J9" s="11">
        <f t="shared" si="1"/>
        <v>6964119</v>
      </c>
      <c r="K9" s="1">
        <f t="shared" si="2"/>
        <v>30411.0000009</v>
      </c>
      <c r="L9" s="15">
        <f t="shared" si="3"/>
        <v>0.23000090000000001</v>
      </c>
    </row>
    <row r="10" spans="1:12" ht="15" customHeight="1" x14ac:dyDescent="0.25">
      <c r="A10" s="10" t="str">
        <f>Raw_Data!A10</f>
        <v>TP-Link USB WiFi Adapter for PC(TL-WN725N), N150 Wireless Network Adapter for Desktop - Nano Size WiFi Dongle Compatible with Windows 11/10/7/8/8.1/XP/ Mac OS 10.9-10.15 Linux Kernel 2.6.18-4.4.3</v>
      </c>
      <c r="B10" s="10" t="str">
        <f>IFERROR(TRIM(LEFT(Raw_Data!A10,FIND(" ",Raw_Data!A10)-1)),Raw_Data!A10)</f>
        <v>TP-Link</v>
      </c>
      <c r="C10" s="10" t="str">
        <f>IFERROR(LEFT(Raw_Data!B10,FIND("|",Raw_Data!B10)-1),Raw_Data!B10)</f>
        <v>Computers&amp;Accessories</v>
      </c>
      <c r="D10" s="11">
        <f>IFERROR(VALUE(SUBSTITUTE(SUBSTITUTE(TRIM(Raw_Data!C10),"₹",""),",","")),"")</f>
        <v>499</v>
      </c>
      <c r="E10" s="11">
        <f>IFERROR(VALUE(SUBSTITUTE(SUBSTITUTE(TRIM(Raw_Data!D10),"₹",""),",","")),"")</f>
        <v>999</v>
      </c>
      <c r="F10" s="12">
        <f>IFERROR(VALUE(SUBSTITUTE(Raw_Data!E10,"%",""))/100,"")</f>
        <v>0.5</v>
      </c>
      <c r="G10" s="13">
        <f>IFERROR(VALUE(Raw_Data!F10),"")</f>
        <v>4.2</v>
      </c>
      <c r="H10" s="14">
        <f>IFERROR(VALUE(SUBSTITUTE(Raw_Data!G10,",","")),"")</f>
        <v>179691</v>
      </c>
      <c r="I10" s="11">
        <f t="shared" si="0"/>
        <v>500</v>
      </c>
      <c r="J10" s="11">
        <f t="shared" si="1"/>
        <v>89665809</v>
      </c>
      <c r="K10" s="1">
        <f t="shared" si="2"/>
        <v>179691.00000100001</v>
      </c>
      <c r="L10" s="15">
        <f t="shared" si="3"/>
        <v>0.50000100000000003</v>
      </c>
    </row>
    <row r="11" spans="1:12" ht="15" customHeight="1" x14ac:dyDescent="0.25">
      <c r="A11" s="10" t="str">
        <f>Raw_Data!A11</f>
        <v>Ambrane Unbreakable 60W / 3A Fast Charging 1.5m Braided Micro USB Cable for Smartphones, Tablets, Laptops &amp; Other Micro USB Devices, 480Mbps Data Sync, Quick Charge 3.0 (RCM15, Black)</v>
      </c>
      <c r="B11" s="10" t="str">
        <f>IFERROR(TRIM(LEFT(Raw_Data!A11,FIND(" ",Raw_Data!A11)-1)),Raw_Data!A11)</f>
        <v>Ambrane</v>
      </c>
      <c r="C11" s="10" t="str">
        <f>IFERROR(LEFT(Raw_Data!B11,FIND("|",Raw_Data!B11)-1),Raw_Data!B11)</f>
        <v>Computers&amp;Accessories</v>
      </c>
      <c r="D11" s="11">
        <f>IFERROR(VALUE(SUBSTITUTE(SUBSTITUTE(TRIM(Raw_Data!C11),"₹",""),",","")),"")</f>
        <v>199</v>
      </c>
      <c r="E11" s="11">
        <f>IFERROR(VALUE(SUBSTITUTE(SUBSTITUTE(TRIM(Raw_Data!D11),"₹",""),",","")),"")</f>
        <v>299</v>
      </c>
      <c r="F11" s="12">
        <f>IFERROR(VALUE(SUBSTITUTE(Raw_Data!E11,"%",""))/100,"")</f>
        <v>0.33</v>
      </c>
      <c r="G11" s="13">
        <f>IFERROR(VALUE(Raw_Data!F11),"")</f>
        <v>4</v>
      </c>
      <c r="H11" s="14">
        <f>IFERROR(VALUE(SUBSTITUTE(Raw_Data!G11,",","")),"")</f>
        <v>43994</v>
      </c>
      <c r="I11" s="11">
        <f t="shared" si="0"/>
        <v>100</v>
      </c>
      <c r="J11" s="11">
        <f t="shared" si="1"/>
        <v>8754806</v>
      </c>
      <c r="K11" s="1">
        <f t="shared" si="2"/>
        <v>43994.000001100001</v>
      </c>
      <c r="L11" s="15">
        <f t="shared" si="3"/>
        <v>0.33000109999999999</v>
      </c>
    </row>
    <row r="12" spans="1:12" ht="15" customHeight="1" x14ac:dyDescent="0.25">
      <c r="A12" s="10" t="str">
        <f>Raw_Data!A12</f>
        <v>Portronics Konnect L POR-1081 Fast Charging 3A Type-C Cable 1.2Meter with Charge &amp; Sync Function for All Type-C Devices (Grey)</v>
      </c>
      <c r="B12" s="10" t="str">
        <f>IFERROR(TRIM(LEFT(Raw_Data!A12,FIND(" ",Raw_Data!A12)-1)),Raw_Data!A12)</f>
        <v>Portronics</v>
      </c>
      <c r="C12" s="10" t="str">
        <f>IFERROR(LEFT(Raw_Data!B12,FIND("|",Raw_Data!B12)-1),Raw_Data!B12)</f>
        <v>Computers&amp;Accessories</v>
      </c>
      <c r="D12" s="11">
        <f>IFERROR(VALUE(SUBSTITUTE(SUBSTITUTE(TRIM(Raw_Data!C12),"₹",""),",","")),"")</f>
        <v>154</v>
      </c>
      <c r="E12" s="11">
        <f>IFERROR(VALUE(SUBSTITUTE(SUBSTITUTE(TRIM(Raw_Data!D12),"₹",""),",","")),"")</f>
        <v>339</v>
      </c>
      <c r="F12" s="12">
        <f>IFERROR(VALUE(SUBSTITUTE(Raw_Data!E12,"%",""))/100,"")</f>
        <v>0.55000000000000004</v>
      </c>
      <c r="G12" s="13">
        <f>IFERROR(VALUE(Raw_Data!F12),"")</f>
        <v>4.3</v>
      </c>
      <c r="H12" s="14">
        <f>IFERROR(VALUE(SUBSTITUTE(Raw_Data!G12,",","")),"")</f>
        <v>13391</v>
      </c>
      <c r="I12" s="11">
        <f t="shared" si="0"/>
        <v>185</v>
      </c>
      <c r="J12" s="11">
        <f t="shared" si="1"/>
        <v>2062214</v>
      </c>
      <c r="K12" s="1">
        <f t="shared" si="2"/>
        <v>13391.0000012</v>
      </c>
      <c r="L12" s="15">
        <f t="shared" si="3"/>
        <v>0.55000120000000008</v>
      </c>
    </row>
    <row r="13" spans="1:12" ht="15" customHeight="1" x14ac:dyDescent="0.25">
      <c r="A13" s="10" t="str">
        <f>Raw_Data!A13</f>
        <v>boAt Rugged v3 Extra Tough Unbreakable Braided Micro USB Cable 1.5 Meter (Black)</v>
      </c>
      <c r="B13" s="10" t="str">
        <f>IFERROR(TRIM(LEFT(Raw_Data!A13,FIND(" ",Raw_Data!A13)-1)),Raw_Data!A13)</f>
        <v>boAt</v>
      </c>
      <c r="C13" s="10" t="str">
        <f>IFERROR(LEFT(Raw_Data!B13,FIND("|",Raw_Data!B13)-1),Raw_Data!B13)</f>
        <v>Computers&amp;Accessories</v>
      </c>
      <c r="D13" s="11">
        <f>IFERROR(VALUE(SUBSTITUTE(SUBSTITUTE(TRIM(Raw_Data!C13),"₹",""),",","")),"")</f>
        <v>299</v>
      </c>
      <c r="E13" s="11">
        <f>IFERROR(VALUE(SUBSTITUTE(SUBSTITUTE(TRIM(Raw_Data!D13),"₹",""),",","")),"")</f>
        <v>799</v>
      </c>
      <c r="F13" s="12">
        <f>IFERROR(VALUE(SUBSTITUTE(Raw_Data!E13,"%",""))/100,"")</f>
        <v>0.63</v>
      </c>
      <c r="G13" s="13">
        <f>IFERROR(VALUE(Raw_Data!F13),"")</f>
        <v>4.2</v>
      </c>
      <c r="H13" s="14">
        <f>IFERROR(VALUE(SUBSTITUTE(Raw_Data!G13,",","")),"")</f>
        <v>94363</v>
      </c>
      <c r="I13" s="11">
        <f t="shared" si="0"/>
        <v>500</v>
      </c>
      <c r="J13" s="11">
        <f t="shared" si="1"/>
        <v>28214537</v>
      </c>
      <c r="K13" s="1">
        <f t="shared" si="2"/>
        <v>94363.000001299995</v>
      </c>
      <c r="L13" s="15">
        <f t="shared" si="3"/>
        <v>0.63000129999999999</v>
      </c>
    </row>
    <row r="14" spans="1:12" ht="15" customHeight="1" x14ac:dyDescent="0.25">
      <c r="A14" s="10" t="str">
        <f>Raw_Data!A14</f>
        <v>AmazonBasics Flexible Premium HDMI Cable (Black, 4K@60Hz, 18Gbps), 3-Foot</v>
      </c>
      <c r="B14" s="10" t="str">
        <f>IFERROR(TRIM(LEFT(Raw_Data!A14,FIND(" ",Raw_Data!A14)-1)),Raw_Data!A14)</f>
        <v>AmazonBasics</v>
      </c>
      <c r="C14" s="10" t="str">
        <f>IFERROR(LEFT(Raw_Data!B14,FIND("|",Raw_Data!B14)-1),Raw_Data!B14)</f>
        <v>Electronics</v>
      </c>
      <c r="D14" s="11">
        <f>IFERROR(VALUE(SUBSTITUTE(SUBSTITUTE(TRIM(Raw_Data!C14),"₹",""),",","")),"")</f>
        <v>219</v>
      </c>
      <c r="E14" s="11">
        <f>IFERROR(VALUE(SUBSTITUTE(SUBSTITUTE(TRIM(Raw_Data!D14),"₹",""),",","")),"")</f>
        <v>700</v>
      </c>
      <c r="F14" s="12">
        <f>IFERROR(VALUE(SUBSTITUTE(Raw_Data!E14,"%",""))/100,"")</f>
        <v>0.69</v>
      </c>
      <c r="G14" s="13">
        <f>IFERROR(VALUE(Raw_Data!F14),"")</f>
        <v>4.4000000000000004</v>
      </c>
      <c r="H14" s="14">
        <f>IFERROR(VALUE(SUBSTITUTE(Raw_Data!G14,",","")),"")</f>
        <v>426973</v>
      </c>
      <c r="I14" s="11">
        <f t="shared" si="0"/>
        <v>481</v>
      </c>
      <c r="J14" s="11">
        <f t="shared" si="1"/>
        <v>93507087</v>
      </c>
      <c r="K14" s="1">
        <f t="shared" si="2"/>
        <v>426973.00000140001</v>
      </c>
      <c r="L14" s="15">
        <f t="shared" si="3"/>
        <v>0.69000139999999999</v>
      </c>
    </row>
    <row r="15" spans="1:12" ht="15" customHeight="1" x14ac:dyDescent="0.25">
      <c r="A15" s="10" t="str">
        <f>Raw_Data!A15</f>
        <v>Portronics Konnect CL 20W POR-1067 Type-C to 8 Pin USB 1.2M Cable with Power Delivery &amp; 3A Quick Charge Support, Nylon Braided for All Type-C and 8 Pin Devices, Green</v>
      </c>
      <c r="B15" s="10" t="str">
        <f>IFERROR(TRIM(LEFT(Raw_Data!A15,FIND(" ",Raw_Data!A15)-1)),Raw_Data!A15)</f>
        <v>Portronics</v>
      </c>
      <c r="C15" s="10" t="str">
        <f>IFERROR(LEFT(Raw_Data!B15,FIND("|",Raw_Data!B15)-1),Raw_Data!B15)</f>
        <v>Computers&amp;Accessories</v>
      </c>
      <c r="D15" s="11">
        <f>IFERROR(VALUE(SUBSTITUTE(SUBSTITUTE(TRIM(Raw_Data!C15),"₹",""),",","")),"")</f>
        <v>350</v>
      </c>
      <c r="E15" s="11">
        <f>IFERROR(VALUE(SUBSTITUTE(SUBSTITUTE(TRIM(Raw_Data!D15),"₹",""),",","")),"")</f>
        <v>899</v>
      </c>
      <c r="F15" s="12">
        <f>IFERROR(VALUE(SUBSTITUTE(Raw_Data!E15,"%",""))/100,"")</f>
        <v>0.61</v>
      </c>
      <c r="G15" s="13">
        <f>IFERROR(VALUE(Raw_Data!F15),"")</f>
        <v>4.2</v>
      </c>
      <c r="H15" s="14">
        <f>IFERROR(VALUE(SUBSTITUTE(Raw_Data!G15,",","")),"")</f>
        <v>2262</v>
      </c>
      <c r="I15" s="11">
        <f t="shared" si="0"/>
        <v>549</v>
      </c>
      <c r="J15" s="11">
        <f t="shared" si="1"/>
        <v>791700</v>
      </c>
      <c r="K15" s="1">
        <f t="shared" si="2"/>
        <v>2262.0000015000001</v>
      </c>
      <c r="L15" s="15">
        <f t="shared" si="3"/>
        <v>0.61000149999999997</v>
      </c>
    </row>
    <row r="16" spans="1:12" ht="15" customHeight="1" x14ac:dyDescent="0.25">
      <c r="A16" s="10" t="str">
        <f>Raw_Data!A16</f>
        <v>Portronics Konnect L 1.2M POR-1401 Fast Charging 3A 8 Pin USB Cable with Charge &amp; Sync Function (White)</v>
      </c>
      <c r="B16" s="10" t="str">
        <f>IFERROR(TRIM(LEFT(Raw_Data!A16,FIND(" ",Raw_Data!A16)-1)),Raw_Data!A16)</f>
        <v>Portronics</v>
      </c>
      <c r="C16" s="10" t="str">
        <f>IFERROR(LEFT(Raw_Data!B16,FIND("|",Raw_Data!B16)-1),Raw_Data!B16)</f>
        <v>Computers&amp;Accessories</v>
      </c>
      <c r="D16" s="11">
        <f>IFERROR(VALUE(SUBSTITUTE(SUBSTITUTE(TRIM(Raw_Data!C16),"₹",""),",","")),"")</f>
        <v>159</v>
      </c>
      <c r="E16" s="11">
        <f>IFERROR(VALUE(SUBSTITUTE(SUBSTITUTE(TRIM(Raw_Data!D16),"₹",""),",","")),"")</f>
        <v>399</v>
      </c>
      <c r="F16" s="12">
        <f>IFERROR(VALUE(SUBSTITUTE(Raw_Data!E16,"%",""))/100,"")</f>
        <v>0.6</v>
      </c>
      <c r="G16" s="13">
        <f>IFERROR(VALUE(Raw_Data!F16),"")</f>
        <v>4.0999999999999996</v>
      </c>
      <c r="H16" s="14">
        <f>IFERROR(VALUE(SUBSTITUTE(Raw_Data!G16,",","")),"")</f>
        <v>4768</v>
      </c>
      <c r="I16" s="11">
        <f t="shared" si="0"/>
        <v>240</v>
      </c>
      <c r="J16" s="11">
        <f t="shared" si="1"/>
        <v>758112</v>
      </c>
      <c r="K16" s="1">
        <f t="shared" si="2"/>
        <v>4768.0000016000004</v>
      </c>
      <c r="L16" s="15">
        <f t="shared" si="3"/>
        <v>0.60000160000000002</v>
      </c>
    </row>
    <row r="17" spans="1:12" ht="15" customHeight="1" x14ac:dyDescent="0.25">
      <c r="A17" s="10" t="str">
        <f>Raw_Data!A17</f>
        <v>MI Braided USB Type-C Cable for Charging Adapter (Red)</v>
      </c>
      <c r="B17" s="10" t="str">
        <f>IFERROR(TRIM(LEFT(Raw_Data!A17,FIND(" ",Raw_Data!A17)-1)),Raw_Data!A17)</f>
        <v>MI</v>
      </c>
      <c r="C17" s="10" t="str">
        <f>IFERROR(LEFT(Raw_Data!B17,FIND("|",Raw_Data!B17)-1),Raw_Data!B17)</f>
        <v>Computers&amp;Accessories</v>
      </c>
      <c r="D17" s="11">
        <f>IFERROR(VALUE(SUBSTITUTE(SUBSTITUTE(TRIM(Raw_Data!C17),"₹",""),",","")),"")</f>
        <v>349</v>
      </c>
      <c r="E17" s="11">
        <f>IFERROR(VALUE(SUBSTITUTE(SUBSTITUTE(TRIM(Raw_Data!D17),"₹",""),",","")),"")</f>
        <v>399</v>
      </c>
      <c r="F17" s="12">
        <f>IFERROR(VALUE(SUBSTITUTE(Raw_Data!E17,"%",""))/100,"")</f>
        <v>0.13</v>
      </c>
      <c r="G17" s="13">
        <f>IFERROR(VALUE(Raw_Data!F17),"")</f>
        <v>4.4000000000000004</v>
      </c>
      <c r="H17" s="14">
        <f>IFERROR(VALUE(SUBSTITUTE(Raw_Data!G17,",","")),"")</f>
        <v>18757</v>
      </c>
      <c r="I17" s="11">
        <f t="shared" si="0"/>
        <v>50</v>
      </c>
      <c r="J17" s="11">
        <f t="shared" si="1"/>
        <v>6546193</v>
      </c>
      <c r="K17" s="1">
        <f t="shared" si="2"/>
        <v>18757.000001699998</v>
      </c>
      <c r="L17" s="15">
        <f t="shared" si="3"/>
        <v>0.1300017</v>
      </c>
    </row>
    <row r="18" spans="1:12" ht="15" customHeight="1" x14ac:dyDescent="0.25">
      <c r="A18" s="10" t="str">
        <f>Raw_Data!A18</f>
        <v>MI 80 cm (32 inches) 5A Series HD Ready Smart Android LED TV L32M7-5AIN (Black)</v>
      </c>
      <c r="B18" s="10" t="str">
        <f>IFERROR(TRIM(LEFT(Raw_Data!A18,FIND(" ",Raw_Data!A18)-1)),Raw_Data!A18)</f>
        <v>MI</v>
      </c>
      <c r="C18" s="10" t="str">
        <f>IFERROR(LEFT(Raw_Data!B18,FIND("|",Raw_Data!B18)-1),Raw_Data!B18)</f>
        <v>Electronics</v>
      </c>
      <c r="D18" s="11">
        <f>IFERROR(VALUE(SUBSTITUTE(SUBSTITUTE(TRIM(Raw_Data!C18),"₹",""),",","")),"")</f>
        <v>13999</v>
      </c>
      <c r="E18" s="11">
        <f>IFERROR(VALUE(SUBSTITUTE(SUBSTITUTE(TRIM(Raw_Data!D18),"₹",""),",","")),"")</f>
        <v>24999</v>
      </c>
      <c r="F18" s="12">
        <f>IFERROR(VALUE(SUBSTITUTE(Raw_Data!E18,"%",""))/100,"")</f>
        <v>0.44</v>
      </c>
      <c r="G18" s="13">
        <f>IFERROR(VALUE(Raw_Data!F18),"")</f>
        <v>4.2</v>
      </c>
      <c r="H18" s="14">
        <f>IFERROR(VALUE(SUBSTITUTE(Raw_Data!G18,",","")),"")</f>
        <v>32840</v>
      </c>
      <c r="I18" s="11">
        <f t="shared" si="0"/>
        <v>11000</v>
      </c>
      <c r="J18" s="11">
        <f t="shared" si="1"/>
        <v>459727160</v>
      </c>
      <c r="K18" s="1">
        <f t="shared" si="2"/>
        <v>32840.000001799999</v>
      </c>
      <c r="L18" s="15">
        <f t="shared" si="3"/>
        <v>0.4400018</v>
      </c>
    </row>
    <row r="19" spans="1:12" ht="15" customHeight="1" x14ac:dyDescent="0.25">
      <c r="A19" s="10" t="str">
        <f>Raw_Data!A19</f>
        <v>Ambrane Unbreakable 60W / 3A Fast Charging 1.5m Braided Type C to Type C Cable for Smartphones, Tablets, Laptops &amp; Other Type C Devices, PD Technology, 480Mbps Data Sync (RCTT15, Black)</v>
      </c>
      <c r="B19" s="10" t="str">
        <f>IFERROR(TRIM(LEFT(Raw_Data!A19,FIND(" ",Raw_Data!A19)-1)),Raw_Data!A19)</f>
        <v>Ambrane</v>
      </c>
      <c r="C19" s="10" t="str">
        <f>IFERROR(LEFT(Raw_Data!B19,FIND("|",Raw_Data!B19)-1),Raw_Data!B19)</f>
        <v>Computers&amp;Accessories</v>
      </c>
      <c r="D19" s="11">
        <f>IFERROR(VALUE(SUBSTITUTE(SUBSTITUTE(TRIM(Raw_Data!C19),"₹",""),",","")),"")</f>
        <v>249</v>
      </c>
      <c r="E19" s="11">
        <f>IFERROR(VALUE(SUBSTITUTE(SUBSTITUTE(TRIM(Raw_Data!D19),"₹",""),",","")),"")</f>
        <v>399</v>
      </c>
      <c r="F19" s="12">
        <f>IFERROR(VALUE(SUBSTITUTE(Raw_Data!E19,"%",""))/100,"")</f>
        <v>0.38</v>
      </c>
      <c r="G19" s="13">
        <f>IFERROR(VALUE(Raw_Data!F19),"")</f>
        <v>4</v>
      </c>
      <c r="H19" s="14">
        <f>IFERROR(VALUE(SUBSTITUTE(Raw_Data!G19,",","")),"")</f>
        <v>43994</v>
      </c>
      <c r="I19" s="11">
        <f t="shared" si="0"/>
        <v>150</v>
      </c>
      <c r="J19" s="11">
        <f t="shared" si="1"/>
        <v>10954506</v>
      </c>
      <c r="K19" s="1">
        <f t="shared" si="2"/>
        <v>43994.0000019</v>
      </c>
      <c r="L19" s="15">
        <f t="shared" si="3"/>
        <v>0.3800019</v>
      </c>
    </row>
    <row r="20" spans="1:12" ht="15" customHeight="1" x14ac:dyDescent="0.25">
      <c r="A20" s="10" t="str">
        <f>Raw_Data!A20</f>
        <v>boAt Type C A325 Tangle-free, Sturdy Type C Cable with 3A Rapid Charging &amp; 480mbps Data Transmission(Black)</v>
      </c>
      <c r="B20" s="10" t="str">
        <f>IFERROR(TRIM(LEFT(Raw_Data!A20,FIND(" ",Raw_Data!A20)-1)),Raw_Data!A20)</f>
        <v>boAt</v>
      </c>
      <c r="C20" s="10" t="str">
        <f>IFERROR(LEFT(Raw_Data!B20,FIND("|",Raw_Data!B20)-1),Raw_Data!B20)</f>
        <v>Computers&amp;Accessories</v>
      </c>
      <c r="D20" s="11">
        <f>IFERROR(VALUE(SUBSTITUTE(SUBSTITUTE(TRIM(Raw_Data!C20),"₹",""),",","")),"")</f>
        <v>199</v>
      </c>
      <c r="E20" s="11">
        <f>IFERROR(VALUE(SUBSTITUTE(SUBSTITUTE(TRIM(Raw_Data!D20),"₹",""),",","")),"")</f>
        <v>499</v>
      </c>
      <c r="F20" s="12">
        <f>IFERROR(VALUE(SUBSTITUTE(Raw_Data!E20,"%",""))/100,"")</f>
        <v>0.6</v>
      </c>
      <c r="G20" s="13">
        <f>IFERROR(VALUE(Raw_Data!F20),"")</f>
        <v>4.0999999999999996</v>
      </c>
      <c r="H20" s="14">
        <f>IFERROR(VALUE(SUBSTITUTE(Raw_Data!G20,",","")),"")</f>
        <v>13045</v>
      </c>
      <c r="I20" s="11">
        <f t="shared" si="0"/>
        <v>300</v>
      </c>
      <c r="J20" s="11">
        <f t="shared" si="1"/>
        <v>2595955</v>
      </c>
      <c r="K20" s="1">
        <f t="shared" si="2"/>
        <v>13045.000002000001</v>
      </c>
      <c r="L20" s="15">
        <f t="shared" si="3"/>
        <v>0.60000199999999992</v>
      </c>
    </row>
    <row r="21" spans="1:12" ht="15" customHeight="1" x14ac:dyDescent="0.25">
      <c r="A21" s="10" t="str">
        <f>Raw_Data!A21</f>
        <v>LG 80 cm (32 inches) HD Ready Smart LED TV 32LM563BPTC (Dark Iron Gray)</v>
      </c>
      <c r="B21" s="10" t="str">
        <f>IFERROR(TRIM(LEFT(Raw_Data!A21,FIND(" ",Raw_Data!A21)-1)),Raw_Data!A21)</f>
        <v>LG</v>
      </c>
      <c r="C21" s="10" t="str">
        <f>IFERROR(LEFT(Raw_Data!B21,FIND("|",Raw_Data!B21)-1),Raw_Data!B21)</f>
        <v>Electronics</v>
      </c>
      <c r="D21" s="11">
        <f>IFERROR(VALUE(SUBSTITUTE(SUBSTITUTE(TRIM(Raw_Data!C21),"₹",""),",","")),"")</f>
        <v>13490</v>
      </c>
      <c r="E21" s="11">
        <f>IFERROR(VALUE(SUBSTITUTE(SUBSTITUTE(TRIM(Raw_Data!D21),"₹",""),",","")),"")</f>
        <v>21990</v>
      </c>
      <c r="F21" s="12">
        <f>IFERROR(VALUE(SUBSTITUTE(Raw_Data!E21,"%",""))/100,"")</f>
        <v>0.39</v>
      </c>
      <c r="G21" s="13">
        <f>IFERROR(VALUE(Raw_Data!F21),"")</f>
        <v>4.3</v>
      </c>
      <c r="H21" s="14">
        <f>IFERROR(VALUE(SUBSTITUTE(Raw_Data!G21,",","")),"")</f>
        <v>11976</v>
      </c>
      <c r="I21" s="11">
        <f t="shared" si="0"/>
        <v>8500</v>
      </c>
      <c r="J21" s="11">
        <f t="shared" si="1"/>
        <v>161556240</v>
      </c>
      <c r="K21" s="1">
        <f t="shared" si="2"/>
        <v>11976.0000021</v>
      </c>
      <c r="L21" s="15">
        <f t="shared" si="3"/>
        <v>0.39000210000000002</v>
      </c>
    </row>
    <row r="22" spans="1:12" ht="15" customHeight="1" x14ac:dyDescent="0.25">
      <c r="A22" s="10" t="str">
        <f>Raw_Data!A22</f>
        <v>Duracell USB Lightning Apple Certified (Mfi) Braided Sync &amp; Charge Cable For Iphone, Ipad And Ipod. Fast Charging Lightning Cable, 3.9 Feet (1.2M) - Black</v>
      </c>
      <c r="B22" s="10" t="str">
        <f>IFERROR(TRIM(LEFT(Raw_Data!A22,FIND(" ",Raw_Data!A22)-1)),Raw_Data!A22)</f>
        <v>Duracell</v>
      </c>
      <c r="C22" s="10" t="str">
        <f>IFERROR(LEFT(Raw_Data!B22,FIND("|",Raw_Data!B22)-1),Raw_Data!B22)</f>
        <v>Computers&amp;Accessories</v>
      </c>
      <c r="D22" s="11">
        <f>IFERROR(VALUE(SUBSTITUTE(SUBSTITUTE(TRIM(Raw_Data!C22),"₹",""),",","")),"")</f>
        <v>970</v>
      </c>
      <c r="E22" s="11">
        <f>IFERROR(VALUE(SUBSTITUTE(SUBSTITUTE(TRIM(Raw_Data!D22),"₹",""),",","")),"")</f>
        <v>1799</v>
      </c>
      <c r="F22" s="12">
        <f>IFERROR(VALUE(SUBSTITUTE(Raw_Data!E22,"%",""))/100,"")</f>
        <v>0.46</v>
      </c>
      <c r="G22" s="13">
        <f>IFERROR(VALUE(Raw_Data!F22),"")</f>
        <v>4.5</v>
      </c>
      <c r="H22" s="14">
        <f>IFERROR(VALUE(SUBSTITUTE(Raw_Data!G22,",","")),"")</f>
        <v>815</v>
      </c>
      <c r="I22" s="11">
        <f t="shared" si="0"/>
        <v>829</v>
      </c>
      <c r="J22" s="11">
        <f t="shared" si="1"/>
        <v>790550</v>
      </c>
      <c r="K22" s="1">
        <f t="shared" si="2"/>
        <v>815.00000220000004</v>
      </c>
      <c r="L22" s="15">
        <f t="shared" si="3"/>
        <v>0.46000220000000003</v>
      </c>
    </row>
    <row r="23" spans="1:12" ht="15" customHeight="1" x14ac:dyDescent="0.25">
      <c r="A23" s="10" t="str">
        <f>Raw_Data!A23</f>
        <v>tizum HDMI to VGA Adapter Cable 1080P for Projector, Computer, Laptop, TV, Projectors &amp; TV</v>
      </c>
      <c r="B23" s="10" t="str">
        <f>IFERROR(TRIM(LEFT(Raw_Data!A23,FIND(" ",Raw_Data!A23)-1)),Raw_Data!A23)</f>
        <v>tizum</v>
      </c>
      <c r="C23" s="10" t="str">
        <f>IFERROR(LEFT(Raw_Data!B23,FIND("|",Raw_Data!B23)-1),Raw_Data!B23)</f>
        <v>Electronics</v>
      </c>
      <c r="D23" s="11">
        <f>IFERROR(VALUE(SUBSTITUTE(SUBSTITUTE(TRIM(Raw_Data!C23),"₹",""),",","")),"")</f>
        <v>279</v>
      </c>
      <c r="E23" s="11">
        <f>IFERROR(VALUE(SUBSTITUTE(SUBSTITUTE(TRIM(Raw_Data!D23),"₹",""),",","")),"")</f>
        <v>499</v>
      </c>
      <c r="F23" s="12">
        <f>IFERROR(VALUE(SUBSTITUTE(Raw_Data!E23,"%",""))/100,"")</f>
        <v>0.44</v>
      </c>
      <c r="G23" s="13">
        <f>IFERROR(VALUE(Raw_Data!F23),"")</f>
        <v>3.7</v>
      </c>
      <c r="H23" s="14">
        <f>IFERROR(VALUE(SUBSTITUTE(Raw_Data!G23,",","")),"")</f>
        <v>10962</v>
      </c>
      <c r="I23" s="11">
        <f t="shared" si="0"/>
        <v>220</v>
      </c>
      <c r="J23" s="11">
        <f t="shared" si="1"/>
        <v>3058398</v>
      </c>
      <c r="K23" s="1">
        <f t="shared" si="2"/>
        <v>10962.000002299999</v>
      </c>
      <c r="L23" s="15">
        <f t="shared" si="3"/>
        <v>0.44000230000000001</v>
      </c>
    </row>
    <row r="24" spans="1:12" ht="15" customHeight="1" x14ac:dyDescent="0.25">
      <c r="A24" s="10" t="str">
        <f>Raw_Data!A24</f>
        <v>Samsung 80 cm (32 Inches) Wondertainment Series HD Ready LED Smart TV UA32T4340BKXXL (Glossy Black)</v>
      </c>
      <c r="B24" s="10" t="str">
        <f>IFERROR(TRIM(LEFT(Raw_Data!A24,FIND(" ",Raw_Data!A24)-1)),Raw_Data!A24)</f>
        <v>Samsung</v>
      </c>
      <c r="C24" s="10" t="str">
        <f>IFERROR(LEFT(Raw_Data!B24,FIND("|",Raw_Data!B24)-1),Raw_Data!B24)</f>
        <v>Electronics</v>
      </c>
      <c r="D24" s="11">
        <f>IFERROR(VALUE(SUBSTITUTE(SUBSTITUTE(TRIM(Raw_Data!C24),"₹",""),",","")),"")</f>
        <v>13490</v>
      </c>
      <c r="E24" s="11">
        <f>IFERROR(VALUE(SUBSTITUTE(SUBSTITUTE(TRIM(Raw_Data!D24),"₹",""),",","")),"")</f>
        <v>22900</v>
      </c>
      <c r="F24" s="12">
        <f>IFERROR(VALUE(SUBSTITUTE(Raw_Data!E24,"%",""))/100,"")</f>
        <v>0.41</v>
      </c>
      <c r="G24" s="13">
        <f>IFERROR(VALUE(Raw_Data!F24),"")</f>
        <v>4.3</v>
      </c>
      <c r="H24" s="14">
        <f>IFERROR(VALUE(SUBSTITUTE(Raw_Data!G24,",","")),"")</f>
        <v>16299</v>
      </c>
      <c r="I24" s="11">
        <f t="shared" si="0"/>
        <v>9410</v>
      </c>
      <c r="J24" s="11">
        <f t="shared" si="1"/>
        <v>219873510</v>
      </c>
      <c r="K24" s="1">
        <f t="shared" si="2"/>
        <v>16299.0000024</v>
      </c>
      <c r="L24" s="15">
        <f t="shared" si="3"/>
        <v>0.41000239999999999</v>
      </c>
    </row>
    <row r="25" spans="1:12" ht="15" customHeight="1" x14ac:dyDescent="0.25">
      <c r="A25" s="10" t="str">
        <f>Raw_Data!A25</f>
        <v>Flix Micro Usb Cable For Smartphone (Black)</v>
      </c>
      <c r="B25" s="10" t="str">
        <f>IFERROR(TRIM(LEFT(Raw_Data!A25,FIND(" ",Raw_Data!A25)-1)),Raw_Data!A25)</f>
        <v>Flix</v>
      </c>
      <c r="C25" s="10" t="str">
        <f>IFERROR(LEFT(Raw_Data!B25,FIND("|",Raw_Data!B25)-1),Raw_Data!B25)</f>
        <v>Computers&amp;Accessories</v>
      </c>
      <c r="D25" s="11">
        <f>IFERROR(VALUE(SUBSTITUTE(SUBSTITUTE(TRIM(Raw_Data!C25),"₹",""),",","")),"")</f>
        <v>59</v>
      </c>
      <c r="E25" s="11">
        <f>IFERROR(VALUE(SUBSTITUTE(SUBSTITUTE(TRIM(Raw_Data!D25),"₹",""),",","")),"")</f>
        <v>199</v>
      </c>
      <c r="F25" s="12">
        <f>IFERROR(VALUE(SUBSTITUTE(Raw_Data!E25,"%",""))/100,"")</f>
        <v>0.7</v>
      </c>
      <c r="G25" s="13">
        <f>IFERROR(VALUE(Raw_Data!F25),"")</f>
        <v>4</v>
      </c>
      <c r="H25" s="14">
        <f>IFERROR(VALUE(SUBSTITUTE(Raw_Data!G25,",","")),"")</f>
        <v>9378</v>
      </c>
      <c r="I25" s="11">
        <f t="shared" si="0"/>
        <v>140</v>
      </c>
      <c r="J25" s="11">
        <f t="shared" si="1"/>
        <v>553302</v>
      </c>
      <c r="K25" s="1">
        <f t="shared" si="2"/>
        <v>9378.0000025000008</v>
      </c>
      <c r="L25" s="15">
        <f t="shared" si="3"/>
        <v>0.70000249999999997</v>
      </c>
    </row>
    <row r="26" spans="1:12" ht="15" customHeight="1" x14ac:dyDescent="0.25">
      <c r="A26" s="10" t="str">
        <f>Raw_Data!A26</f>
        <v>Acer 80 cm (32 inches) I Series HD Ready Android Smart LED TV AR32AR2841HDFL (Black)</v>
      </c>
      <c r="B26" s="10" t="str">
        <f>IFERROR(TRIM(LEFT(Raw_Data!A26,FIND(" ",Raw_Data!A26)-1)),Raw_Data!A26)</f>
        <v>Acer</v>
      </c>
      <c r="C26" s="10" t="str">
        <f>IFERROR(LEFT(Raw_Data!B26,FIND("|",Raw_Data!B26)-1),Raw_Data!B26)</f>
        <v>Electronics</v>
      </c>
      <c r="D26" s="11">
        <f>IFERROR(VALUE(SUBSTITUTE(SUBSTITUTE(TRIM(Raw_Data!C26),"₹",""),",","")),"")</f>
        <v>11499</v>
      </c>
      <c r="E26" s="11">
        <f>IFERROR(VALUE(SUBSTITUTE(SUBSTITUTE(TRIM(Raw_Data!D26),"₹",""),",","")),"")</f>
        <v>19990</v>
      </c>
      <c r="F26" s="12">
        <f>IFERROR(VALUE(SUBSTITUTE(Raw_Data!E26,"%",""))/100,"")</f>
        <v>0.42</v>
      </c>
      <c r="G26" s="13">
        <f>IFERROR(VALUE(Raw_Data!F26),"")</f>
        <v>4.3</v>
      </c>
      <c r="H26" s="14">
        <f>IFERROR(VALUE(SUBSTITUTE(Raw_Data!G26,",","")),"")</f>
        <v>4703</v>
      </c>
      <c r="I26" s="11">
        <f t="shared" si="0"/>
        <v>8491</v>
      </c>
      <c r="J26" s="11">
        <f t="shared" si="1"/>
        <v>54079797</v>
      </c>
      <c r="K26" s="1">
        <f t="shared" si="2"/>
        <v>4703.0000025999998</v>
      </c>
      <c r="L26" s="15">
        <f t="shared" si="3"/>
        <v>0.4200026</v>
      </c>
    </row>
    <row r="27" spans="1:12" ht="15" customHeight="1" x14ac:dyDescent="0.25">
      <c r="A27" s="10" t="str">
        <f>Raw_Data!A27</f>
        <v>Tizum High Speed HDMI Cable with Ethernet | Supports 3D 4K | for All HDMI Devices Laptop Computer Gaming Console TV Set Top Box (1.5 Meter/ 5 Feet)</v>
      </c>
      <c r="B27" s="10" t="str">
        <f>IFERROR(TRIM(LEFT(Raw_Data!A27,FIND(" ",Raw_Data!A27)-1)),Raw_Data!A27)</f>
        <v>Tizum</v>
      </c>
      <c r="C27" s="10" t="str">
        <f>IFERROR(LEFT(Raw_Data!B27,FIND("|",Raw_Data!B27)-1),Raw_Data!B27)</f>
        <v>Electronics</v>
      </c>
      <c r="D27" s="11">
        <f>IFERROR(VALUE(SUBSTITUTE(SUBSTITUTE(TRIM(Raw_Data!C27),"₹",""),",","")),"")</f>
        <v>199</v>
      </c>
      <c r="E27" s="11">
        <f>IFERROR(VALUE(SUBSTITUTE(SUBSTITUTE(TRIM(Raw_Data!D27),"₹",""),",","")),"")</f>
        <v>699</v>
      </c>
      <c r="F27" s="12">
        <f>IFERROR(VALUE(SUBSTITUTE(Raw_Data!E27,"%",""))/100,"")</f>
        <v>0.72</v>
      </c>
      <c r="G27" s="13">
        <f>IFERROR(VALUE(Raw_Data!F27),"")</f>
        <v>4.2</v>
      </c>
      <c r="H27" s="14">
        <f>IFERROR(VALUE(SUBSTITUTE(Raw_Data!G27,",","")),"")</f>
        <v>12153</v>
      </c>
      <c r="I27" s="11">
        <f t="shared" si="0"/>
        <v>500</v>
      </c>
      <c r="J27" s="11">
        <f t="shared" si="1"/>
        <v>2418447</v>
      </c>
      <c r="K27" s="1">
        <f t="shared" si="2"/>
        <v>12153.000002700001</v>
      </c>
      <c r="L27" s="15">
        <f t="shared" si="3"/>
        <v>0.7200027</v>
      </c>
    </row>
    <row r="28" spans="1:12" ht="15" customHeight="1" x14ac:dyDescent="0.25">
      <c r="A28" s="10" t="str">
        <f>Raw_Data!A28</f>
        <v>OnePlus 80 cm (32 inches) Y Series HD Ready LED Smart Android TV 32Y1 (Black)</v>
      </c>
      <c r="B28" s="10" t="str">
        <f>IFERROR(TRIM(LEFT(Raw_Data!A28,FIND(" ",Raw_Data!A28)-1)),Raw_Data!A28)</f>
        <v>OnePlus</v>
      </c>
      <c r="C28" s="10" t="str">
        <f>IFERROR(LEFT(Raw_Data!B28,FIND("|",Raw_Data!B28)-1),Raw_Data!B28)</f>
        <v>Electronics</v>
      </c>
      <c r="D28" s="11">
        <f>IFERROR(VALUE(SUBSTITUTE(SUBSTITUTE(TRIM(Raw_Data!C28),"₹",""),",","")),"")</f>
        <v>14999</v>
      </c>
      <c r="E28" s="11">
        <f>IFERROR(VALUE(SUBSTITUTE(SUBSTITUTE(TRIM(Raw_Data!D28),"₹",""),",","")),"")</f>
        <v>19999</v>
      </c>
      <c r="F28" s="12">
        <f>IFERROR(VALUE(SUBSTITUTE(Raw_Data!E28,"%",""))/100,"")</f>
        <v>0.25</v>
      </c>
      <c r="G28" s="13">
        <f>IFERROR(VALUE(Raw_Data!F28),"")</f>
        <v>4.2</v>
      </c>
      <c r="H28" s="14">
        <f>IFERROR(VALUE(SUBSTITUTE(Raw_Data!G28,",","")),"")</f>
        <v>34899</v>
      </c>
      <c r="I28" s="11">
        <f t="shared" si="0"/>
        <v>5000</v>
      </c>
      <c r="J28" s="11">
        <f t="shared" si="1"/>
        <v>523450101</v>
      </c>
      <c r="K28" s="1">
        <f t="shared" si="2"/>
        <v>34899.000002799999</v>
      </c>
      <c r="L28" s="15">
        <f t="shared" si="3"/>
        <v>0.25000280000000003</v>
      </c>
    </row>
    <row r="29" spans="1:12" ht="15" customHeight="1" x14ac:dyDescent="0.25">
      <c r="A29" s="10" t="str">
        <f>Raw_Data!A29</f>
        <v>Ambrane Unbreakable 3 in 1 Fast Charging Braided Multipurpose Cable for Speaker with 2.1 A Speed - 1.25 meter, Black</v>
      </c>
      <c r="B29" s="10" t="str">
        <f>IFERROR(TRIM(LEFT(Raw_Data!A29,FIND(" ",Raw_Data!A29)-1)),Raw_Data!A29)</f>
        <v>Ambrane</v>
      </c>
      <c r="C29" s="10" t="str">
        <f>IFERROR(LEFT(Raw_Data!B29,FIND("|",Raw_Data!B29)-1),Raw_Data!B29)</f>
        <v>Computers&amp;Accessories</v>
      </c>
      <c r="D29" s="11">
        <f>IFERROR(VALUE(SUBSTITUTE(SUBSTITUTE(TRIM(Raw_Data!C29),"₹",""),",","")),"")</f>
        <v>299</v>
      </c>
      <c r="E29" s="11">
        <f>IFERROR(VALUE(SUBSTITUTE(SUBSTITUTE(TRIM(Raw_Data!D29),"₹",""),",","")),"")</f>
        <v>399</v>
      </c>
      <c r="F29" s="12">
        <f>IFERROR(VALUE(SUBSTITUTE(Raw_Data!E29,"%",""))/100,"")</f>
        <v>0.25</v>
      </c>
      <c r="G29" s="13">
        <f>IFERROR(VALUE(Raw_Data!F29),"")</f>
        <v>4</v>
      </c>
      <c r="H29" s="14">
        <f>IFERROR(VALUE(SUBSTITUTE(Raw_Data!G29,",","")),"")</f>
        <v>2766</v>
      </c>
      <c r="I29" s="11">
        <f t="shared" si="0"/>
        <v>100</v>
      </c>
      <c r="J29" s="11">
        <f t="shared" si="1"/>
        <v>827034</v>
      </c>
      <c r="K29" s="1">
        <f t="shared" si="2"/>
        <v>2766.0000028999998</v>
      </c>
      <c r="L29" s="15">
        <f t="shared" si="3"/>
        <v>0.25000289999999997</v>
      </c>
    </row>
    <row r="30" spans="1:12" ht="15" customHeight="1" x14ac:dyDescent="0.25">
      <c r="A30" s="10" t="str">
        <f>Raw_Data!A30</f>
        <v>Duracell USB C To Lightning Apple Certified (Mfi) Braided Sync &amp; Charge Cable For Iphone, Ipad And Ipod. Fast Charging Lightning Cable, 3.9 Feet (1.2M) - Black</v>
      </c>
      <c r="B30" s="10" t="str">
        <f>IFERROR(TRIM(LEFT(Raw_Data!A30,FIND(" ",Raw_Data!A30)-1)),Raw_Data!A30)</f>
        <v>Duracell</v>
      </c>
      <c r="C30" s="10" t="str">
        <f>IFERROR(LEFT(Raw_Data!B30,FIND("|",Raw_Data!B30)-1),Raw_Data!B30)</f>
        <v>Computers&amp;Accessories</v>
      </c>
      <c r="D30" s="11">
        <f>IFERROR(VALUE(SUBSTITUTE(SUBSTITUTE(TRIM(Raw_Data!C30),"₹",""),",","")),"")</f>
        <v>970</v>
      </c>
      <c r="E30" s="11">
        <f>IFERROR(VALUE(SUBSTITUTE(SUBSTITUTE(TRIM(Raw_Data!D30),"₹",""),",","")),"")</f>
        <v>1999</v>
      </c>
      <c r="F30" s="12">
        <f>IFERROR(VALUE(SUBSTITUTE(Raw_Data!E30,"%",""))/100,"")</f>
        <v>0.51</v>
      </c>
      <c r="G30" s="13">
        <f>IFERROR(VALUE(Raw_Data!F30),"")</f>
        <v>4.4000000000000004</v>
      </c>
      <c r="H30" s="14">
        <f>IFERROR(VALUE(SUBSTITUTE(Raw_Data!G30,",","")),"")</f>
        <v>184</v>
      </c>
      <c r="I30" s="11">
        <f t="shared" si="0"/>
        <v>1029</v>
      </c>
      <c r="J30" s="11">
        <f t="shared" si="1"/>
        <v>178480</v>
      </c>
      <c r="K30" s="1">
        <f t="shared" si="2"/>
        <v>184.00000299999999</v>
      </c>
      <c r="L30" s="15">
        <f t="shared" si="3"/>
        <v>0.51000299999999998</v>
      </c>
    </row>
    <row r="31" spans="1:12" ht="15" customHeight="1" x14ac:dyDescent="0.25">
      <c r="A31" s="10" t="str">
        <f>Raw_Data!A31</f>
        <v>boAt A400 USB Type-C to USB-A 2.0 Male Data Cable, 2 Meter (Black)</v>
      </c>
      <c r="B31" s="10" t="str">
        <f>IFERROR(TRIM(LEFT(Raw_Data!A31,FIND(" ",Raw_Data!A31)-1)),Raw_Data!A31)</f>
        <v>boAt</v>
      </c>
      <c r="C31" s="10" t="str">
        <f>IFERROR(LEFT(Raw_Data!B31,FIND("|",Raw_Data!B31)-1),Raw_Data!B31)</f>
        <v>Computers&amp;Accessories</v>
      </c>
      <c r="D31" s="11">
        <f>IFERROR(VALUE(SUBSTITUTE(SUBSTITUTE(TRIM(Raw_Data!C31),"₹",""),",","")),"")</f>
        <v>299</v>
      </c>
      <c r="E31" s="11">
        <f>IFERROR(VALUE(SUBSTITUTE(SUBSTITUTE(TRIM(Raw_Data!D31),"₹",""),",","")),"")</f>
        <v>999</v>
      </c>
      <c r="F31" s="12">
        <f>IFERROR(VALUE(SUBSTITUTE(Raw_Data!E31,"%",""))/100,"")</f>
        <v>0.7</v>
      </c>
      <c r="G31" s="13">
        <f>IFERROR(VALUE(Raw_Data!F31),"")</f>
        <v>4.3</v>
      </c>
      <c r="H31" s="14">
        <f>IFERROR(VALUE(SUBSTITUTE(Raw_Data!G31,",","")),"")</f>
        <v>20850</v>
      </c>
      <c r="I31" s="11">
        <f t="shared" si="0"/>
        <v>700</v>
      </c>
      <c r="J31" s="11">
        <f t="shared" si="1"/>
        <v>6234150</v>
      </c>
      <c r="K31" s="1">
        <f t="shared" si="2"/>
        <v>20850.000003100002</v>
      </c>
      <c r="L31" s="15">
        <f t="shared" si="3"/>
        <v>0.70000309999999999</v>
      </c>
    </row>
    <row r="32" spans="1:12" ht="15" customHeight="1" x14ac:dyDescent="0.25">
      <c r="A32" s="10" t="str">
        <f>Raw_Data!A32</f>
        <v>AmazonBasics USB 2.0 - A-Male to A-Female Extension Cable for Personal Computer, Printer (Black, 9.8 Feet/3 Meters)</v>
      </c>
      <c r="B32" s="10" t="str">
        <f>IFERROR(TRIM(LEFT(Raw_Data!A32,FIND(" ",Raw_Data!A32)-1)),Raw_Data!A32)</f>
        <v>AmazonBasics</v>
      </c>
      <c r="C32" s="10" t="str">
        <f>IFERROR(LEFT(Raw_Data!B32,FIND("|",Raw_Data!B32)-1),Raw_Data!B32)</f>
        <v>Computers&amp;Accessories</v>
      </c>
      <c r="D32" s="11">
        <f>IFERROR(VALUE(SUBSTITUTE(SUBSTITUTE(TRIM(Raw_Data!C32),"₹",""),",","")),"")</f>
        <v>199</v>
      </c>
      <c r="E32" s="11">
        <f>IFERROR(VALUE(SUBSTITUTE(SUBSTITUTE(TRIM(Raw_Data!D32),"₹",""),",","")),"")</f>
        <v>750</v>
      </c>
      <c r="F32" s="12">
        <f>IFERROR(VALUE(SUBSTITUTE(Raw_Data!E32,"%",""))/100,"")</f>
        <v>0.73</v>
      </c>
      <c r="G32" s="13">
        <f>IFERROR(VALUE(Raw_Data!F32),"")</f>
        <v>4.5</v>
      </c>
      <c r="H32" s="14">
        <f>IFERROR(VALUE(SUBSTITUTE(Raw_Data!G32,",","")),"")</f>
        <v>74976</v>
      </c>
      <c r="I32" s="11">
        <f t="shared" si="0"/>
        <v>551</v>
      </c>
      <c r="J32" s="11">
        <f t="shared" si="1"/>
        <v>14920224</v>
      </c>
      <c r="K32" s="1">
        <f t="shared" si="2"/>
        <v>74976.000003199995</v>
      </c>
      <c r="L32" s="15">
        <f t="shared" si="3"/>
        <v>0.73000319999999996</v>
      </c>
    </row>
    <row r="33" spans="1:12" ht="15" customHeight="1" x14ac:dyDescent="0.25">
      <c r="A33" s="10" t="str">
        <f>Raw_Data!A33</f>
        <v>Ambrane 60W / 3A Type C Fast Charging Unbreakable 1.5m L Shaped Braided Cable, PD Technology, 480Mbps Data Transfer for Smartphones, Tablet, Laptops &amp; other type c devices (ABLC10, Black)</v>
      </c>
      <c r="B33" s="10" t="str">
        <f>IFERROR(TRIM(LEFT(Raw_Data!A33,FIND(" ",Raw_Data!A33)-1)),Raw_Data!A33)</f>
        <v>Ambrane</v>
      </c>
      <c r="C33" s="10" t="str">
        <f>IFERROR(LEFT(Raw_Data!B33,FIND("|",Raw_Data!B33)-1),Raw_Data!B33)</f>
        <v>Computers&amp;Accessories</v>
      </c>
      <c r="D33" s="11">
        <f>IFERROR(VALUE(SUBSTITUTE(SUBSTITUTE(TRIM(Raw_Data!C33),"₹",""),",","")),"")</f>
        <v>179</v>
      </c>
      <c r="E33" s="11">
        <f>IFERROR(VALUE(SUBSTITUTE(SUBSTITUTE(TRIM(Raw_Data!D33),"₹",""),",","")),"")</f>
        <v>499</v>
      </c>
      <c r="F33" s="12">
        <f>IFERROR(VALUE(SUBSTITUTE(Raw_Data!E33,"%",""))/100,"")</f>
        <v>0.64</v>
      </c>
      <c r="G33" s="13">
        <f>IFERROR(VALUE(Raw_Data!F33),"")</f>
        <v>4</v>
      </c>
      <c r="H33" s="14">
        <f>IFERROR(VALUE(SUBSTITUTE(Raw_Data!G33,",","")),"")</f>
        <v>1934</v>
      </c>
      <c r="I33" s="11">
        <f t="shared" si="0"/>
        <v>320</v>
      </c>
      <c r="J33" s="11">
        <f t="shared" si="1"/>
        <v>346186</v>
      </c>
      <c r="K33" s="1">
        <f t="shared" si="2"/>
        <v>1934.0000032999999</v>
      </c>
      <c r="L33" s="15">
        <f t="shared" si="3"/>
        <v>0.64000330000000005</v>
      </c>
    </row>
    <row r="34" spans="1:12" ht="15" customHeight="1" x14ac:dyDescent="0.25">
      <c r="A34" s="10" t="str">
        <f>Raw_Data!A34</f>
        <v>Zoul USB C 60W Fast Charging 3A 6ft/2M Long Type C Nylon Braided Data Cable Quick Charger Cable QC 3.0 for Samsung Galaxy M31S M30 S10 S9 S20 Plus, Note 10 9 8, A20e A40 A50 A70 (2M, Grey)</v>
      </c>
      <c r="B34" s="10" t="str">
        <f>IFERROR(TRIM(LEFT(Raw_Data!A34,FIND(" ",Raw_Data!A34)-1)),Raw_Data!A34)</f>
        <v>Zoul</v>
      </c>
      <c r="C34" s="10" t="str">
        <f>IFERROR(LEFT(Raw_Data!B34,FIND("|",Raw_Data!B34)-1),Raw_Data!B34)</f>
        <v>Computers&amp;Accessories</v>
      </c>
      <c r="D34" s="11">
        <f>IFERROR(VALUE(SUBSTITUTE(SUBSTITUTE(TRIM(Raw_Data!C34),"₹",""),",","")),"")</f>
        <v>389</v>
      </c>
      <c r="E34" s="11">
        <f>IFERROR(VALUE(SUBSTITUTE(SUBSTITUTE(TRIM(Raw_Data!D34),"₹",""),",","")),"")</f>
        <v>1099</v>
      </c>
      <c r="F34" s="12">
        <f>IFERROR(VALUE(SUBSTITUTE(Raw_Data!E34,"%",""))/100,"")</f>
        <v>0.65</v>
      </c>
      <c r="G34" s="13">
        <f>IFERROR(VALUE(Raw_Data!F34),"")</f>
        <v>4.3</v>
      </c>
      <c r="H34" s="14">
        <f>IFERROR(VALUE(SUBSTITUTE(Raw_Data!G34,",","")),"")</f>
        <v>974</v>
      </c>
      <c r="I34" s="11">
        <f t="shared" si="0"/>
        <v>710</v>
      </c>
      <c r="J34" s="11">
        <f t="shared" si="1"/>
        <v>378886</v>
      </c>
      <c r="K34" s="1">
        <f t="shared" si="2"/>
        <v>974.00000339999997</v>
      </c>
      <c r="L34" s="15">
        <f t="shared" si="3"/>
        <v>0.65000340000000001</v>
      </c>
    </row>
    <row r="35" spans="1:12" ht="15" customHeight="1" x14ac:dyDescent="0.25">
      <c r="A35" s="10" t="str">
        <f>Raw_Data!A35</f>
        <v>Samsung Original Type C to C Cable - 3.28 Feet (1 Meter), White</v>
      </c>
      <c r="B35" s="10" t="str">
        <f>IFERROR(TRIM(LEFT(Raw_Data!A35,FIND(" ",Raw_Data!A35)-1)),Raw_Data!A35)</f>
        <v>Samsung</v>
      </c>
      <c r="C35" s="10" t="str">
        <f>IFERROR(LEFT(Raw_Data!B35,FIND("|",Raw_Data!B35)-1),Raw_Data!B35)</f>
        <v>Computers&amp;Accessories</v>
      </c>
      <c r="D35" s="11">
        <f>IFERROR(VALUE(SUBSTITUTE(SUBSTITUTE(TRIM(Raw_Data!C35),"₹",""),",","")),"")</f>
        <v>599</v>
      </c>
      <c r="E35" s="11">
        <f>IFERROR(VALUE(SUBSTITUTE(SUBSTITUTE(TRIM(Raw_Data!D35),"₹",""),",","")),"")</f>
        <v>599</v>
      </c>
      <c r="F35" s="12">
        <f>IFERROR(VALUE(SUBSTITUTE(Raw_Data!E35,"%",""))/100,"")</f>
        <v>0</v>
      </c>
      <c r="G35" s="13">
        <f>IFERROR(VALUE(Raw_Data!F35),"")</f>
        <v>4.3</v>
      </c>
      <c r="H35" s="14">
        <f>IFERROR(VALUE(SUBSTITUTE(Raw_Data!G35,",","")),"")</f>
        <v>355</v>
      </c>
      <c r="I35" s="11">
        <f t="shared" si="0"/>
        <v>0</v>
      </c>
      <c r="J35" s="11">
        <f t="shared" si="1"/>
        <v>212645</v>
      </c>
      <c r="K35" s="1">
        <f t="shared" si="2"/>
        <v>355.00000349999999</v>
      </c>
      <c r="L35" s="15">
        <f t="shared" si="3"/>
        <v>3.4999999999999999E-6</v>
      </c>
    </row>
    <row r="36" spans="1:12" ht="15" customHeight="1" x14ac:dyDescent="0.25">
      <c r="A36" s="10" t="str">
        <f>Raw_Data!A36</f>
        <v>pTron Solero T351 3.5Amps Fast Charging Type-C to Type-C PD Data &amp; Charging USB Cable, Made in India, 480Mbps Data Sync, Durable 1 Meter Long Cable for Type-C Smartphones, Tablets &amp; Laptops (Black)</v>
      </c>
      <c r="B36" s="10" t="str">
        <f>IFERROR(TRIM(LEFT(Raw_Data!A36,FIND(" ",Raw_Data!A36)-1)),Raw_Data!A36)</f>
        <v>pTron</v>
      </c>
      <c r="C36" s="10" t="str">
        <f>IFERROR(LEFT(Raw_Data!B36,FIND("|",Raw_Data!B36)-1),Raw_Data!B36)</f>
        <v>Computers&amp;Accessories</v>
      </c>
      <c r="D36" s="11">
        <f>IFERROR(VALUE(SUBSTITUTE(SUBSTITUTE(TRIM(Raw_Data!C36),"₹",""),",","")),"")</f>
        <v>199</v>
      </c>
      <c r="E36" s="11">
        <f>IFERROR(VALUE(SUBSTITUTE(SUBSTITUTE(TRIM(Raw_Data!D36),"₹",""),",","")),"")</f>
        <v>999</v>
      </c>
      <c r="F36" s="12">
        <f>IFERROR(VALUE(SUBSTITUTE(Raw_Data!E36,"%",""))/100,"")</f>
        <v>0.8</v>
      </c>
      <c r="G36" s="13">
        <f>IFERROR(VALUE(Raw_Data!F36),"")</f>
        <v>3.9</v>
      </c>
      <c r="H36" s="14">
        <f>IFERROR(VALUE(SUBSTITUTE(Raw_Data!G36,",","")),"")</f>
        <v>1075</v>
      </c>
      <c r="I36" s="11">
        <f t="shared" si="0"/>
        <v>800</v>
      </c>
      <c r="J36" s="11">
        <f t="shared" si="1"/>
        <v>213925</v>
      </c>
      <c r="K36" s="1">
        <f t="shared" si="2"/>
        <v>1075.0000035999999</v>
      </c>
      <c r="L36" s="15">
        <f t="shared" si="3"/>
        <v>0.80000360000000004</v>
      </c>
    </row>
    <row r="37" spans="1:12" ht="15" customHeight="1" x14ac:dyDescent="0.25">
      <c r="A37" s="10" t="str">
        <f>Raw_Data!A37</f>
        <v>pTron Solero MB301 3A Micro USB Data &amp; Charging Cable, Made in India, 480Mbps Data Sync, Strong &amp; Durable 1.5-Meter Nylon Braided USB Cable for Micro USB Devices - (Black)</v>
      </c>
      <c r="B37" s="10" t="str">
        <f>IFERROR(TRIM(LEFT(Raw_Data!A37,FIND(" ",Raw_Data!A37)-1)),Raw_Data!A37)</f>
        <v>pTron</v>
      </c>
      <c r="C37" s="10" t="str">
        <f>IFERROR(LEFT(Raw_Data!B37,FIND("|",Raw_Data!B37)-1),Raw_Data!B37)</f>
        <v>Computers&amp;Accessories</v>
      </c>
      <c r="D37" s="11">
        <f>IFERROR(VALUE(SUBSTITUTE(SUBSTITUTE(TRIM(Raw_Data!C37),"₹",""),",","")),"")</f>
        <v>99</v>
      </c>
      <c r="E37" s="11">
        <f>IFERROR(VALUE(SUBSTITUTE(SUBSTITUTE(TRIM(Raw_Data!D37),"₹",""),",","")),"")</f>
        <v>666.66</v>
      </c>
      <c r="F37" s="12">
        <f>IFERROR(VALUE(SUBSTITUTE(Raw_Data!E37,"%",""))/100,"")</f>
        <v>0.85</v>
      </c>
      <c r="G37" s="13">
        <f>IFERROR(VALUE(Raw_Data!F37),"")</f>
        <v>3.9</v>
      </c>
      <c r="H37" s="14">
        <f>IFERROR(VALUE(SUBSTITUTE(Raw_Data!G37,",","")),"")</f>
        <v>24871</v>
      </c>
      <c r="I37" s="11">
        <f t="shared" si="0"/>
        <v>567.66</v>
      </c>
      <c r="J37" s="11">
        <f t="shared" si="1"/>
        <v>2462229</v>
      </c>
      <c r="K37" s="1">
        <f t="shared" si="2"/>
        <v>24871.000003699999</v>
      </c>
      <c r="L37" s="15">
        <f t="shared" si="3"/>
        <v>0.85000370000000003</v>
      </c>
    </row>
    <row r="38" spans="1:12" ht="15" customHeight="1" x14ac:dyDescent="0.25">
      <c r="A38" s="10" t="str">
        <f>Raw_Data!A38</f>
        <v>Amazonbasics Nylon Braided Usb-C To Lightning Cable, Fast Charging Mfi Certified Smartphone, Iphone Charger (6-Foot, Dark Grey)</v>
      </c>
      <c r="B38" s="10" t="str">
        <f>IFERROR(TRIM(LEFT(Raw_Data!A38,FIND(" ",Raw_Data!A38)-1)),Raw_Data!A38)</f>
        <v>Amazonbasics</v>
      </c>
      <c r="C38" s="10" t="str">
        <f>IFERROR(LEFT(Raw_Data!B38,FIND("|",Raw_Data!B38)-1),Raw_Data!B38)</f>
        <v>Computers&amp;Accessories</v>
      </c>
      <c r="D38" s="11">
        <f>IFERROR(VALUE(SUBSTITUTE(SUBSTITUTE(TRIM(Raw_Data!C38),"₹",""),",","")),"")</f>
        <v>899</v>
      </c>
      <c r="E38" s="11">
        <f>IFERROR(VALUE(SUBSTITUTE(SUBSTITUTE(TRIM(Raw_Data!D38),"₹",""),",","")),"")</f>
        <v>1900</v>
      </c>
      <c r="F38" s="12">
        <f>IFERROR(VALUE(SUBSTITUTE(Raw_Data!E38,"%",""))/100,"")</f>
        <v>0.53</v>
      </c>
      <c r="G38" s="13">
        <f>IFERROR(VALUE(Raw_Data!F38),"")</f>
        <v>4.4000000000000004</v>
      </c>
      <c r="H38" s="14">
        <f>IFERROR(VALUE(SUBSTITUTE(Raw_Data!G38,",","")),"")</f>
        <v>13552</v>
      </c>
      <c r="I38" s="11">
        <f t="shared" si="0"/>
        <v>1001</v>
      </c>
      <c r="J38" s="11">
        <f t="shared" si="1"/>
        <v>12183248</v>
      </c>
      <c r="K38" s="1">
        <f t="shared" si="2"/>
        <v>13552.0000038</v>
      </c>
      <c r="L38" s="15">
        <f t="shared" si="3"/>
        <v>0.53000380000000002</v>
      </c>
    </row>
    <row r="39" spans="1:12" ht="15" customHeight="1" x14ac:dyDescent="0.25">
      <c r="A39" s="10" t="str">
        <f>Raw_Data!A39</f>
        <v>Sounce 65W OnePlus Dash Warp Charge Cable, 6.5A Type-C to USB C PD Data Sync Fast Charging Cable Compatible with One Plus 8T/ 9/ 9R/ 9 pro/ 9RT/ 10R/ Nord &amp; for All Type C Devices – Red, 1 Meter</v>
      </c>
      <c r="B39" s="10" t="str">
        <f>IFERROR(TRIM(LEFT(Raw_Data!A39,FIND(" ",Raw_Data!A39)-1)),Raw_Data!A39)</f>
        <v>Sounce</v>
      </c>
      <c r="C39" s="10" t="str">
        <f>IFERROR(LEFT(Raw_Data!B39,FIND("|",Raw_Data!B39)-1),Raw_Data!B39)</f>
        <v>Computers&amp;Accessories</v>
      </c>
      <c r="D39" s="11">
        <f>IFERROR(VALUE(SUBSTITUTE(SUBSTITUTE(TRIM(Raw_Data!C39),"₹",""),",","")),"")</f>
        <v>199</v>
      </c>
      <c r="E39" s="11">
        <f>IFERROR(VALUE(SUBSTITUTE(SUBSTITUTE(TRIM(Raw_Data!D39),"₹",""),",","")),"")</f>
        <v>999</v>
      </c>
      <c r="F39" s="12">
        <f>IFERROR(VALUE(SUBSTITUTE(Raw_Data!E39,"%",""))/100,"")</f>
        <v>0.8</v>
      </c>
      <c r="G39" s="13">
        <f>IFERROR(VALUE(Raw_Data!F39),"")</f>
        <v>4</v>
      </c>
      <c r="H39" s="14">
        <f>IFERROR(VALUE(SUBSTITUTE(Raw_Data!G39,",","")),"")</f>
        <v>576</v>
      </c>
      <c r="I39" s="11">
        <f t="shared" si="0"/>
        <v>800</v>
      </c>
      <c r="J39" s="11">
        <f t="shared" si="1"/>
        <v>114624</v>
      </c>
      <c r="K39" s="1">
        <f t="shared" si="2"/>
        <v>576.00000390000002</v>
      </c>
      <c r="L39" s="15">
        <f t="shared" si="3"/>
        <v>0.80000389999999999</v>
      </c>
    </row>
    <row r="40" spans="1:12" ht="15" customHeight="1" x14ac:dyDescent="0.25">
      <c r="A40" s="10" t="str">
        <f>Raw_Data!A40</f>
        <v>OnePlus 126 cm (50 inches) Y Series 4K Ultra HD Smart Android LED TV 50Y1S Pro (Black)</v>
      </c>
      <c r="B40" s="10" t="str">
        <f>IFERROR(TRIM(LEFT(Raw_Data!A40,FIND(" ",Raw_Data!A40)-1)),Raw_Data!A40)</f>
        <v>OnePlus</v>
      </c>
      <c r="C40" s="10" t="str">
        <f>IFERROR(LEFT(Raw_Data!B40,FIND("|",Raw_Data!B40)-1),Raw_Data!B40)</f>
        <v>Electronics</v>
      </c>
      <c r="D40" s="11">
        <f>IFERROR(VALUE(SUBSTITUTE(SUBSTITUTE(TRIM(Raw_Data!C40),"₹",""),",","")),"")</f>
        <v>32999</v>
      </c>
      <c r="E40" s="11">
        <f>IFERROR(VALUE(SUBSTITUTE(SUBSTITUTE(TRIM(Raw_Data!D40),"₹",""),",","")),"")</f>
        <v>45999</v>
      </c>
      <c r="F40" s="12">
        <f>IFERROR(VALUE(SUBSTITUTE(Raw_Data!E40,"%",""))/100,"")</f>
        <v>0.28000000000000003</v>
      </c>
      <c r="G40" s="13">
        <f>IFERROR(VALUE(Raw_Data!F40),"")</f>
        <v>4.2</v>
      </c>
      <c r="H40" s="14">
        <f>IFERROR(VALUE(SUBSTITUTE(Raw_Data!G40,",","")),"")</f>
        <v>7298</v>
      </c>
      <c r="I40" s="11">
        <f t="shared" si="0"/>
        <v>13000</v>
      </c>
      <c r="J40" s="11">
        <f t="shared" si="1"/>
        <v>240826702</v>
      </c>
      <c r="K40" s="1">
        <f t="shared" si="2"/>
        <v>7298.0000040000004</v>
      </c>
      <c r="L40" s="15">
        <f t="shared" si="3"/>
        <v>0.28000400000000003</v>
      </c>
    </row>
    <row r="41" spans="1:12" ht="15" customHeight="1" x14ac:dyDescent="0.25">
      <c r="A41" s="10" t="str">
        <f>Raw_Data!A41</f>
        <v>Duracell Type C To Type C 5A (100W) Braided Sync &amp; Fast Charging Cable, 3.9 Feet (1.2M). USB C to C Cable, Supports PD &amp; QC 3.0 Charging, 5 GBPS Data Transmission – Black</v>
      </c>
      <c r="B41" s="10" t="str">
        <f>IFERROR(TRIM(LEFT(Raw_Data!A41,FIND(" ",Raw_Data!A41)-1)),Raw_Data!A41)</f>
        <v>Duracell</v>
      </c>
      <c r="C41" s="10" t="str">
        <f>IFERROR(LEFT(Raw_Data!B41,FIND("|",Raw_Data!B41)-1),Raw_Data!B41)</f>
        <v>Computers&amp;Accessories</v>
      </c>
      <c r="D41" s="11">
        <f>IFERROR(VALUE(SUBSTITUTE(SUBSTITUTE(TRIM(Raw_Data!C41),"₹",""),",","")),"")</f>
        <v>970</v>
      </c>
      <c r="E41" s="11">
        <f>IFERROR(VALUE(SUBSTITUTE(SUBSTITUTE(TRIM(Raw_Data!D41),"₹",""),",","")),"")</f>
        <v>1999</v>
      </c>
      <c r="F41" s="12">
        <f>IFERROR(VALUE(SUBSTITUTE(Raw_Data!E41,"%",""))/100,"")</f>
        <v>0.51</v>
      </c>
      <c r="G41" s="13">
        <f>IFERROR(VALUE(Raw_Data!F41),"")</f>
        <v>4.2</v>
      </c>
      <c r="H41" s="14">
        <f>IFERROR(VALUE(SUBSTITUTE(Raw_Data!G41,",","")),"")</f>
        <v>462</v>
      </c>
      <c r="I41" s="11">
        <f t="shared" si="0"/>
        <v>1029</v>
      </c>
      <c r="J41" s="11">
        <f t="shared" si="1"/>
        <v>448140</v>
      </c>
      <c r="K41" s="1">
        <f t="shared" si="2"/>
        <v>462.00000410000001</v>
      </c>
      <c r="L41" s="15">
        <f t="shared" si="3"/>
        <v>0.51000409999999996</v>
      </c>
    </row>
    <row r="42" spans="1:12" ht="15" customHeight="1" x14ac:dyDescent="0.25">
      <c r="A42" s="10" t="str">
        <f>Raw_Data!A42</f>
        <v>AmazonBasics USB 2.0 Cable - A-Male to B-Male - for Personal Computer, Printer- 6 Feet (1.8 Meters), Black</v>
      </c>
      <c r="B42" s="10" t="str">
        <f>IFERROR(TRIM(LEFT(Raw_Data!A42,FIND(" ",Raw_Data!A42)-1)),Raw_Data!A42)</f>
        <v>AmazonBasics</v>
      </c>
      <c r="C42" s="10" t="str">
        <f>IFERROR(LEFT(Raw_Data!B42,FIND("|",Raw_Data!B42)-1),Raw_Data!B42)</f>
        <v>Computers&amp;Accessories</v>
      </c>
      <c r="D42" s="11">
        <f>IFERROR(VALUE(SUBSTITUTE(SUBSTITUTE(TRIM(Raw_Data!C42),"₹",""),",","")),"")</f>
        <v>209</v>
      </c>
      <c r="E42" s="11">
        <f>IFERROR(VALUE(SUBSTITUTE(SUBSTITUTE(TRIM(Raw_Data!D42),"₹",""),",","")),"")</f>
        <v>695</v>
      </c>
      <c r="F42" s="12">
        <f>IFERROR(VALUE(SUBSTITUTE(Raw_Data!E42,"%",""))/100,"")</f>
        <v>0.7</v>
      </c>
      <c r="G42" s="13">
        <f>IFERROR(VALUE(Raw_Data!F42),"")</f>
        <v>4.5</v>
      </c>
      <c r="H42" s="14">
        <f>IFERROR(VALUE(SUBSTITUTE(Raw_Data!G42,",","")),"")</f>
        <v>107687</v>
      </c>
      <c r="I42" s="11">
        <f t="shared" si="0"/>
        <v>486</v>
      </c>
      <c r="J42" s="11">
        <f t="shared" si="1"/>
        <v>22506583</v>
      </c>
      <c r="K42" s="1">
        <f t="shared" si="2"/>
        <v>107687.0000042</v>
      </c>
      <c r="L42" s="15">
        <f t="shared" si="3"/>
        <v>0.70000419999999997</v>
      </c>
    </row>
    <row r="43" spans="1:12" ht="15" customHeight="1" x14ac:dyDescent="0.25">
      <c r="A43" s="10" t="str">
        <f>Raw_Data!A43</f>
        <v>Mi 108 cm (43 inches) Full HD Android LED TV 4C | L43M6-INC (Black)</v>
      </c>
      <c r="B43" s="10" t="str">
        <f>IFERROR(TRIM(LEFT(Raw_Data!A43,FIND(" ",Raw_Data!A43)-1)),Raw_Data!A43)</f>
        <v>Mi</v>
      </c>
      <c r="C43" s="10" t="str">
        <f>IFERROR(LEFT(Raw_Data!B43,FIND("|",Raw_Data!B43)-1),Raw_Data!B43)</f>
        <v>Electronics</v>
      </c>
      <c r="D43" s="11">
        <f>IFERROR(VALUE(SUBSTITUTE(SUBSTITUTE(TRIM(Raw_Data!C43),"₹",""),",","")),"")</f>
        <v>19999</v>
      </c>
      <c r="E43" s="11">
        <f>IFERROR(VALUE(SUBSTITUTE(SUBSTITUTE(TRIM(Raw_Data!D43),"₹",""),",","")),"")</f>
        <v>34999</v>
      </c>
      <c r="F43" s="12">
        <f>IFERROR(VALUE(SUBSTITUTE(Raw_Data!E43,"%",""))/100,"")</f>
        <v>0.43</v>
      </c>
      <c r="G43" s="13">
        <f>IFERROR(VALUE(Raw_Data!F43),"")</f>
        <v>4.3</v>
      </c>
      <c r="H43" s="14">
        <f>IFERROR(VALUE(SUBSTITUTE(Raw_Data!G43,",","")),"")</f>
        <v>27151</v>
      </c>
      <c r="I43" s="11">
        <f t="shared" si="0"/>
        <v>15000</v>
      </c>
      <c r="J43" s="11">
        <f t="shared" si="1"/>
        <v>542992849</v>
      </c>
      <c r="K43" s="1">
        <f t="shared" si="2"/>
        <v>27151.0000043</v>
      </c>
      <c r="L43" s="15">
        <f t="shared" si="3"/>
        <v>0.43000430000000001</v>
      </c>
    </row>
    <row r="44" spans="1:12" ht="15" customHeight="1" x14ac:dyDescent="0.25">
      <c r="A44" s="10" t="str">
        <f>Raw_Data!A44</f>
        <v>Wayona Nylon Braided 3A Lightning to USB A Syncing and Fast Charging Data Cable for iPhone, Ipad (3 FT Pack of 1, Black)</v>
      </c>
      <c r="B44" s="10" t="str">
        <f>IFERROR(TRIM(LEFT(Raw_Data!A44,FIND(" ",Raw_Data!A44)-1)),Raw_Data!A44)</f>
        <v>Wayona</v>
      </c>
      <c r="C44" s="10" t="str">
        <f>IFERROR(LEFT(Raw_Data!B44,FIND("|",Raw_Data!B44)-1),Raw_Data!B44)</f>
        <v>Computers&amp;Accessories</v>
      </c>
      <c r="D44" s="11">
        <f>IFERROR(VALUE(SUBSTITUTE(SUBSTITUTE(TRIM(Raw_Data!C44),"₹",""),",","")),"")</f>
        <v>399</v>
      </c>
      <c r="E44" s="11">
        <f>IFERROR(VALUE(SUBSTITUTE(SUBSTITUTE(TRIM(Raw_Data!D44),"₹",""),",","")),"")</f>
        <v>1099</v>
      </c>
      <c r="F44" s="12">
        <f>IFERROR(VALUE(SUBSTITUTE(Raw_Data!E44,"%",""))/100,"")</f>
        <v>0.64</v>
      </c>
      <c r="G44" s="13">
        <f>IFERROR(VALUE(Raw_Data!F44),"")</f>
        <v>4.2</v>
      </c>
      <c r="H44" s="14">
        <f>IFERROR(VALUE(SUBSTITUTE(Raw_Data!G44,",","")),"")</f>
        <v>24269</v>
      </c>
      <c r="I44" s="11">
        <f t="shared" si="0"/>
        <v>700</v>
      </c>
      <c r="J44" s="11">
        <f t="shared" si="1"/>
        <v>9683331</v>
      </c>
      <c r="K44" s="1">
        <f t="shared" si="2"/>
        <v>24269.000004400001</v>
      </c>
      <c r="L44" s="15">
        <f t="shared" si="3"/>
        <v>0.64000440000000003</v>
      </c>
    </row>
    <row r="45" spans="1:12" ht="15" customHeight="1" x14ac:dyDescent="0.25">
      <c r="A45" s="10" t="str">
        <f>Raw_Data!A45</f>
        <v>TP-Link Nano AC600 USB Wi-Fi Adapter(Archer T2U Nano)- 2.4G/5G Dual Band Wireless Network Adapter for PC Desktop Laptop, Mini Travel Size, Supports Windows 11,10, 8.1, 8, 7, XP/Mac OS 10.9-10.15</v>
      </c>
      <c r="B45" s="10" t="str">
        <f>IFERROR(TRIM(LEFT(Raw_Data!A45,FIND(" ",Raw_Data!A45)-1)),Raw_Data!A45)</f>
        <v>TP-Link</v>
      </c>
      <c r="C45" s="10" t="str">
        <f>IFERROR(LEFT(Raw_Data!B45,FIND("|",Raw_Data!B45)-1),Raw_Data!B45)</f>
        <v>Computers&amp;Accessories</v>
      </c>
      <c r="D45" s="11">
        <f>IFERROR(VALUE(SUBSTITUTE(SUBSTITUTE(TRIM(Raw_Data!C45),"₹",""),",","")),"")</f>
        <v>999</v>
      </c>
      <c r="E45" s="11">
        <f>IFERROR(VALUE(SUBSTITUTE(SUBSTITUTE(TRIM(Raw_Data!D45),"₹",""),",","")),"")</f>
        <v>1599</v>
      </c>
      <c r="F45" s="12">
        <f>IFERROR(VALUE(SUBSTITUTE(Raw_Data!E45,"%",""))/100,"")</f>
        <v>0.38</v>
      </c>
      <c r="G45" s="13">
        <f>IFERROR(VALUE(Raw_Data!F45),"")</f>
        <v>4.3</v>
      </c>
      <c r="H45" s="14">
        <f>IFERROR(VALUE(SUBSTITUTE(Raw_Data!G45,",","")),"")</f>
        <v>12093</v>
      </c>
      <c r="I45" s="11">
        <f t="shared" si="0"/>
        <v>600</v>
      </c>
      <c r="J45" s="11">
        <f t="shared" si="1"/>
        <v>12080907</v>
      </c>
      <c r="K45" s="1">
        <f t="shared" si="2"/>
        <v>12093.0000045</v>
      </c>
      <c r="L45" s="15">
        <f t="shared" si="3"/>
        <v>0.38000450000000002</v>
      </c>
    </row>
    <row r="46" spans="1:12" ht="15" customHeight="1" x14ac:dyDescent="0.25">
      <c r="A46" s="10" t="str">
        <f>Raw_Data!A46</f>
        <v>FLiX (Beetel USB to Micro USB PVC Data Sync &amp; 2A Fast Charging Cable, Made in India, 480Mbps Data Sync, Solid Cable, 1 Meter Long USB Cable for Micro USB Devices (White)(XCD-M11)</v>
      </c>
      <c r="B46" s="10" t="str">
        <f>IFERROR(TRIM(LEFT(Raw_Data!A46,FIND(" ",Raw_Data!A46)-1)),Raw_Data!A46)</f>
        <v>FLiX</v>
      </c>
      <c r="C46" s="10" t="str">
        <f>IFERROR(LEFT(Raw_Data!B46,FIND("|",Raw_Data!B46)-1),Raw_Data!B46)</f>
        <v>Computers&amp;Accessories</v>
      </c>
      <c r="D46" s="11">
        <f>IFERROR(VALUE(SUBSTITUTE(SUBSTITUTE(TRIM(Raw_Data!C46),"₹",""),",","")),"")</f>
        <v>59</v>
      </c>
      <c r="E46" s="11">
        <f>IFERROR(VALUE(SUBSTITUTE(SUBSTITUTE(TRIM(Raw_Data!D46),"₹",""),",","")),"")</f>
        <v>199</v>
      </c>
      <c r="F46" s="12">
        <f>IFERROR(VALUE(SUBSTITUTE(Raw_Data!E46,"%",""))/100,"")</f>
        <v>0.7</v>
      </c>
      <c r="G46" s="13">
        <f>IFERROR(VALUE(Raw_Data!F46),"")</f>
        <v>4</v>
      </c>
      <c r="H46" s="14">
        <f>IFERROR(VALUE(SUBSTITUTE(Raw_Data!G46,",","")),"")</f>
        <v>9378</v>
      </c>
      <c r="I46" s="11">
        <f t="shared" si="0"/>
        <v>140</v>
      </c>
      <c r="J46" s="11">
        <f t="shared" si="1"/>
        <v>553302</v>
      </c>
      <c r="K46" s="1">
        <f t="shared" si="2"/>
        <v>9378.0000046000005</v>
      </c>
      <c r="L46" s="15">
        <f t="shared" si="3"/>
        <v>0.70000459999999998</v>
      </c>
    </row>
    <row r="47" spans="1:12" ht="15" customHeight="1" x14ac:dyDescent="0.25">
      <c r="A47" s="10" t="str">
        <f>Raw_Data!A47</f>
        <v>Wecool Nylon Braided Multifunction Fast Charging Cable For Android Smartphone, Ios And Type C Usb Devices, 3 In 1 Charging Cable, 3A, (3 Feet) (Black)</v>
      </c>
      <c r="B47" s="10" t="str">
        <f>IFERROR(TRIM(LEFT(Raw_Data!A47,FIND(" ",Raw_Data!A47)-1)),Raw_Data!A47)</f>
        <v>Wecool</v>
      </c>
      <c r="C47" s="10" t="str">
        <f>IFERROR(LEFT(Raw_Data!B47,FIND("|",Raw_Data!B47)-1),Raw_Data!B47)</f>
        <v>Computers&amp;Accessories</v>
      </c>
      <c r="D47" s="11">
        <f>IFERROR(VALUE(SUBSTITUTE(SUBSTITUTE(TRIM(Raw_Data!C47),"₹",""),",","")),"")</f>
        <v>333</v>
      </c>
      <c r="E47" s="11">
        <f>IFERROR(VALUE(SUBSTITUTE(SUBSTITUTE(TRIM(Raw_Data!D47),"₹",""),",","")),"")</f>
        <v>999</v>
      </c>
      <c r="F47" s="12">
        <f>IFERROR(VALUE(SUBSTITUTE(Raw_Data!E47,"%",""))/100,"")</f>
        <v>0.67</v>
      </c>
      <c r="G47" s="13">
        <f>IFERROR(VALUE(Raw_Data!F47),"")</f>
        <v>3.3</v>
      </c>
      <c r="H47" s="14">
        <f>IFERROR(VALUE(SUBSTITUTE(Raw_Data!G47,",","")),"")</f>
        <v>9792</v>
      </c>
      <c r="I47" s="11">
        <f t="shared" si="0"/>
        <v>666</v>
      </c>
      <c r="J47" s="11">
        <f t="shared" si="1"/>
        <v>3260736</v>
      </c>
      <c r="K47" s="1">
        <f t="shared" si="2"/>
        <v>9792.0000046999994</v>
      </c>
      <c r="L47" s="15">
        <f t="shared" si="3"/>
        <v>0.67000470000000001</v>
      </c>
    </row>
    <row r="48" spans="1:12" ht="15" customHeight="1" x14ac:dyDescent="0.25">
      <c r="A48" s="10" t="str">
        <f>Raw_Data!A48</f>
        <v>D-Link DWA-131 300 Mbps Wireless Nano USB Adapter (Black)</v>
      </c>
      <c r="B48" s="10" t="str">
        <f>IFERROR(TRIM(LEFT(Raw_Data!A48,FIND(" ",Raw_Data!A48)-1)),Raw_Data!A48)</f>
        <v>D-Link</v>
      </c>
      <c r="C48" s="10" t="str">
        <f>IFERROR(LEFT(Raw_Data!B48,FIND("|",Raw_Data!B48)-1),Raw_Data!B48)</f>
        <v>Computers&amp;Accessories</v>
      </c>
      <c r="D48" s="11">
        <f>IFERROR(VALUE(SUBSTITUTE(SUBSTITUTE(TRIM(Raw_Data!C48),"₹",""),",","")),"")</f>
        <v>507</v>
      </c>
      <c r="E48" s="11">
        <f>IFERROR(VALUE(SUBSTITUTE(SUBSTITUTE(TRIM(Raw_Data!D48),"₹",""),",","")),"")</f>
        <v>1208</v>
      </c>
      <c r="F48" s="12">
        <f>IFERROR(VALUE(SUBSTITUTE(Raw_Data!E48,"%",""))/100,"")</f>
        <v>0.57999999999999996</v>
      </c>
      <c r="G48" s="13">
        <f>IFERROR(VALUE(Raw_Data!F48),"")</f>
        <v>4.0999999999999996</v>
      </c>
      <c r="H48" s="14">
        <f>IFERROR(VALUE(SUBSTITUTE(Raw_Data!G48,",","")),"")</f>
        <v>8131</v>
      </c>
      <c r="I48" s="11">
        <f t="shared" si="0"/>
        <v>701</v>
      </c>
      <c r="J48" s="11">
        <f t="shared" si="1"/>
        <v>4122417</v>
      </c>
      <c r="K48" s="1">
        <f t="shared" si="2"/>
        <v>8131.0000048000002</v>
      </c>
      <c r="L48" s="15">
        <f t="shared" si="3"/>
        <v>0.58000479999999999</v>
      </c>
    </row>
    <row r="49" spans="1:12" ht="15" customHeight="1" x14ac:dyDescent="0.25">
      <c r="A49" s="10" t="str">
        <f>Raw_Data!A49</f>
        <v>Amazon Basics High-Speed HDMI Cable, 6 Feet - Supports Ethernet, 3D, 4K video,Black</v>
      </c>
      <c r="B49" s="10" t="str">
        <f>IFERROR(TRIM(LEFT(Raw_Data!A49,FIND(" ",Raw_Data!A49)-1)),Raw_Data!A49)</f>
        <v>Amazon</v>
      </c>
      <c r="C49" s="10" t="str">
        <f>IFERROR(LEFT(Raw_Data!B49,FIND("|",Raw_Data!B49)-1),Raw_Data!B49)</f>
        <v>Electronics</v>
      </c>
      <c r="D49" s="11">
        <f>IFERROR(VALUE(SUBSTITUTE(SUBSTITUTE(TRIM(Raw_Data!C49),"₹",""),",","")),"")</f>
        <v>309</v>
      </c>
      <c r="E49" s="11">
        <f>IFERROR(VALUE(SUBSTITUTE(SUBSTITUTE(TRIM(Raw_Data!D49),"₹",""),",","")),"")</f>
        <v>475</v>
      </c>
      <c r="F49" s="12">
        <f>IFERROR(VALUE(SUBSTITUTE(Raw_Data!E49,"%",""))/100,"")</f>
        <v>0.35</v>
      </c>
      <c r="G49" s="13">
        <f>IFERROR(VALUE(Raw_Data!F49),"")</f>
        <v>4.4000000000000004</v>
      </c>
      <c r="H49" s="14">
        <f>IFERROR(VALUE(SUBSTITUTE(Raw_Data!G49,",","")),"")</f>
        <v>426973</v>
      </c>
      <c r="I49" s="11">
        <f t="shared" si="0"/>
        <v>166</v>
      </c>
      <c r="J49" s="11">
        <f t="shared" si="1"/>
        <v>131934657</v>
      </c>
      <c r="K49" s="1">
        <f t="shared" si="2"/>
        <v>426973.00000489998</v>
      </c>
      <c r="L49" s="15">
        <f t="shared" si="3"/>
        <v>0.35000489999999995</v>
      </c>
    </row>
    <row r="50" spans="1:12" ht="15" customHeight="1" x14ac:dyDescent="0.25">
      <c r="A50" s="10" t="str">
        <f>Raw_Data!A50</f>
        <v>7SEVEN® Compatible for Samsung Smart 4K Ultra HD TV Monitor Remote Control Replacement of Original Samsung TV Remote for LED OLED UHD QLED and Suitable for 6 7 8 Series Samsung TV with Hot Keys BN59-01259E</v>
      </c>
      <c r="B50" s="10" t="str">
        <f>IFERROR(TRIM(LEFT(Raw_Data!A50,FIND(" ",Raw_Data!A50)-1)),Raw_Data!A50)</f>
        <v>7SEVEN®</v>
      </c>
      <c r="C50" s="10" t="str">
        <f>IFERROR(LEFT(Raw_Data!B50,FIND("|",Raw_Data!B50)-1),Raw_Data!B50)</f>
        <v>Electronics</v>
      </c>
      <c r="D50" s="11">
        <f>IFERROR(VALUE(SUBSTITUTE(SUBSTITUTE(TRIM(Raw_Data!C50),"₹",""),",","")),"")</f>
        <v>399</v>
      </c>
      <c r="E50" s="11">
        <f>IFERROR(VALUE(SUBSTITUTE(SUBSTITUTE(TRIM(Raw_Data!D50),"₹",""),",","")),"")</f>
        <v>999</v>
      </c>
      <c r="F50" s="12">
        <f>IFERROR(VALUE(SUBSTITUTE(Raw_Data!E50,"%",""))/100,"")</f>
        <v>0.6</v>
      </c>
      <c r="G50" s="13">
        <f>IFERROR(VALUE(Raw_Data!F50),"")</f>
        <v>3.6</v>
      </c>
      <c r="H50" s="14">
        <f>IFERROR(VALUE(SUBSTITUTE(Raw_Data!G50,",","")),"")</f>
        <v>493</v>
      </c>
      <c r="I50" s="11">
        <f t="shared" si="0"/>
        <v>600</v>
      </c>
      <c r="J50" s="11">
        <f t="shared" si="1"/>
        <v>196707</v>
      </c>
      <c r="K50" s="1">
        <f t="shared" si="2"/>
        <v>493.00000499999999</v>
      </c>
      <c r="L50" s="15">
        <f t="shared" si="3"/>
        <v>0.60000500000000001</v>
      </c>
    </row>
    <row r="51" spans="1:12" ht="15" customHeight="1" x14ac:dyDescent="0.25">
      <c r="A51" s="10" t="str">
        <f>Raw_Data!A51</f>
        <v>Amazonbasics Micro Usb Fast Charging Cable For Android Smartphone,Personal Computer,Printer With Gold Plated Connectors (6 Feet, Black)</v>
      </c>
      <c r="B51" s="10" t="str">
        <f>IFERROR(TRIM(LEFT(Raw_Data!A51,FIND(" ",Raw_Data!A51)-1)),Raw_Data!A51)</f>
        <v>Amazonbasics</v>
      </c>
      <c r="C51" s="10" t="str">
        <f>IFERROR(LEFT(Raw_Data!B51,FIND("|",Raw_Data!B51)-1),Raw_Data!B51)</f>
        <v>Computers&amp;Accessories</v>
      </c>
      <c r="D51" s="11">
        <f>IFERROR(VALUE(SUBSTITUTE(SUBSTITUTE(TRIM(Raw_Data!C51),"₹",""),",","")),"")</f>
        <v>199</v>
      </c>
      <c r="E51" s="11">
        <f>IFERROR(VALUE(SUBSTITUTE(SUBSTITUTE(TRIM(Raw_Data!D51),"₹",""),",","")),"")</f>
        <v>395</v>
      </c>
      <c r="F51" s="12">
        <f>IFERROR(VALUE(SUBSTITUTE(Raw_Data!E51,"%",""))/100,"")</f>
        <v>0.5</v>
      </c>
      <c r="G51" s="13">
        <f>IFERROR(VALUE(Raw_Data!F51),"")</f>
        <v>4.2</v>
      </c>
      <c r="H51" s="14">
        <f>IFERROR(VALUE(SUBSTITUTE(Raw_Data!G51,",","")),"")</f>
        <v>92595</v>
      </c>
      <c r="I51" s="11">
        <f t="shared" si="0"/>
        <v>196</v>
      </c>
      <c r="J51" s="11">
        <f t="shared" si="1"/>
        <v>18426405</v>
      </c>
      <c r="K51" s="1">
        <f t="shared" si="2"/>
        <v>92595.000005099995</v>
      </c>
      <c r="L51" s="15">
        <f t="shared" si="3"/>
        <v>0.50000509999999998</v>
      </c>
    </row>
    <row r="52" spans="1:12" ht="15" customHeight="1" x14ac:dyDescent="0.25">
      <c r="A52" s="10" t="str">
        <f>Raw_Data!A52</f>
        <v>TP-Link AC600 600 Mbps WiFi Wireless Network USB Adapter for Desktop PC with 2.4GHz/5GHz High Gain Dual Band 5dBi Antenna Wi-Fi, Supports Windows 11/10/8.1/8/7/XP, Mac OS 10.15 and earlier (Archer T2U Plus)</v>
      </c>
      <c r="B52" s="10" t="str">
        <f>IFERROR(TRIM(LEFT(Raw_Data!A52,FIND(" ",Raw_Data!A52)-1)),Raw_Data!A52)</f>
        <v>TP-Link</v>
      </c>
      <c r="C52" s="10" t="str">
        <f>IFERROR(LEFT(Raw_Data!B52,FIND("|",Raw_Data!B52)-1),Raw_Data!B52)</f>
        <v>Computers&amp;Accessories</v>
      </c>
      <c r="D52" s="11">
        <f>IFERROR(VALUE(SUBSTITUTE(SUBSTITUTE(TRIM(Raw_Data!C52),"₹",""),",","")),"")</f>
        <v>1199</v>
      </c>
      <c r="E52" s="11">
        <f>IFERROR(VALUE(SUBSTITUTE(SUBSTITUTE(TRIM(Raw_Data!D52),"₹",""),",","")),"")</f>
        <v>2199</v>
      </c>
      <c r="F52" s="12">
        <f>IFERROR(VALUE(SUBSTITUTE(Raw_Data!E52,"%",""))/100,"")</f>
        <v>0.45</v>
      </c>
      <c r="G52" s="13">
        <f>IFERROR(VALUE(Raw_Data!F52),"")</f>
        <v>4.4000000000000004</v>
      </c>
      <c r="H52" s="14">
        <f>IFERROR(VALUE(SUBSTITUTE(Raw_Data!G52,",","")),"")</f>
        <v>24780</v>
      </c>
      <c r="I52" s="11">
        <f t="shared" si="0"/>
        <v>1000</v>
      </c>
      <c r="J52" s="11">
        <f t="shared" si="1"/>
        <v>29711220</v>
      </c>
      <c r="K52" s="1">
        <f t="shared" si="2"/>
        <v>24780.0000052</v>
      </c>
      <c r="L52" s="15">
        <f t="shared" si="3"/>
        <v>0.45000519999999999</v>
      </c>
    </row>
    <row r="53" spans="1:12" ht="15" customHeight="1" x14ac:dyDescent="0.25">
      <c r="A53" s="10" t="str">
        <f>Raw_Data!A53</f>
        <v>AmazonBasics Micro USB Fast Charging Cable for Android Phones with Gold Plated Connectors (3 Feet, Black)</v>
      </c>
      <c r="B53" s="10" t="str">
        <f>IFERROR(TRIM(LEFT(Raw_Data!A53,FIND(" ",Raw_Data!A53)-1)),Raw_Data!A53)</f>
        <v>AmazonBasics</v>
      </c>
      <c r="C53" s="10" t="str">
        <f>IFERROR(LEFT(Raw_Data!B53,FIND("|",Raw_Data!B53)-1),Raw_Data!B53)</f>
        <v>Computers&amp;Accessories</v>
      </c>
      <c r="D53" s="11">
        <f>IFERROR(VALUE(SUBSTITUTE(SUBSTITUTE(TRIM(Raw_Data!C53),"₹",""),",","")),"")</f>
        <v>179</v>
      </c>
      <c r="E53" s="11">
        <f>IFERROR(VALUE(SUBSTITUTE(SUBSTITUTE(TRIM(Raw_Data!D53),"₹",""),",","")),"")</f>
        <v>500</v>
      </c>
      <c r="F53" s="12">
        <f>IFERROR(VALUE(SUBSTITUTE(Raw_Data!E53,"%",""))/100,"")</f>
        <v>0.64</v>
      </c>
      <c r="G53" s="13">
        <f>IFERROR(VALUE(Raw_Data!F53),"")</f>
        <v>4.2</v>
      </c>
      <c r="H53" s="14">
        <f>IFERROR(VALUE(SUBSTITUTE(Raw_Data!G53,",","")),"")</f>
        <v>92595</v>
      </c>
      <c r="I53" s="11">
        <f t="shared" si="0"/>
        <v>321</v>
      </c>
      <c r="J53" s="11">
        <f t="shared" si="1"/>
        <v>16574505</v>
      </c>
      <c r="K53" s="1">
        <f t="shared" si="2"/>
        <v>92595.000005299997</v>
      </c>
      <c r="L53" s="15">
        <f t="shared" si="3"/>
        <v>0.6400053</v>
      </c>
    </row>
    <row r="54" spans="1:12" ht="15" customHeight="1" x14ac:dyDescent="0.25">
      <c r="A54" s="10" t="str">
        <f>Raw_Data!A54</f>
        <v>AmazonBasics New Release Nylon USB-A to Lightning Cable Cord, Fast Charging MFi Certified Charger for Apple iPhone, iPad (6-Ft, Rose Gold)</v>
      </c>
      <c r="B54" s="10" t="str">
        <f>IFERROR(TRIM(LEFT(Raw_Data!A54,FIND(" ",Raw_Data!A54)-1)),Raw_Data!A54)</f>
        <v>AmazonBasics</v>
      </c>
      <c r="C54" s="10" t="str">
        <f>IFERROR(LEFT(Raw_Data!B54,FIND("|",Raw_Data!B54)-1),Raw_Data!B54)</f>
        <v>Computers&amp;Accessories</v>
      </c>
      <c r="D54" s="11">
        <f>IFERROR(VALUE(SUBSTITUTE(SUBSTITUTE(TRIM(Raw_Data!C54),"₹",""),",","")),"")</f>
        <v>799</v>
      </c>
      <c r="E54" s="11">
        <f>IFERROR(VALUE(SUBSTITUTE(SUBSTITUTE(TRIM(Raw_Data!D54),"₹",""),",","")),"")</f>
        <v>2100</v>
      </c>
      <c r="F54" s="12">
        <f>IFERROR(VALUE(SUBSTITUTE(Raw_Data!E54,"%",""))/100,"")</f>
        <v>0.62</v>
      </c>
      <c r="G54" s="13">
        <f>IFERROR(VALUE(Raw_Data!F54),"")</f>
        <v>4.3</v>
      </c>
      <c r="H54" s="14">
        <f>IFERROR(VALUE(SUBSTITUTE(Raw_Data!G54,",","")),"")</f>
        <v>8188</v>
      </c>
      <c r="I54" s="11">
        <f t="shared" si="0"/>
        <v>1301</v>
      </c>
      <c r="J54" s="11">
        <f t="shared" si="1"/>
        <v>6542212</v>
      </c>
      <c r="K54" s="1">
        <f t="shared" si="2"/>
        <v>8188.0000054000002</v>
      </c>
      <c r="L54" s="15">
        <f t="shared" si="3"/>
        <v>0.62000540000000004</v>
      </c>
    </row>
    <row r="55" spans="1:12" ht="15" customHeight="1" x14ac:dyDescent="0.25">
      <c r="A55" s="10" t="str">
        <f>Raw_Data!A55</f>
        <v>VW 80 cm (32 inches) Frameless Series HD Ready LED TV VW32A (Black)</v>
      </c>
      <c r="B55" s="10" t="str">
        <f>IFERROR(TRIM(LEFT(Raw_Data!A55,FIND(" ",Raw_Data!A55)-1)),Raw_Data!A55)</f>
        <v>VW</v>
      </c>
      <c r="C55" s="10" t="str">
        <f>IFERROR(LEFT(Raw_Data!B55,FIND("|",Raw_Data!B55)-1),Raw_Data!B55)</f>
        <v>Electronics</v>
      </c>
      <c r="D55" s="11">
        <f>IFERROR(VALUE(SUBSTITUTE(SUBSTITUTE(TRIM(Raw_Data!C55),"₹",""),",","")),"")</f>
        <v>6999</v>
      </c>
      <c r="E55" s="11">
        <f>IFERROR(VALUE(SUBSTITUTE(SUBSTITUTE(TRIM(Raw_Data!D55),"₹",""),",","")),"")</f>
        <v>12999</v>
      </c>
      <c r="F55" s="12">
        <f>IFERROR(VALUE(SUBSTITUTE(Raw_Data!E55,"%",""))/100,"")</f>
        <v>0.46</v>
      </c>
      <c r="G55" s="13">
        <f>IFERROR(VALUE(Raw_Data!F55),"")</f>
        <v>4.2</v>
      </c>
      <c r="H55" s="14">
        <f>IFERROR(VALUE(SUBSTITUTE(Raw_Data!G55,",","")),"")</f>
        <v>4003</v>
      </c>
      <c r="I55" s="11">
        <f t="shared" si="0"/>
        <v>6000</v>
      </c>
      <c r="J55" s="11">
        <f t="shared" si="1"/>
        <v>28016997</v>
      </c>
      <c r="K55" s="1">
        <f t="shared" si="2"/>
        <v>4003.0000055</v>
      </c>
      <c r="L55" s="15">
        <f t="shared" si="3"/>
        <v>0.46000550000000001</v>
      </c>
    </row>
    <row r="56" spans="1:12" ht="15" customHeight="1" x14ac:dyDescent="0.25">
      <c r="A56" s="10" t="str">
        <f>Raw_Data!A56</f>
        <v>Ambrane Unbreakable 3A Fast Charging Braided Type C Cable    1.5 Meter (RCT15, Blue) Supports QC 2.0/3.0 Charging</v>
      </c>
      <c r="B56" s="10" t="str">
        <f>IFERROR(TRIM(LEFT(Raw_Data!A56,FIND(" ",Raw_Data!A56)-1)),Raw_Data!A56)</f>
        <v>Ambrane</v>
      </c>
      <c r="C56" s="10" t="str">
        <f>IFERROR(LEFT(Raw_Data!B56,FIND("|",Raw_Data!B56)-1),Raw_Data!B56)</f>
        <v>Computers&amp;Accessories</v>
      </c>
      <c r="D56" s="11">
        <f>IFERROR(VALUE(SUBSTITUTE(SUBSTITUTE(TRIM(Raw_Data!C56),"₹",""),",","")),"")</f>
        <v>199</v>
      </c>
      <c r="E56" s="11">
        <f>IFERROR(VALUE(SUBSTITUTE(SUBSTITUTE(TRIM(Raw_Data!D56),"₹",""),",","")),"")</f>
        <v>349</v>
      </c>
      <c r="F56" s="12">
        <f>IFERROR(VALUE(SUBSTITUTE(Raw_Data!E56,"%",""))/100,"")</f>
        <v>0.43</v>
      </c>
      <c r="G56" s="13">
        <f>IFERROR(VALUE(Raw_Data!F56),"")</f>
        <v>4.0999999999999996</v>
      </c>
      <c r="H56" s="14">
        <f>IFERROR(VALUE(SUBSTITUTE(Raw_Data!G56,",","")),"")</f>
        <v>314</v>
      </c>
      <c r="I56" s="11">
        <f t="shared" si="0"/>
        <v>150</v>
      </c>
      <c r="J56" s="11">
        <f t="shared" si="1"/>
        <v>62486</v>
      </c>
      <c r="K56" s="1">
        <f t="shared" si="2"/>
        <v>314.00000560000001</v>
      </c>
      <c r="L56" s="15">
        <f t="shared" si="3"/>
        <v>0.43000559999999999</v>
      </c>
    </row>
    <row r="57" spans="1:12" ht="15" customHeight="1" x14ac:dyDescent="0.25">
      <c r="A57" s="10" t="str">
        <f>Raw_Data!A57</f>
        <v>Tata Sky Universal Remote</v>
      </c>
      <c r="B57" s="10" t="str">
        <f>IFERROR(TRIM(LEFT(Raw_Data!A57,FIND(" ",Raw_Data!A57)-1)),Raw_Data!A57)</f>
        <v>Tata</v>
      </c>
      <c r="C57" s="10" t="str">
        <f>IFERROR(LEFT(Raw_Data!B57,FIND("|",Raw_Data!B57)-1),Raw_Data!B57)</f>
        <v>Electronics</v>
      </c>
      <c r="D57" s="11">
        <f>IFERROR(VALUE(SUBSTITUTE(SUBSTITUTE(TRIM(Raw_Data!C57),"₹",""),",","")),"")</f>
        <v>230</v>
      </c>
      <c r="E57" s="11">
        <f>IFERROR(VALUE(SUBSTITUTE(SUBSTITUTE(TRIM(Raw_Data!D57),"₹",""),",","")),"")</f>
        <v>499</v>
      </c>
      <c r="F57" s="12">
        <f>IFERROR(VALUE(SUBSTITUTE(Raw_Data!E57,"%",""))/100,"")</f>
        <v>0.54</v>
      </c>
      <c r="G57" s="13">
        <f>IFERROR(VALUE(Raw_Data!F57),"")</f>
        <v>3.7</v>
      </c>
      <c r="H57" s="14">
        <f>IFERROR(VALUE(SUBSTITUTE(Raw_Data!G57,",","")),"")</f>
        <v>2960</v>
      </c>
      <c r="I57" s="11">
        <f t="shared" si="0"/>
        <v>269</v>
      </c>
      <c r="J57" s="11">
        <f t="shared" si="1"/>
        <v>680800</v>
      </c>
      <c r="K57" s="1">
        <f t="shared" si="2"/>
        <v>2960.0000057000002</v>
      </c>
      <c r="L57" s="15">
        <f t="shared" si="3"/>
        <v>0.54000570000000003</v>
      </c>
    </row>
    <row r="58" spans="1:12" ht="15" customHeight="1" x14ac:dyDescent="0.25">
      <c r="A58" s="10" t="str">
        <f>Raw_Data!A58</f>
        <v>TP-LINK WiFi Dongle 300 Mbps Mini Wireless Network USB Wi-Fi Adapter for PC Desktop Laptop(Supports Windows 11/10/8.1/8/7/XP, Mac OS 10.9-10.15 and Linux, WPS, Soft AP Mode, USB 2.0) (TL-WN823N),Black</v>
      </c>
      <c r="B58" s="10" t="str">
        <f>IFERROR(TRIM(LEFT(Raw_Data!A58,FIND(" ",Raw_Data!A58)-1)),Raw_Data!A58)</f>
        <v>TP-LINK</v>
      </c>
      <c r="C58" s="10" t="str">
        <f>IFERROR(LEFT(Raw_Data!B58,FIND("|",Raw_Data!B58)-1),Raw_Data!B58)</f>
        <v>Computers&amp;Accessories</v>
      </c>
      <c r="D58" s="11">
        <f>IFERROR(VALUE(SUBSTITUTE(SUBSTITUTE(TRIM(Raw_Data!C58),"₹",""),",","")),"")</f>
        <v>649</v>
      </c>
      <c r="E58" s="11">
        <f>IFERROR(VALUE(SUBSTITUTE(SUBSTITUTE(TRIM(Raw_Data!D58),"₹",""),",","")),"")</f>
        <v>1399</v>
      </c>
      <c r="F58" s="12">
        <f>IFERROR(VALUE(SUBSTITUTE(Raw_Data!E58,"%",""))/100,"")</f>
        <v>0.54</v>
      </c>
      <c r="G58" s="13">
        <f>IFERROR(VALUE(Raw_Data!F58),"")</f>
        <v>4.2</v>
      </c>
      <c r="H58" s="14">
        <f>IFERROR(VALUE(SUBSTITUTE(Raw_Data!G58,",","")),"")</f>
        <v>179691</v>
      </c>
      <c r="I58" s="11">
        <f t="shared" si="0"/>
        <v>750</v>
      </c>
      <c r="J58" s="11">
        <f t="shared" si="1"/>
        <v>116619459</v>
      </c>
      <c r="K58" s="1">
        <f t="shared" si="2"/>
        <v>179691.00000579999</v>
      </c>
      <c r="L58" s="15">
        <f t="shared" si="3"/>
        <v>0.54000579999999998</v>
      </c>
    </row>
    <row r="59" spans="1:12" ht="15" customHeight="1" x14ac:dyDescent="0.25">
      <c r="A59" s="10" t="str">
        <f>Raw_Data!A59</f>
        <v>OnePlus 80 cm (32 inches) Y Series HD Ready Smart Android LED TV 32 Y1S (Black)</v>
      </c>
      <c r="B59" s="10" t="str">
        <f>IFERROR(TRIM(LEFT(Raw_Data!A59,FIND(" ",Raw_Data!A59)-1)),Raw_Data!A59)</f>
        <v>OnePlus</v>
      </c>
      <c r="C59" s="10" t="str">
        <f>IFERROR(LEFT(Raw_Data!B59,FIND("|",Raw_Data!B59)-1),Raw_Data!B59)</f>
        <v>Electronics</v>
      </c>
      <c r="D59" s="11">
        <f>IFERROR(VALUE(SUBSTITUTE(SUBSTITUTE(TRIM(Raw_Data!C59),"₹",""),",","")),"")</f>
        <v>15999</v>
      </c>
      <c r="E59" s="11">
        <f>IFERROR(VALUE(SUBSTITUTE(SUBSTITUTE(TRIM(Raw_Data!D59),"₹",""),",","")),"")</f>
        <v>21999</v>
      </c>
      <c r="F59" s="12">
        <f>IFERROR(VALUE(SUBSTITUTE(Raw_Data!E59,"%",""))/100,"")</f>
        <v>0.27</v>
      </c>
      <c r="G59" s="13">
        <f>IFERROR(VALUE(Raw_Data!F59),"")</f>
        <v>4.2</v>
      </c>
      <c r="H59" s="14">
        <f>IFERROR(VALUE(SUBSTITUTE(Raw_Data!G59,",","")),"")</f>
        <v>34899</v>
      </c>
      <c r="I59" s="11">
        <f t="shared" si="0"/>
        <v>6000</v>
      </c>
      <c r="J59" s="11">
        <f t="shared" si="1"/>
        <v>558349101</v>
      </c>
      <c r="K59" s="1">
        <f t="shared" si="2"/>
        <v>34899.000005900001</v>
      </c>
      <c r="L59" s="15">
        <f t="shared" si="3"/>
        <v>0.27000590000000002</v>
      </c>
    </row>
    <row r="60" spans="1:12" ht="15" customHeight="1" x14ac:dyDescent="0.25">
      <c r="A60" s="10" t="str">
        <f>Raw_Data!A60</f>
        <v>Wecool Unbreakable 3 in 1 Charging Cable with 3A Speed, Fast Charging Multi Purpose Cable 1.25 Mtr Long, Type C cable, Micro Usb Cable and Cable for iPhone, White</v>
      </c>
      <c r="B60" s="10" t="str">
        <f>IFERROR(TRIM(LEFT(Raw_Data!A60,FIND(" ",Raw_Data!A60)-1)),Raw_Data!A60)</f>
        <v>Wecool</v>
      </c>
      <c r="C60" s="10" t="str">
        <f>IFERROR(LEFT(Raw_Data!B60,FIND("|",Raw_Data!B60)-1),Raw_Data!B60)</f>
        <v>Computers&amp;Accessories</v>
      </c>
      <c r="D60" s="11">
        <f>IFERROR(VALUE(SUBSTITUTE(SUBSTITUTE(TRIM(Raw_Data!C60),"₹",""),",","")),"")</f>
        <v>348</v>
      </c>
      <c r="E60" s="11">
        <f>IFERROR(VALUE(SUBSTITUTE(SUBSTITUTE(TRIM(Raw_Data!D60),"₹",""),",","")),"")</f>
        <v>1499</v>
      </c>
      <c r="F60" s="12">
        <f>IFERROR(VALUE(SUBSTITUTE(Raw_Data!E60,"%",""))/100,"")</f>
        <v>0.77</v>
      </c>
      <c r="G60" s="13">
        <f>IFERROR(VALUE(Raw_Data!F60),"")</f>
        <v>4.2</v>
      </c>
      <c r="H60" s="14">
        <f>IFERROR(VALUE(SUBSTITUTE(Raw_Data!G60,",","")),"")</f>
        <v>656</v>
      </c>
      <c r="I60" s="11">
        <f t="shared" si="0"/>
        <v>1151</v>
      </c>
      <c r="J60" s="11">
        <f t="shared" si="1"/>
        <v>228288</v>
      </c>
      <c r="K60" s="1">
        <f t="shared" si="2"/>
        <v>656.00000599999998</v>
      </c>
      <c r="L60" s="15">
        <f t="shared" si="3"/>
        <v>0.77000599999999997</v>
      </c>
    </row>
    <row r="61" spans="1:12" ht="15" customHeight="1" x14ac:dyDescent="0.25">
      <c r="A61" s="10" t="str">
        <f>Raw_Data!A61</f>
        <v>Portronics Konnect L 1.2Mtr, Fast Charging 3A Micro USB Cable with Charge &amp; Sync Function (Grey)</v>
      </c>
      <c r="B61" s="10" t="str">
        <f>IFERROR(TRIM(LEFT(Raw_Data!A61,FIND(" ",Raw_Data!A61)-1)),Raw_Data!A61)</f>
        <v>Portronics</v>
      </c>
      <c r="C61" s="10" t="str">
        <f>IFERROR(LEFT(Raw_Data!B61,FIND("|",Raw_Data!B61)-1),Raw_Data!B61)</f>
        <v>Computers&amp;Accessories</v>
      </c>
      <c r="D61" s="11">
        <f>IFERROR(VALUE(SUBSTITUTE(SUBSTITUTE(TRIM(Raw_Data!C61),"₹",""),",","")),"")</f>
        <v>154</v>
      </c>
      <c r="E61" s="11">
        <f>IFERROR(VALUE(SUBSTITUTE(SUBSTITUTE(TRIM(Raw_Data!D61),"₹",""),",","")),"")</f>
        <v>349</v>
      </c>
      <c r="F61" s="12">
        <f>IFERROR(VALUE(SUBSTITUTE(Raw_Data!E61,"%",""))/100,"")</f>
        <v>0.56000000000000005</v>
      </c>
      <c r="G61" s="13">
        <f>IFERROR(VALUE(Raw_Data!F61),"")</f>
        <v>4.3</v>
      </c>
      <c r="H61" s="14">
        <f>IFERROR(VALUE(SUBSTITUTE(Raw_Data!G61,",","")),"")</f>
        <v>7064</v>
      </c>
      <c r="I61" s="11">
        <f t="shared" si="0"/>
        <v>195</v>
      </c>
      <c r="J61" s="11">
        <f t="shared" si="1"/>
        <v>1087856</v>
      </c>
      <c r="K61" s="1">
        <f t="shared" si="2"/>
        <v>7064.0000061000001</v>
      </c>
      <c r="L61" s="15">
        <f t="shared" si="3"/>
        <v>0.56000610000000006</v>
      </c>
    </row>
    <row r="62" spans="1:12" ht="15" customHeight="1" x14ac:dyDescent="0.25">
      <c r="A62" s="10" t="str">
        <f>Raw_Data!A62</f>
        <v>Airtel DigitalTV DTH Television, Setup Box Remote Compatible for SD and HD Recording (Black)</v>
      </c>
      <c r="B62" s="10" t="str">
        <f>IFERROR(TRIM(LEFT(Raw_Data!A62,FIND(" ",Raw_Data!A62)-1)),Raw_Data!A62)</f>
        <v>Airtel</v>
      </c>
      <c r="C62" s="10" t="str">
        <f>IFERROR(LEFT(Raw_Data!B62,FIND("|",Raw_Data!B62)-1),Raw_Data!B62)</f>
        <v>Electronics</v>
      </c>
      <c r="D62" s="11">
        <f>IFERROR(VALUE(SUBSTITUTE(SUBSTITUTE(TRIM(Raw_Data!C62),"₹",""),",","")),"")</f>
        <v>179</v>
      </c>
      <c r="E62" s="11">
        <f>IFERROR(VALUE(SUBSTITUTE(SUBSTITUTE(TRIM(Raw_Data!D62),"₹",""),",","")),"")</f>
        <v>799</v>
      </c>
      <c r="F62" s="12">
        <f>IFERROR(VALUE(SUBSTITUTE(Raw_Data!E62,"%",""))/100,"")</f>
        <v>0.78</v>
      </c>
      <c r="G62" s="13">
        <f>IFERROR(VALUE(Raw_Data!F62),"")</f>
        <v>3.7</v>
      </c>
      <c r="H62" s="14">
        <f>IFERROR(VALUE(SUBSTITUTE(Raw_Data!G62,",","")),"")</f>
        <v>2201</v>
      </c>
      <c r="I62" s="11">
        <f t="shared" si="0"/>
        <v>620</v>
      </c>
      <c r="J62" s="11">
        <f t="shared" si="1"/>
        <v>393979</v>
      </c>
      <c r="K62" s="1">
        <f t="shared" si="2"/>
        <v>2201.0000061999999</v>
      </c>
      <c r="L62" s="15">
        <f t="shared" si="3"/>
        <v>0.78000619999999998</v>
      </c>
    </row>
    <row r="63" spans="1:12" ht="15" customHeight="1" x14ac:dyDescent="0.25">
      <c r="A63" s="10" t="str">
        <f>Raw_Data!A63</f>
        <v>Samsung 108 cm (43 inches) Crystal 4K Neo Series Ultra HD Smart LED TV UA43AUE65AKXXL (Black)</v>
      </c>
      <c r="B63" s="10" t="str">
        <f>IFERROR(TRIM(LEFT(Raw_Data!A63,FIND(" ",Raw_Data!A63)-1)),Raw_Data!A63)</f>
        <v>Samsung</v>
      </c>
      <c r="C63" s="10" t="str">
        <f>IFERROR(LEFT(Raw_Data!B63,FIND("|",Raw_Data!B63)-1),Raw_Data!B63)</f>
        <v>Electronics</v>
      </c>
      <c r="D63" s="11">
        <f>IFERROR(VALUE(SUBSTITUTE(SUBSTITUTE(TRIM(Raw_Data!C63),"₹",""),",","")),"")</f>
        <v>32990</v>
      </c>
      <c r="E63" s="11">
        <f>IFERROR(VALUE(SUBSTITUTE(SUBSTITUTE(TRIM(Raw_Data!D63),"₹",""),",","")),"")</f>
        <v>47900</v>
      </c>
      <c r="F63" s="12">
        <f>IFERROR(VALUE(SUBSTITUTE(Raw_Data!E63,"%",""))/100,"")</f>
        <v>0.31</v>
      </c>
      <c r="G63" s="13">
        <f>IFERROR(VALUE(Raw_Data!F63),"")</f>
        <v>4.3</v>
      </c>
      <c r="H63" s="14">
        <f>IFERROR(VALUE(SUBSTITUTE(Raw_Data!G63,",","")),"")</f>
        <v>7109</v>
      </c>
      <c r="I63" s="11">
        <f t="shared" si="0"/>
        <v>14910</v>
      </c>
      <c r="J63" s="11">
        <f t="shared" si="1"/>
        <v>234525910</v>
      </c>
      <c r="K63" s="1">
        <f t="shared" si="2"/>
        <v>7109.0000062999998</v>
      </c>
      <c r="L63" s="15">
        <f t="shared" si="3"/>
        <v>0.31000630000000001</v>
      </c>
    </row>
    <row r="64" spans="1:12" ht="15" customHeight="1" x14ac:dyDescent="0.25">
      <c r="A64" s="10" t="str">
        <f>Raw_Data!A64</f>
        <v>Lapster 1.5 mtr USB 2.0 Type A Male to USB A Male Cable for computer and laptop</v>
      </c>
      <c r="B64" s="10" t="str">
        <f>IFERROR(TRIM(LEFT(Raw_Data!A64,FIND(" ",Raw_Data!A64)-1)),Raw_Data!A64)</f>
        <v>Lapster</v>
      </c>
      <c r="C64" s="10" t="str">
        <f>IFERROR(LEFT(Raw_Data!B64,FIND("|",Raw_Data!B64)-1),Raw_Data!B64)</f>
        <v>Computers&amp;Accessories</v>
      </c>
      <c r="D64" s="11">
        <f>IFERROR(VALUE(SUBSTITUTE(SUBSTITUTE(TRIM(Raw_Data!C64),"₹",""),",","")),"")</f>
        <v>139</v>
      </c>
      <c r="E64" s="11">
        <f>IFERROR(VALUE(SUBSTITUTE(SUBSTITUTE(TRIM(Raw_Data!D64),"₹",""),",","")),"")</f>
        <v>999</v>
      </c>
      <c r="F64" s="12">
        <f>IFERROR(VALUE(SUBSTITUTE(Raw_Data!E64,"%",""))/100,"")</f>
        <v>0.86</v>
      </c>
      <c r="G64" s="13">
        <f>IFERROR(VALUE(Raw_Data!F64),"")</f>
        <v>4</v>
      </c>
      <c r="H64" s="14">
        <f>IFERROR(VALUE(SUBSTITUTE(Raw_Data!G64,",","")),"")</f>
        <v>1313</v>
      </c>
      <c r="I64" s="11">
        <f t="shared" si="0"/>
        <v>860</v>
      </c>
      <c r="J64" s="11">
        <f t="shared" si="1"/>
        <v>182507</v>
      </c>
      <c r="K64" s="1">
        <f t="shared" si="2"/>
        <v>1313.0000064000001</v>
      </c>
      <c r="L64" s="15">
        <f t="shared" si="3"/>
        <v>0.86000639999999995</v>
      </c>
    </row>
    <row r="65" spans="1:12" ht="15" customHeight="1" x14ac:dyDescent="0.25">
      <c r="A65" s="10" t="str">
        <f>Raw_Data!A65</f>
        <v>AmazonBasics USB Type-C to USB Type-C 2.0 Cable - 3 Feet Laptop (0.9 Meters) - White</v>
      </c>
      <c r="B65" s="10" t="str">
        <f>IFERROR(TRIM(LEFT(Raw_Data!A65,FIND(" ",Raw_Data!A65)-1)),Raw_Data!A65)</f>
        <v>AmazonBasics</v>
      </c>
      <c r="C65" s="10" t="str">
        <f>IFERROR(LEFT(Raw_Data!B65,FIND("|",Raw_Data!B65)-1),Raw_Data!B65)</f>
        <v>Computers&amp;Accessories</v>
      </c>
      <c r="D65" s="11">
        <f>IFERROR(VALUE(SUBSTITUTE(SUBSTITUTE(TRIM(Raw_Data!C65),"₹",""),",","")),"")</f>
        <v>329</v>
      </c>
      <c r="E65" s="11">
        <f>IFERROR(VALUE(SUBSTITUTE(SUBSTITUTE(TRIM(Raw_Data!D65),"₹",""),",","")),"")</f>
        <v>845</v>
      </c>
      <c r="F65" s="12">
        <f>IFERROR(VALUE(SUBSTITUTE(Raw_Data!E65,"%",""))/100,"")</f>
        <v>0.61</v>
      </c>
      <c r="G65" s="13">
        <f>IFERROR(VALUE(Raw_Data!F65),"")</f>
        <v>4.2</v>
      </c>
      <c r="H65" s="14">
        <f>IFERROR(VALUE(SUBSTITUTE(Raw_Data!G65,",","")),"")</f>
        <v>29746</v>
      </c>
      <c r="I65" s="11">
        <f t="shared" si="0"/>
        <v>516</v>
      </c>
      <c r="J65" s="11">
        <f t="shared" si="1"/>
        <v>9786434</v>
      </c>
      <c r="K65" s="1">
        <f t="shared" si="2"/>
        <v>29746.000006499999</v>
      </c>
      <c r="L65" s="15">
        <f t="shared" si="3"/>
        <v>0.61000650000000001</v>
      </c>
    </row>
    <row r="66" spans="1:12" ht="15" customHeight="1" x14ac:dyDescent="0.25">
      <c r="A66" s="10" t="str">
        <f>Raw_Data!A66</f>
        <v>Redmi 80 cm (32 inches) Android 11 Series HD Ready Smart LED TV | L32M6-RA/L32M7-RA (Black)</v>
      </c>
      <c r="B66" s="10" t="str">
        <f>IFERROR(TRIM(LEFT(Raw_Data!A66,FIND(" ",Raw_Data!A66)-1)),Raw_Data!A66)</f>
        <v>Redmi</v>
      </c>
      <c r="C66" s="10" t="str">
        <f>IFERROR(LEFT(Raw_Data!B66,FIND("|",Raw_Data!B66)-1),Raw_Data!B66)</f>
        <v>Electronics</v>
      </c>
      <c r="D66" s="11">
        <f>IFERROR(VALUE(SUBSTITUTE(SUBSTITUTE(TRIM(Raw_Data!C66),"₹",""),",","")),"")</f>
        <v>13999</v>
      </c>
      <c r="E66" s="11">
        <f>IFERROR(VALUE(SUBSTITUTE(SUBSTITUTE(TRIM(Raw_Data!D66),"₹",""),",","")),"")</f>
        <v>24999</v>
      </c>
      <c r="F66" s="12">
        <f>IFERROR(VALUE(SUBSTITUTE(Raw_Data!E66,"%",""))/100,"")</f>
        <v>0.44</v>
      </c>
      <c r="G66" s="13">
        <f>IFERROR(VALUE(Raw_Data!F66),"")</f>
        <v>4.2</v>
      </c>
      <c r="H66" s="14">
        <f>IFERROR(VALUE(SUBSTITUTE(Raw_Data!G66,",","")),"")</f>
        <v>45238</v>
      </c>
      <c r="I66" s="11">
        <f t="shared" ref="I66:I129" si="4">IFERROR(E66-D66,"")</f>
        <v>11000</v>
      </c>
      <c r="J66" s="11">
        <f t="shared" ref="J66:J129" si="5">IFERROR(D66*H66,"")</f>
        <v>633286762</v>
      </c>
      <c r="K66" s="1">
        <f t="shared" ref="K66:K129" si="6">IF(ISNUMBER(H66),H66+ROW()/10000000,"")</f>
        <v>45238.000006599999</v>
      </c>
      <c r="L66" s="15">
        <f t="shared" ref="L66:L129" si="7">IF(ISNUMBER(F66),F66+ROW()/10000000,"")</f>
        <v>0.44000660000000003</v>
      </c>
    </row>
    <row r="67" spans="1:12" ht="15" customHeight="1" x14ac:dyDescent="0.25">
      <c r="A67" s="10" t="str">
        <f>Raw_Data!A67</f>
        <v>Amazon Basics High-Speed HDMI Cable, 6 Feet (2-Pack),Black</v>
      </c>
      <c r="B67" s="10" t="str">
        <f>IFERROR(TRIM(LEFT(Raw_Data!A67,FIND(" ",Raw_Data!A67)-1)),Raw_Data!A67)</f>
        <v>Amazon</v>
      </c>
      <c r="C67" s="10" t="str">
        <f>IFERROR(LEFT(Raw_Data!B67,FIND("|",Raw_Data!B67)-1),Raw_Data!B67)</f>
        <v>Electronics</v>
      </c>
      <c r="D67" s="11">
        <f>IFERROR(VALUE(SUBSTITUTE(SUBSTITUTE(TRIM(Raw_Data!C67),"₹",""),",","")),"")</f>
        <v>309</v>
      </c>
      <c r="E67" s="11">
        <f>IFERROR(VALUE(SUBSTITUTE(SUBSTITUTE(TRIM(Raw_Data!D67),"₹",""),",","")),"")</f>
        <v>1400</v>
      </c>
      <c r="F67" s="12">
        <f>IFERROR(VALUE(SUBSTITUTE(Raw_Data!E67,"%",""))/100,"")</f>
        <v>0.78</v>
      </c>
      <c r="G67" s="13">
        <f>IFERROR(VALUE(Raw_Data!F67),"")</f>
        <v>4.4000000000000004</v>
      </c>
      <c r="H67" s="14">
        <f>IFERROR(VALUE(SUBSTITUTE(Raw_Data!G67,",","")),"")</f>
        <v>426973</v>
      </c>
      <c r="I67" s="11">
        <f t="shared" si="4"/>
        <v>1091</v>
      </c>
      <c r="J67" s="11">
        <f t="shared" si="5"/>
        <v>131934657</v>
      </c>
      <c r="K67" s="1">
        <f t="shared" si="6"/>
        <v>426973.00000669999</v>
      </c>
      <c r="L67" s="15">
        <f t="shared" si="7"/>
        <v>0.78000670000000005</v>
      </c>
    </row>
    <row r="68" spans="1:12" ht="15" customHeight="1" x14ac:dyDescent="0.25">
      <c r="A68" s="10" t="str">
        <f>Raw_Data!A68</f>
        <v>Portronics Konnect L 20W PD Quick Charge Type-C to 8-Pin USB Mobile Charging Cable, 1.2M, Tangle Resistant, Fast Data Sync(Grey)</v>
      </c>
      <c r="B68" s="10" t="str">
        <f>IFERROR(TRIM(LEFT(Raw_Data!A68,FIND(" ",Raw_Data!A68)-1)),Raw_Data!A68)</f>
        <v>Portronics</v>
      </c>
      <c r="C68" s="10" t="str">
        <f>IFERROR(LEFT(Raw_Data!B68,FIND("|",Raw_Data!B68)-1),Raw_Data!B68)</f>
        <v>Computers&amp;Accessories</v>
      </c>
      <c r="D68" s="11">
        <f>IFERROR(VALUE(SUBSTITUTE(SUBSTITUTE(TRIM(Raw_Data!C68),"₹",""),",","")),"")</f>
        <v>263</v>
      </c>
      <c r="E68" s="11">
        <f>IFERROR(VALUE(SUBSTITUTE(SUBSTITUTE(TRIM(Raw_Data!D68),"₹",""),",","")),"")</f>
        <v>699</v>
      </c>
      <c r="F68" s="12">
        <f>IFERROR(VALUE(SUBSTITUTE(Raw_Data!E68,"%",""))/100,"")</f>
        <v>0.62</v>
      </c>
      <c r="G68" s="13">
        <f>IFERROR(VALUE(Raw_Data!F68),"")</f>
        <v>4.0999999999999996</v>
      </c>
      <c r="H68" s="14">
        <f>IFERROR(VALUE(SUBSTITUTE(Raw_Data!G68,",","")),"")</f>
        <v>450</v>
      </c>
      <c r="I68" s="11">
        <f t="shared" si="4"/>
        <v>436</v>
      </c>
      <c r="J68" s="11">
        <f t="shared" si="5"/>
        <v>118350</v>
      </c>
      <c r="K68" s="1">
        <f t="shared" si="6"/>
        <v>450.00000679999999</v>
      </c>
      <c r="L68" s="15">
        <f t="shared" si="7"/>
        <v>0.62000679999999997</v>
      </c>
    </row>
    <row r="69" spans="1:12" ht="15" customHeight="1" x14ac:dyDescent="0.25">
      <c r="A69" s="10" t="str">
        <f>Raw_Data!A69</f>
        <v>Acer 80 cm (32 inches) N Series HD Ready TV AR32NSV53HD (Black)</v>
      </c>
      <c r="B69" s="10" t="str">
        <f>IFERROR(TRIM(LEFT(Raw_Data!A69,FIND(" ",Raw_Data!A69)-1)),Raw_Data!A69)</f>
        <v>Acer</v>
      </c>
      <c r="C69" s="10" t="str">
        <f>IFERROR(LEFT(Raw_Data!B69,FIND("|",Raw_Data!B69)-1),Raw_Data!B69)</f>
        <v>Electronics</v>
      </c>
      <c r="D69" s="11">
        <f>IFERROR(VALUE(SUBSTITUTE(SUBSTITUTE(TRIM(Raw_Data!C69),"₹",""),",","")),"")</f>
        <v>7999</v>
      </c>
      <c r="E69" s="11">
        <f>IFERROR(VALUE(SUBSTITUTE(SUBSTITUTE(TRIM(Raw_Data!D69),"₹",""),",","")),"")</f>
        <v>14990</v>
      </c>
      <c r="F69" s="12">
        <f>IFERROR(VALUE(SUBSTITUTE(Raw_Data!E69,"%",""))/100,"")</f>
        <v>0.47</v>
      </c>
      <c r="G69" s="13">
        <f>IFERROR(VALUE(Raw_Data!F69),"")</f>
        <v>4.3</v>
      </c>
      <c r="H69" s="14">
        <f>IFERROR(VALUE(SUBSTITUTE(Raw_Data!G69,",","")),"")</f>
        <v>457</v>
      </c>
      <c r="I69" s="11">
        <f t="shared" si="4"/>
        <v>6991</v>
      </c>
      <c r="J69" s="11">
        <f t="shared" si="5"/>
        <v>3655543</v>
      </c>
      <c r="K69" s="1">
        <f t="shared" si="6"/>
        <v>457.00000690000002</v>
      </c>
      <c r="L69" s="15">
        <f t="shared" si="7"/>
        <v>0.47000689999999995</v>
      </c>
    </row>
    <row r="70" spans="1:12" ht="15" customHeight="1" x14ac:dyDescent="0.25">
      <c r="A70" s="10" t="str">
        <f>Raw_Data!A70</f>
        <v>Model-P4 6 Way Swivel Tilt Wall Mount 32-55-inch Full Motion Cantilever for LED,LCD and Plasma TV's</v>
      </c>
      <c r="B70" s="10" t="str">
        <f>IFERROR(TRIM(LEFT(Raw_Data!A70,FIND(" ",Raw_Data!A70)-1)),Raw_Data!A70)</f>
        <v>Model-P4</v>
      </c>
      <c r="C70" s="10" t="str">
        <f>IFERROR(LEFT(Raw_Data!B70,FIND("|",Raw_Data!B70)-1),Raw_Data!B70)</f>
        <v>Electronics</v>
      </c>
      <c r="D70" s="11">
        <f>IFERROR(VALUE(SUBSTITUTE(SUBSTITUTE(TRIM(Raw_Data!C70),"₹",""),",","")),"")</f>
        <v>1599</v>
      </c>
      <c r="E70" s="11">
        <f>IFERROR(VALUE(SUBSTITUTE(SUBSTITUTE(TRIM(Raw_Data!D70),"₹",""),",","")),"")</f>
        <v>2999</v>
      </c>
      <c r="F70" s="12">
        <f>IFERROR(VALUE(SUBSTITUTE(Raw_Data!E70,"%",""))/100,"")</f>
        <v>0.47</v>
      </c>
      <c r="G70" s="13">
        <f>IFERROR(VALUE(Raw_Data!F70),"")</f>
        <v>4.2</v>
      </c>
      <c r="H70" s="14">
        <f>IFERROR(VALUE(SUBSTITUTE(Raw_Data!G70,",","")),"")</f>
        <v>2727</v>
      </c>
      <c r="I70" s="11">
        <f t="shared" si="4"/>
        <v>1400</v>
      </c>
      <c r="J70" s="11">
        <f t="shared" si="5"/>
        <v>4360473</v>
      </c>
      <c r="K70" s="1">
        <f t="shared" si="6"/>
        <v>2727.0000070000001</v>
      </c>
      <c r="L70" s="15">
        <f t="shared" si="7"/>
        <v>0.47000699999999995</v>
      </c>
    </row>
    <row r="71" spans="1:12" ht="15" customHeight="1" x14ac:dyDescent="0.25">
      <c r="A71" s="10" t="str">
        <f>Raw_Data!A71</f>
        <v>Amazon Basics USB Type-C to USB-A 2.0 Male Fast Charging Cable for Laptop - 3 Feet (0.9 Meters), Black</v>
      </c>
      <c r="B71" s="10" t="str">
        <f>IFERROR(TRIM(LEFT(Raw_Data!A71,FIND(" ",Raw_Data!A71)-1)),Raw_Data!A71)</f>
        <v>Amazon</v>
      </c>
      <c r="C71" s="10" t="str">
        <f>IFERROR(LEFT(Raw_Data!B71,FIND("|",Raw_Data!B71)-1),Raw_Data!B71)</f>
        <v>Computers&amp;Accessories</v>
      </c>
      <c r="D71" s="11">
        <f>IFERROR(VALUE(SUBSTITUTE(SUBSTITUTE(TRIM(Raw_Data!C71),"₹",""),",","")),"")</f>
        <v>219</v>
      </c>
      <c r="E71" s="11">
        <f>IFERROR(VALUE(SUBSTITUTE(SUBSTITUTE(TRIM(Raw_Data!D71),"₹",""),",","")),"")</f>
        <v>700</v>
      </c>
      <c r="F71" s="12">
        <f>IFERROR(VALUE(SUBSTITUTE(Raw_Data!E71,"%",""))/100,"")</f>
        <v>0.69</v>
      </c>
      <c r="G71" s="13">
        <f>IFERROR(VALUE(Raw_Data!F71),"")</f>
        <v>4.3</v>
      </c>
      <c r="H71" s="14">
        <f>IFERROR(VALUE(SUBSTITUTE(Raw_Data!G71,",","")),"")</f>
        <v>20053</v>
      </c>
      <c r="I71" s="11">
        <f t="shared" si="4"/>
        <v>481</v>
      </c>
      <c r="J71" s="11">
        <f t="shared" si="5"/>
        <v>4391607</v>
      </c>
      <c r="K71" s="1">
        <f t="shared" si="6"/>
        <v>20053.000007099999</v>
      </c>
      <c r="L71" s="15">
        <f t="shared" si="7"/>
        <v>0.69000709999999998</v>
      </c>
    </row>
    <row r="72" spans="1:12" ht="15" customHeight="1" x14ac:dyDescent="0.25">
      <c r="A72" s="10" t="str">
        <f>Raw_Data!A72</f>
        <v>oraimo 65W Type C to C Fast Charging Cable USB C to USB C Cable High Speed Syncing, Nylon Braided 1M length with LED Indicator Compatible For Laptop, Macbook, Samsung Galaxy S22 S20 S10 S20Fe S21 S21 Ultra A70 A51 A71 A50S M31 M51 M31S M53 5G</v>
      </c>
      <c r="B72" s="10" t="str">
        <f>IFERROR(TRIM(LEFT(Raw_Data!A72,FIND(" ",Raw_Data!A72)-1)),Raw_Data!A72)</f>
        <v>oraimo</v>
      </c>
      <c r="C72" s="10" t="str">
        <f>IFERROR(LEFT(Raw_Data!B72,FIND("|",Raw_Data!B72)-1),Raw_Data!B72)</f>
        <v>Computers&amp;Accessories</v>
      </c>
      <c r="D72" s="11">
        <f>IFERROR(VALUE(SUBSTITUTE(SUBSTITUTE(TRIM(Raw_Data!C72),"₹",""),",","")),"")</f>
        <v>349</v>
      </c>
      <c r="E72" s="11">
        <f>IFERROR(VALUE(SUBSTITUTE(SUBSTITUTE(TRIM(Raw_Data!D72),"₹",""),",","")),"")</f>
        <v>899</v>
      </c>
      <c r="F72" s="12">
        <f>IFERROR(VALUE(SUBSTITUTE(Raw_Data!E72,"%",""))/100,"")</f>
        <v>0.61</v>
      </c>
      <c r="G72" s="13">
        <f>IFERROR(VALUE(Raw_Data!F72),"")</f>
        <v>4.5</v>
      </c>
      <c r="H72" s="14">
        <f>IFERROR(VALUE(SUBSTITUTE(Raw_Data!G72,",","")),"")</f>
        <v>149</v>
      </c>
      <c r="I72" s="11">
        <f t="shared" si="4"/>
        <v>550</v>
      </c>
      <c r="J72" s="11">
        <f t="shared" si="5"/>
        <v>52001</v>
      </c>
      <c r="K72" s="1">
        <f t="shared" si="6"/>
        <v>149.0000072</v>
      </c>
      <c r="L72" s="15">
        <f t="shared" si="7"/>
        <v>0.61000719999999997</v>
      </c>
    </row>
    <row r="73" spans="1:12" ht="15" customHeight="1" x14ac:dyDescent="0.25">
      <c r="A73" s="10" t="str">
        <f>Raw_Data!A73</f>
        <v>CEDO 65W OnePlus Dash Warp Charge Cable, USB A to Type C Data Sync Fast Charging Cable Compatible with One Plus 3 /3T /5 /5T /6 /6T /7 /7T /7 pro &amp; for All Type C Devices - 1 Meter, Red</v>
      </c>
      <c r="B73" s="10" t="str">
        <f>IFERROR(TRIM(LEFT(Raw_Data!A73,FIND(" ",Raw_Data!A73)-1)),Raw_Data!A73)</f>
        <v>CEDO</v>
      </c>
      <c r="C73" s="10" t="str">
        <f>IFERROR(LEFT(Raw_Data!B73,FIND("|",Raw_Data!B73)-1),Raw_Data!B73)</f>
        <v>Computers&amp;Accessories</v>
      </c>
      <c r="D73" s="11">
        <f>IFERROR(VALUE(SUBSTITUTE(SUBSTITUTE(TRIM(Raw_Data!C73),"₹",""),",","")),"")</f>
        <v>349</v>
      </c>
      <c r="E73" s="11">
        <f>IFERROR(VALUE(SUBSTITUTE(SUBSTITUTE(TRIM(Raw_Data!D73),"₹",""),",","")),"")</f>
        <v>599</v>
      </c>
      <c r="F73" s="12">
        <f>IFERROR(VALUE(SUBSTITUTE(Raw_Data!E73,"%",""))/100,"")</f>
        <v>0.42</v>
      </c>
      <c r="G73" s="13">
        <f>IFERROR(VALUE(Raw_Data!F73),"")</f>
        <v>4.0999999999999996</v>
      </c>
      <c r="H73" s="14">
        <f>IFERROR(VALUE(SUBSTITUTE(Raw_Data!G73,",","")),"")</f>
        <v>210</v>
      </c>
      <c r="I73" s="11">
        <f t="shared" si="4"/>
        <v>250</v>
      </c>
      <c r="J73" s="11">
        <f t="shared" si="5"/>
        <v>73290</v>
      </c>
      <c r="K73" s="1">
        <f t="shared" si="6"/>
        <v>210.00000729999999</v>
      </c>
      <c r="L73" s="15">
        <f t="shared" si="7"/>
        <v>0.42000729999999997</v>
      </c>
    </row>
    <row r="74" spans="1:12" ht="15" customHeight="1" x14ac:dyDescent="0.25">
      <c r="A74" s="10" t="str">
        <f>Raw_Data!A74</f>
        <v>Redmi 108 cm (43 inches) 4K Ultra HD Android Smart LED TV X43 | L43R7-7AIN (Black)</v>
      </c>
      <c r="B74" s="10" t="str">
        <f>IFERROR(TRIM(LEFT(Raw_Data!A74,FIND(" ",Raw_Data!A74)-1)),Raw_Data!A74)</f>
        <v>Redmi</v>
      </c>
      <c r="C74" s="10" t="str">
        <f>IFERROR(LEFT(Raw_Data!B74,FIND("|",Raw_Data!B74)-1),Raw_Data!B74)</f>
        <v>Electronics</v>
      </c>
      <c r="D74" s="11">
        <f>IFERROR(VALUE(SUBSTITUTE(SUBSTITUTE(TRIM(Raw_Data!C74),"₹",""),",","")),"")</f>
        <v>26999</v>
      </c>
      <c r="E74" s="11">
        <f>IFERROR(VALUE(SUBSTITUTE(SUBSTITUTE(TRIM(Raw_Data!D74),"₹",""),",","")),"")</f>
        <v>42999</v>
      </c>
      <c r="F74" s="12">
        <f>IFERROR(VALUE(SUBSTITUTE(Raw_Data!E74,"%",""))/100,"")</f>
        <v>0.37</v>
      </c>
      <c r="G74" s="13">
        <f>IFERROR(VALUE(Raw_Data!F74),"")</f>
        <v>4.2</v>
      </c>
      <c r="H74" s="14">
        <f>IFERROR(VALUE(SUBSTITUTE(Raw_Data!G74,",","")),"")</f>
        <v>45238</v>
      </c>
      <c r="I74" s="11">
        <f t="shared" si="4"/>
        <v>16000</v>
      </c>
      <c r="J74" s="11">
        <f t="shared" si="5"/>
        <v>1221380762</v>
      </c>
      <c r="K74" s="1">
        <f t="shared" si="6"/>
        <v>45238.000007399998</v>
      </c>
      <c r="L74" s="15">
        <f t="shared" si="7"/>
        <v>0.37000739999999999</v>
      </c>
    </row>
    <row r="75" spans="1:12" ht="15" customHeight="1" x14ac:dyDescent="0.25">
      <c r="A75" s="10" t="str">
        <f>Raw_Data!A75</f>
        <v>Pinnaclz Original Combo of 2 Micro USB Fast Charging Cable, USB Charging Cable for Data Transfer Perfect for Android Smart Phones White 1.2 Meter Made in India (Pack of 2)</v>
      </c>
      <c r="B75" s="10" t="str">
        <f>IFERROR(TRIM(LEFT(Raw_Data!A75,FIND(" ",Raw_Data!A75)-1)),Raw_Data!A75)</f>
        <v>Pinnaclz</v>
      </c>
      <c r="C75" s="10" t="str">
        <f>IFERROR(LEFT(Raw_Data!B75,FIND("|",Raw_Data!B75)-1),Raw_Data!B75)</f>
        <v>Computers&amp;Accessories</v>
      </c>
      <c r="D75" s="11">
        <f>IFERROR(VALUE(SUBSTITUTE(SUBSTITUTE(TRIM(Raw_Data!C75),"₹",""),",","")),"")</f>
        <v>115</v>
      </c>
      <c r="E75" s="11">
        <f>IFERROR(VALUE(SUBSTITUTE(SUBSTITUTE(TRIM(Raw_Data!D75),"₹",""),",","")),"")</f>
        <v>499</v>
      </c>
      <c r="F75" s="12">
        <f>IFERROR(VALUE(SUBSTITUTE(Raw_Data!E75,"%",""))/100,"")</f>
        <v>0.77</v>
      </c>
      <c r="G75" s="13">
        <f>IFERROR(VALUE(Raw_Data!F75),"")</f>
        <v>4</v>
      </c>
      <c r="H75" s="14">
        <f>IFERROR(VALUE(SUBSTITUTE(Raw_Data!G75,",","")),"")</f>
        <v>7732</v>
      </c>
      <c r="I75" s="11">
        <f t="shared" si="4"/>
        <v>384</v>
      </c>
      <c r="J75" s="11">
        <f t="shared" si="5"/>
        <v>889180</v>
      </c>
      <c r="K75" s="1">
        <f t="shared" si="6"/>
        <v>7732.0000074999998</v>
      </c>
      <c r="L75" s="15">
        <f t="shared" si="7"/>
        <v>0.77000750000000007</v>
      </c>
    </row>
    <row r="76" spans="1:12" ht="15" customHeight="1" x14ac:dyDescent="0.25">
      <c r="A76" s="10" t="str">
        <f>Raw_Data!A76</f>
        <v>boAt Type C A750 Stress Resistant, Tangle-free, Sturdy Flat Cable with 6.5A Fast Charging &amp; 480Mbps Data Transmission, 10000+ Bends Lifespan and Extended 1.5m Length(Rebellious Black)</v>
      </c>
      <c r="B76" s="10" t="str">
        <f>IFERROR(TRIM(LEFT(Raw_Data!A76,FIND(" ",Raw_Data!A76)-1)),Raw_Data!A76)</f>
        <v>boAt</v>
      </c>
      <c r="C76" s="10" t="str">
        <f>IFERROR(LEFT(Raw_Data!B76,FIND("|",Raw_Data!B76)-1),Raw_Data!B76)</f>
        <v>Computers&amp;Accessories</v>
      </c>
      <c r="D76" s="11">
        <f>IFERROR(VALUE(SUBSTITUTE(SUBSTITUTE(TRIM(Raw_Data!C76),"₹",""),",","")),"")</f>
        <v>399</v>
      </c>
      <c r="E76" s="11">
        <f>IFERROR(VALUE(SUBSTITUTE(SUBSTITUTE(TRIM(Raw_Data!D76),"₹",""),",","")),"")</f>
        <v>999</v>
      </c>
      <c r="F76" s="12">
        <f>IFERROR(VALUE(SUBSTITUTE(Raw_Data!E76,"%",""))/100,"")</f>
        <v>0.6</v>
      </c>
      <c r="G76" s="13">
        <f>IFERROR(VALUE(Raw_Data!F76),"")</f>
        <v>4.0999999999999996</v>
      </c>
      <c r="H76" s="14">
        <f>IFERROR(VALUE(SUBSTITUTE(Raw_Data!G76,",","")),"")</f>
        <v>1780</v>
      </c>
      <c r="I76" s="11">
        <f t="shared" si="4"/>
        <v>600</v>
      </c>
      <c r="J76" s="11">
        <f t="shared" si="5"/>
        <v>710220</v>
      </c>
      <c r="K76" s="1">
        <f t="shared" si="6"/>
        <v>1780.0000075999999</v>
      </c>
      <c r="L76" s="15">
        <f t="shared" si="7"/>
        <v>0.60000759999999997</v>
      </c>
    </row>
    <row r="77" spans="1:12" ht="15" customHeight="1" x14ac:dyDescent="0.25">
      <c r="A77" s="10" t="str">
        <f>Raw_Data!A77</f>
        <v>Ambrane 2 in 1 Type-C &amp; Micro USB Cable with 60W / 3A Fast Charging, 480 mbps High Data, PD Technology &amp; Quick Charge 3.0, Compatible with All Type-C &amp; Micro USB Devices (ABDC-10, Black)</v>
      </c>
      <c r="B77" s="10" t="str">
        <f>IFERROR(TRIM(LEFT(Raw_Data!A77,FIND(" ",Raw_Data!A77)-1)),Raw_Data!A77)</f>
        <v>Ambrane</v>
      </c>
      <c r="C77" s="10" t="str">
        <f>IFERROR(LEFT(Raw_Data!B77,FIND("|",Raw_Data!B77)-1),Raw_Data!B77)</f>
        <v>Computers&amp;Accessories</v>
      </c>
      <c r="D77" s="11">
        <f>IFERROR(VALUE(SUBSTITUTE(SUBSTITUTE(TRIM(Raw_Data!C77),"₹",""),",","")),"")</f>
        <v>199</v>
      </c>
      <c r="E77" s="11">
        <f>IFERROR(VALUE(SUBSTITUTE(SUBSTITUTE(TRIM(Raw_Data!D77),"₹",""),",","")),"")</f>
        <v>499</v>
      </c>
      <c r="F77" s="12">
        <f>IFERROR(VALUE(SUBSTITUTE(Raw_Data!E77,"%",""))/100,"")</f>
        <v>0.6</v>
      </c>
      <c r="G77" s="13">
        <f>IFERROR(VALUE(Raw_Data!F77),"")</f>
        <v>4.0999999999999996</v>
      </c>
      <c r="H77" s="14">
        <f>IFERROR(VALUE(SUBSTITUTE(Raw_Data!G77,",","")),"")</f>
        <v>602</v>
      </c>
      <c r="I77" s="11">
        <f t="shared" si="4"/>
        <v>300</v>
      </c>
      <c r="J77" s="11">
        <f t="shared" si="5"/>
        <v>119798</v>
      </c>
      <c r="K77" s="1">
        <f t="shared" si="6"/>
        <v>602.00000769999997</v>
      </c>
      <c r="L77" s="15">
        <f t="shared" si="7"/>
        <v>0.60000770000000003</v>
      </c>
    </row>
    <row r="78" spans="1:12" ht="15" customHeight="1" x14ac:dyDescent="0.25">
      <c r="A78" s="10" t="str">
        <f>Raw_Data!A78</f>
        <v>Ambrane 60W / 3A Fast Charging Output Cable with Type-C to USB for Mobile, Neckband, True Wireless Earphone Charging, 480mbps Data Sync Speed, 1m Length (ACT - AZ10, Black)</v>
      </c>
      <c r="B78" s="10" t="str">
        <f>IFERROR(TRIM(LEFT(Raw_Data!A78,FIND(" ",Raw_Data!A78)-1)),Raw_Data!A78)</f>
        <v>Ambrane</v>
      </c>
      <c r="C78" s="10" t="str">
        <f>IFERROR(LEFT(Raw_Data!B78,FIND("|",Raw_Data!B78)-1),Raw_Data!B78)</f>
        <v>Computers&amp;Accessories</v>
      </c>
      <c r="D78" s="11">
        <f>IFERROR(VALUE(SUBSTITUTE(SUBSTITUTE(TRIM(Raw_Data!C78),"₹",""),",","")),"")</f>
        <v>179</v>
      </c>
      <c r="E78" s="11">
        <f>IFERROR(VALUE(SUBSTITUTE(SUBSTITUTE(TRIM(Raw_Data!D78),"₹",""),",","")),"")</f>
        <v>399</v>
      </c>
      <c r="F78" s="12">
        <f>IFERROR(VALUE(SUBSTITUTE(Raw_Data!E78,"%",""))/100,"")</f>
        <v>0.55000000000000004</v>
      </c>
      <c r="G78" s="13">
        <f>IFERROR(VALUE(Raw_Data!F78),"")</f>
        <v>4</v>
      </c>
      <c r="H78" s="14">
        <f>IFERROR(VALUE(SUBSTITUTE(Raw_Data!G78,",","")),"")</f>
        <v>1423</v>
      </c>
      <c r="I78" s="11">
        <f t="shared" si="4"/>
        <v>220</v>
      </c>
      <c r="J78" s="11">
        <f t="shared" si="5"/>
        <v>254717</v>
      </c>
      <c r="K78" s="1">
        <f t="shared" si="6"/>
        <v>1423.0000078</v>
      </c>
      <c r="L78" s="15">
        <f t="shared" si="7"/>
        <v>0.55000780000000005</v>
      </c>
    </row>
    <row r="79" spans="1:12" ht="15" customHeight="1" x14ac:dyDescent="0.25">
      <c r="A79" s="10" t="str">
        <f>Raw_Data!A79</f>
        <v>TCL 80 cm (32 inches) HD Ready Certified Android Smart LED TV 32S5205 (Black)</v>
      </c>
      <c r="B79" s="10" t="str">
        <f>IFERROR(TRIM(LEFT(Raw_Data!A79,FIND(" ",Raw_Data!A79)-1)),Raw_Data!A79)</f>
        <v>TCL</v>
      </c>
      <c r="C79" s="10" t="str">
        <f>IFERROR(LEFT(Raw_Data!B79,FIND("|",Raw_Data!B79)-1),Raw_Data!B79)</f>
        <v>Electronics</v>
      </c>
      <c r="D79" s="11">
        <f>IFERROR(VALUE(SUBSTITUTE(SUBSTITUTE(TRIM(Raw_Data!C79),"₹",""),",","")),"")</f>
        <v>10901</v>
      </c>
      <c r="E79" s="11">
        <f>IFERROR(VALUE(SUBSTITUTE(SUBSTITUTE(TRIM(Raw_Data!D79),"₹",""),",","")),"")</f>
        <v>30990</v>
      </c>
      <c r="F79" s="12">
        <f>IFERROR(VALUE(SUBSTITUTE(Raw_Data!E79,"%",""))/100,"")</f>
        <v>0.65</v>
      </c>
      <c r="G79" s="13">
        <f>IFERROR(VALUE(Raw_Data!F79),"")</f>
        <v>4.0999999999999996</v>
      </c>
      <c r="H79" s="14">
        <f>IFERROR(VALUE(SUBSTITUTE(Raw_Data!G79,",","")),"")</f>
        <v>398</v>
      </c>
      <c r="I79" s="11">
        <f t="shared" si="4"/>
        <v>20089</v>
      </c>
      <c r="J79" s="11">
        <f t="shared" si="5"/>
        <v>4338598</v>
      </c>
      <c r="K79" s="1">
        <f t="shared" si="6"/>
        <v>398.00000790000001</v>
      </c>
      <c r="L79" s="15">
        <f t="shared" si="7"/>
        <v>0.65000789999999997</v>
      </c>
    </row>
    <row r="80" spans="1:12" ht="15" customHeight="1" x14ac:dyDescent="0.25">
      <c r="A80" s="10" t="str">
        <f>Raw_Data!A80</f>
        <v>SWAPKART Fast Charging Cable and Data Sync USB Cable Compatible for iPhone 6/6S/7/7+/8/8+/10/11, 12, 13 Pro max iPad Air/Mini, iPod and iOS Devices (White)</v>
      </c>
      <c r="B80" s="10" t="str">
        <f>IFERROR(TRIM(LEFT(Raw_Data!A80,FIND(" ",Raw_Data!A80)-1)),Raw_Data!A80)</f>
        <v>SWAPKART</v>
      </c>
      <c r="C80" s="10" t="str">
        <f>IFERROR(LEFT(Raw_Data!B80,FIND("|",Raw_Data!B80)-1),Raw_Data!B80)</f>
        <v>Computers&amp;Accessories</v>
      </c>
      <c r="D80" s="11">
        <f>IFERROR(VALUE(SUBSTITUTE(SUBSTITUTE(TRIM(Raw_Data!C80),"₹",""),",","")),"")</f>
        <v>209</v>
      </c>
      <c r="E80" s="11">
        <f>IFERROR(VALUE(SUBSTITUTE(SUBSTITUTE(TRIM(Raw_Data!D80),"₹",""),",","")),"")</f>
        <v>499</v>
      </c>
      <c r="F80" s="12">
        <f>IFERROR(VALUE(SUBSTITUTE(Raw_Data!E80,"%",""))/100,"")</f>
        <v>0.57999999999999996</v>
      </c>
      <c r="G80" s="13">
        <f>IFERROR(VALUE(Raw_Data!F80),"")</f>
        <v>3.9</v>
      </c>
      <c r="H80" s="14">
        <f>IFERROR(VALUE(SUBSTITUTE(Raw_Data!G80,",","")),"")</f>
        <v>536</v>
      </c>
      <c r="I80" s="11">
        <f t="shared" si="4"/>
        <v>290</v>
      </c>
      <c r="J80" s="11">
        <f t="shared" si="5"/>
        <v>112024</v>
      </c>
      <c r="K80" s="1">
        <f t="shared" si="6"/>
        <v>536.00000799999998</v>
      </c>
      <c r="L80" s="15">
        <f t="shared" si="7"/>
        <v>0.58000799999999997</v>
      </c>
    </row>
    <row r="81" spans="1:12" ht="15" customHeight="1" x14ac:dyDescent="0.25">
      <c r="A81" s="10" t="str">
        <f>Raw_Data!A81</f>
        <v>Firestick Remote</v>
      </c>
      <c r="B81" s="10" t="str">
        <f>IFERROR(TRIM(LEFT(Raw_Data!A81,FIND(" ",Raw_Data!A81)-1)),Raw_Data!A81)</f>
        <v>Firestick</v>
      </c>
      <c r="C81" s="10" t="str">
        <f>IFERROR(LEFT(Raw_Data!B81,FIND("|",Raw_Data!B81)-1),Raw_Data!B81)</f>
        <v>Electronics</v>
      </c>
      <c r="D81" s="11">
        <f>IFERROR(VALUE(SUBSTITUTE(SUBSTITUTE(TRIM(Raw_Data!C81),"₹",""),",","")),"")</f>
        <v>1434</v>
      </c>
      <c r="E81" s="11">
        <f>IFERROR(VALUE(SUBSTITUTE(SUBSTITUTE(TRIM(Raw_Data!D81),"₹",""),",","")),"")</f>
        <v>3999</v>
      </c>
      <c r="F81" s="12">
        <f>IFERROR(VALUE(SUBSTITUTE(Raw_Data!E81,"%",""))/100,"")</f>
        <v>0.64</v>
      </c>
      <c r="G81" s="13">
        <f>IFERROR(VALUE(Raw_Data!F81),"")</f>
        <v>4</v>
      </c>
      <c r="H81" s="14">
        <f>IFERROR(VALUE(SUBSTITUTE(Raw_Data!G81,",","")),"")</f>
        <v>32</v>
      </c>
      <c r="I81" s="11">
        <f t="shared" si="4"/>
        <v>2565</v>
      </c>
      <c r="J81" s="11">
        <f t="shared" si="5"/>
        <v>45888</v>
      </c>
      <c r="K81" s="1">
        <f t="shared" si="6"/>
        <v>32.000008100000002</v>
      </c>
      <c r="L81" s="15">
        <f t="shared" si="7"/>
        <v>0.64000809999999997</v>
      </c>
    </row>
    <row r="82" spans="1:12" ht="15" customHeight="1" x14ac:dyDescent="0.25">
      <c r="A82" s="10" t="str">
        <f>Raw_Data!A82</f>
        <v>Wayona Usb Nylon Braided Data Sync And Charging Cable For Iphone, Ipad Tablet (Red, Black)</v>
      </c>
      <c r="B82" s="10" t="str">
        <f>IFERROR(TRIM(LEFT(Raw_Data!A82,FIND(" ",Raw_Data!A82)-1)),Raw_Data!A82)</f>
        <v>Wayona</v>
      </c>
      <c r="C82" s="10" t="str">
        <f>IFERROR(LEFT(Raw_Data!B82,FIND("|",Raw_Data!B82)-1),Raw_Data!B82)</f>
        <v>Computers&amp;Accessories</v>
      </c>
      <c r="D82" s="11">
        <f>IFERROR(VALUE(SUBSTITUTE(SUBSTITUTE(TRIM(Raw_Data!C82),"₹",""),",","")),"")</f>
        <v>399</v>
      </c>
      <c r="E82" s="11">
        <f>IFERROR(VALUE(SUBSTITUTE(SUBSTITUTE(TRIM(Raw_Data!D82),"₹",""),",","")),"")</f>
        <v>1099</v>
      </c>
      <c r="F82" s="12">
        <f>IFERROR(VALUE(SUBSTITUTE(Raw_Data!E82,"%",""))/100,"")</f>
        <v>0.64</v>
      </c>
      <c r="G82" s="13">
        <f>IFERROR(VALUE(Raw_Data!F82),"")</f>
        <v>4.2</v>
      </c>
      <c r="H82" s="14">
        <f>IFERROR(VALUE(SUBSTITUTE(Raw_Data!G82,",","")),"")</f>
        <v>24269</v>
      </c>
      <c r="I82" s="11">
        <f t="shared" si="4"/>
        <v>700</v>
      </c>
      <c r="J82" s="11">
        <f t="shared" si="5"/>
        <v>9683331</v>
      </c>
      <c r="K82" s="1">
        <f t="shared" si="6"/>
        <v>24269.000008200001</v>
      </c>
      <c r="L82" s="15">
        <f t="shared" si="7"/>
        <v>0.64000820000000003</v>
      </c>
    </row>
    <row r="83" spans="1:12" ht="15" customHeight="1" x14ac:dyDescent="0.25">
      <c r="A83" s="10" t="str">
        <f>Raw_Data!A83</f>
        <v>Flix (Beetel) Usb To Type C Pvc Data Sync And 2A 480Mbps Data Sync, Tough Fast Charging Long Cable For Usb Type C Devices, Charging Adapter (White, 1 Meter) - Xcd-C12</v>
      </c>
      <c r="B83" s="10" t="str">
        <f>IFERROR(TRIM(LEFT(Raw_Data!A83,FIND(" ",Raw_Data!A83)-1)),Raw_Data!A83)</f>
        <v>Flix</v>
      </c>
      <c r="C83" s="10" t="str">
        <f>IFERROR(LEFT(Raw_Data!B83,FIND("|",Raw_Data!B83)-1),Raw_Data!B83)</f>
        <v>Computers&amp;Accessories</v>
      </c>
      <c r="D83" s="11">
        <f>IFERROR(VALUE(SUBSTITUTE(SUBSTITUTE(TRIM(Raw_Data!C83),"₹",""),",","")),"")</f>
        <v>139</v>
      </c>
      <c r="E83" s="11">
        <f>IFERROR(VALUE(SUBSTITUTE(SUBSTITUTE(TRIM(Raw_Data!D83),"₹",""),",","")),"")</f>
        <v>249</v>
      </c>
      <c r="F83" s="12">
        <f>IFERROR(VALUE(SUBSTITUTE(Raw_Data!E83,"%",""))/100,"")</f>
        <v>0.44</v>
      </c>
      <c r="G83" s="13">
        <f>IFERROR(VALUE(Raw_Data!F83),"")</f>
        <v>4</v>
      </c>
      <c r="H83" s="14">
        <f>IFERROR(VALUE(SUBSTITUTE(Raw_Data!G83,",","")),"")</f>
        <v>9378</v>
      </c>
      <c r="I83" s="11">
        <f t="shared" si="4"/>
        <v>110</v>
      </c>
      <c r="J83" s="11">
        <f t="shared" si="5"/>
        <v>1303542</v>
      </c>
      <c r="K83" s="1">
        <f t="shared" si="6"/>
        <v>9378.0000082999995</v>
      </c>
      <c r="L83" s="15">
        <f t="shared" si="7"/>
        <v>0.44000830000000002</v>
      </c>
    </row>
    <row r="84" spans="1:12" ht="15" customHeight="1" x14ac:dyDescent="0.25">
      <c r="A84" s="10" t="str">
        <f>Raw_Data!A84</f>
        <v>SKYWALL 81.28 cm (32 inches) HD Ready Smart LED TV 32SWELS-PRO (Black)</v>
      </c>
      <c r="B84" s="10" t="str">
        <f>IFERROR(TRIM(LEFT(Raw_Data!A84,FIND(" ",Raw_Data!A84)-1)),Raw_Data!A84)</f>
        <v>SKYWALL</v>
      </c>
      <c r="C84" s="10" t="str">
        <f>IFERROR(LEFT(Raw_Data!B84,FIND("|",Raw_Data!B84)-1),Raw_Data!B84)</f>
        <v>Electronics</v>
      </c>
      <c r="D84" s="11">
        <f>IFERROR(VALUE(SUBSTITUTE(SUBSTITUTE(TRIM(Raw_Data!C84),"₹",""),",","")),"")</f>
        <v>7299</v>
      </c>
      <c r="E84" s="11">
        <f>IFERROR(VALUE(SUBSTITUTE(SUBSTITUTE(TRIM(Raw_Data!D84),"₹",""),",","")),"")</f>
        <v>19125</v>
      </c>
      <c r="F84" s="12">
        <f>IFERROR(VALUE(SUBSTITUTE(Raw_Data!E84,"%",""))/100,"")</f>
        <v>0.62</v>
      </c>
      <c r="G84" s="13">
        <f>IFERROR(VALUE(Raw_Data!F84),"")</f>
        <v>3.4</v>
      </c>
      <c r="H84" s="14">
        <f>IFERROR(VALUE(SUBSTITUTE(Raw_Data!G84,",","")),"")</f>
        <v>902</v>
      </c>
      <c r="I84" s="11">
        <f t="shared" si="4"/>
        <v>11826</v>
      </c>
      <c r="J84" s="11">
        <f t="shared" si="5"/>
        <v>6583698</v>
      </c>
      <c r="K84" s="1">
        <f t="shared" si="6"/>
        <v>902.00000839999996</v>
      </c>
      <c r="L84" s="15">
        <f t="shared" si="7"/>
        <v>0.62000840000000002</v>
      </c>
    </row>
    <row r="85" spans="1:12" ht="15" customHeight="1" x14ac:dyDescent="0.25">
      <c r="A85" s="10" t="str">
        <f>Raw_Data!A85</f>
        <v>boAt A 350 Type C Cable for Smartphone, Charging Adapter (1.5m, Carbon Black)</v>
      </c>
      <c r="B85" s="10" t="str">
        <f>IFERROR(TRIM(LEFT(Raw_Data!A85,FIND(" ",Raw_Data!A85)-1)),Raw_Data!A85)</f>
        <v>boAt</v>
      </c>
      <c r="C85" s="10" t="str">
        <f>IFERROR(LEFT(Raw_Data!B85,FIND("|",Raw_Data!B85)-1),Raw_Data!B85)</f>
        <v>Computers&amp;Accessories</v>
      </c>
      <c r="D85" s="11">
        <f>IFERROR(VALUE(SUBSTITUTE(SUBSTITUTE(TRIM(Raw_Data!C85),"₹",""),",","")),"")</f>
        <v>299</v>
      </c>
      <c r="E85" s="11">
        <f>IFERROR(VALUE(SUBSTITUTE(SUBSTITUTE(TRIM(Raw_Data!D85),"₹",""),",","")),"")</f>
        <v>799</v>
      </c>
      <c r="F85" s="12">
        <f>IFERROR(VALUE(SUBSTITUTE(Raw_Data!E85,"%",""))/100,"")</f>
        <v>0.63</v>
      </c>
      <c r="G85" s="13">
        <f>IFERROR(VALUE(Raw_Data!F85),"")</f>
        <v>4.4000000000000004</v>
      </c>
      <c r="H85" s="14">
        <f>IFERROR(VALUE(SUBSTITUTE(Raw_Data!G85,",","")),"")</f>
        <v>28791</v>
      </c>
      <c r="I85" s="11">
        <f t="shared" si="4"/>
        <v>500</v>
      </c>
      <c r="J85" s="11">
        <f t="shared" si="5"/>
        <v>8608509</v>
      </c>
      <c r="K85" s="1">
        <f t="shared" si="6"/>
        <v>28791.000008499999</v>
      </c>
      <c r="L85" s="15">
        <f t="shared" si="7"/>
        <v>0.63000849999999997</v>
      </c>
    </row>
    <row r="86" spans="1:12" ht="15" customHeight="1" x14ac:dyDescent="0.25">
      <c r="A86" s="10" t="str">
        <f>Raw_Data!A86</f>
        <v>Wayona Usb Type C Fast Charger Cable Fast Charging Usb C Cable/Cord Compatible For Samsung Galaxy S10E S10 S9 S8 Plus S10+,Note 10 Note 9 Note 8,S20,M31S,M40,Realme X3,Pixel 2 Xl (3 Ft Pack Of 1,Grey)</v>
      </c>
      <c r="B86" s="10" t="str">
        <f>IFERROR(TRIM(LEFT(Raw_Data!A86,FIND(" ",Raw_Data!A86)-1)),Raw_Data!A86)</f>
        <v>Wayona</v>
      </c>
      <c r="C86" s="10" t="str">
        <f>IFERROR(LEFT(Raw_Data!B86,FIND("|",Raw_Data!B86)-1),Raw_Data!B86)</f>
        <v>Computers&amp;Accessories</v>
      </c>
      <c r="D86" s="11">
        <f>IFERROR(VALUE(SUBSTITUTE(SUBSTITUTE(TRIM(Raw_Data!C86),"₹",""),",","")),"")</f>
        <v>325</v>
      </c>
      <c r="E86" s="11">
        <f>IFERROR(VALUE(SUBSTITUTE(SUBSTITUTE(TRIM(Raw_Data!D86),"₹",""),",","")),"")</f>
        <v>1299</v>
      </c>
      <c r="F86" s="12">
        <f>IFERROR(VALUE(SUBSTITUTE(Raw_Data!E86,"%",""))/100,"")</f>
        <v>0.75</v>
      </c>
      <c r="G86" s="13">
        <f>IFERROR(VALUE(Raw_Data!F86),"")</f>
        <v>4.2</v>
      </c>
      <c r="H86" s="14">
        <f>IFERROR(VALUE(SUBSTITUTE(Raw_Data!G86,",","")),"")</f>
        <v>10576</v>
      </c>
      <c r="I86" s="11">
        <f t="shared" si="4"/>
        <v>974</v>
      </c>
      <c r="J86" s="11">
        <f t="shared" si="5"/>
        <v>3437200</v>
      </c>
      <c r="K86" s="1">
        <f t="shared" si="6"/>
        <v>10576.0000086</v>
      </c>
      <c r="L86" s="15">
        <f t="shared" si="7"/>
        <v>0.75000860000000003</v>
      </c>
    </row>
    <row r="87" spans="1:12" ht="15" customHeight="1" x14ac:dyDescent="0.25">
      <c r="A87" s="10" t="str">
        <f>Raw_Data!A87</f>
        <v>OnePlus 108 cm (43 inches) Y Series 4K Ultra HD Smart Android LED TV 43Y1S Pro (Black)</v>
      </c>
      <c r="B87" s="10" t="str">
        <f>IFERROR(TRIM(LEFT(Raw_Data!A87,FIND(" ",Raw_Data!A87)-1)),Raw_Data!A87)</f>
        <v>OnePlus</v>
      </c>
      <c r="C87" s="10" t="str">
        <f>IFERROR(LEFT(Raw_Data!B87,FIND("|",Raw_Data!B87)-1),Raw_Data!B87)</f>
        <v>Electronics</v>
      </c>
      <c r="D87" s="11">
        <f>IFERROR(VALUE(SUBSTITUTE(SUBSTITUTE(TRIM(Raw_Data!C87),"₹",""),",","")),"")</f>
        <v>29999</v>
      </c>
      <c r="E87" s="11">
        <f>IFERROR(VALUE(SUBSTITUTE(SUBSTITUTE(TRIM(Raw_Data!D87),"₹",""),",","")),"")</f>
        <v>39999</v>
      </c>
      <c r="F87" s="12">
        <f>IFERROR(VALUE(SUBSTITUTE(Raw_Data!E87,"%",""))/100,"")</f>
        <v>0.25</v>
      </c>
      <c r="G87" s="13">
        <f>IFERROR(VALUE(Raw_Data!F87),"")</f>
        <v>4.2</v>
      </c>
      <c r="H87" s="14">
        <f>IFERROR(VALUE(SUBSTITUTE(Raw_Data!G87,",","")),"")</f>
        <v>7298</v>
      </c>
      <c r="I87" s="11">
        <f t="shared" si="4"/>
        <v>10000</v>
      </c>
      <c r="J87" s="11">
        <f t="shared" si="5"/>
        <v>218932702</v>
      </c>
      <c r="K87" s="1">
        <f t="shared" si="6"/>
        <v>7298.0000086999999</v>
      </c>
      <c r="L87" s="15">
        <f t="shared" si="7"/>
        <v>0.25000869999999997</v>
      </c>
    </row>
    <row r="88" spans="1:12" ht="15" customHeight="1" x14ac:dyDescent="0.25">
      <c r="A88" s="10" t="str">
        <f>Raw_Data!A88</f>
        <v>Acer 127 cm (50 inches) I Series 4K Ultra HD Android Smart LED TV AR50AR2851UDFL (Black)</v>
      </c>
      <c r="B88" s="10" t="str">
        <f>IFERROR(TRIM(LEFT(Raw_Data!A88,FIND(" ",Raw_Data!A88)-1)),Raw_Data!A88)</f>
        <v>Acer</v>
      </c>
      <c r="C88" s="10" t="str">
        <f>IFERROR(LEFT(Raw_Data!B88,FIND("|",Raw_Data!B88)-1),Raw_Data!B88)</f>
        <v>Electronics</v>
      </c>
      <c r="D88" s="11">
        <f>IFERROR(VALUE(SUBSTITUTE(SUBSTITUTE(TRIM(Raw_Data!C88),"₹",""),",","")),"")</f>
        <v>27999</v>
      </c>
      <c r="E88" s="11">
        <f>IFERROR(VALUE(SUBSTITUTE(SUBSTITUTE(TRIM(Raw_Data!D88),"₹",""),",","")),"")</f>
        <v>40990</v>
      </c>
      <c r="F88" s="12">
        <f>IFERROR(VALUE(SUBSTITUTE(Raw_Data!E88,"%",""))/100,"")</f>
        <v>0.32</v>
      </c>
      <c r="G88" s="13">
        <f>IFERROR(VALUE(Raw_Data!F88),"")</f>
        <v>4.3</v>
      </c>
      <c r="H88" s="14">
        <f>IFERROR(VALUE(SUBSTITUTE(Raw_Data!G88,",","")),"")</f>
        <v>4703</v>
      </c>
      <c r="I88" s="11">
        <f t="shared" si="4"/>
        <v>12991</v>
      </c>
      <c r="J88" s="11">
        <f t="shared" si="5"/>
        <v>131679297</v>
      </c>
      <c r="K88" s="1">
        <f t="shared" si="6"/>
        <v>4703.0000087999997</v>
      </c>
      <c r="L88" s="15">
        <f t="shared" si="7"/>
        <v>0.32000879999999998</v>
      </c>
    </row>
    <row r="89" spans="1:12" ht="15" customHeight="1" x14ac:dyDescent="0.25">
      <c r="A89" s="10" t="str">
        <f>Raw_Data!A89</f>
        <v>Samsung 108 cm (43 inches) Crystal 4K Series Ultra HD Smart LED TV UA43AUE60AKLXL (Black)</v>
      </c>
      <c r="B89" s="10" t="str">
        <f>IFERROR(TRIM(LEFT(Raw_Data!A89,FIND(" ",Raw_Data!A89)-1)),Raw_Data!A89)</f>
        <v>Samsung</v>
      </c>
      <c r="C89" s="10" t="str">
        <f>IFERROR(LEFT(Raw_Data!B89,FIND("|",Raw_Data!B89)-1),Raw_Data!B89)</f>
        <v>Electronics</v>
      </c>
      <c r="D89" s="11">
        <f>IFERROR(VALUE(SUBSTITUTE(SUBSTITUTE(TRIM(Raw_Data!C89),"₹",""),",","")),"")</f>
        <v>30990</v>
      </c>
      <c r="E89" s="11">
        <f>IFERROR(VALUE(SUBSTITUTE(SUBSTITUTE(TRIM(Raw_Data!D89),"₹",""),",","")),"")</f>
        <v>52900</v>
      </c>
      <c r="F89" s="12">
        <f>IFERROR(VALUE(SUBSTITUTE(Raw_Data!E89,"%",""))/100,"")</f>
        <v>0.41</v>
      </c>
      <c r="G89" s="13">
        <f>IFERROR(VALUE(Raw_Data!F89),"")</f>
        <v>4.3</v>
      </c>
      <c r="H89" s="14">
        <f>IFERROR(VALUE(SUBSTITUTE(Raw_Data!G89,",","")),"")</f>
        <v>7109</v>
      </c>
      <c r="I89" s="11">
        <f t="shared" si="4"/>
        <v>21910</v>
      </c>
      <c r="J89" s="11">
        <f t="shared" si="5"/>
        <v>220307910</v>
      </c>
      <c r="K89" s="1">
        <f t="shared" si="6"/>
        <v>7109.0000088999996</v>
      </c>
      <c r="L89" s="15">
        <f t="shared" si="7"/>
        <v>0.41000889999999995</v>
      </c>
    </row>
    <row r="90" spans="1:12" ht="15" customHeight="1" x14ac:dyDescent="0.25">
      <c r="A90" s="10" t="str">
        <f>Raw_Data!A90</f>
        <v>Lapster 65W compatible for OnePlus Dash Warp Charge Cable , type c to c cable fast charging Data Sync Cable Compatible with One Plus 10R / 9RT/ 9 pro/ 9R/ 8T/ 9/ Nord &amp; for All Type C Devices – Red, 1 Meter</v>
      </c>
      <c r="B90" s="10" t="str">
        <f>IFERROR(TRIM(LEFT(Raw_Data!A90,FIND(" ",Raw_Data!A90)-1)),Raw_Data!A90)</f>
        <v>Lapster</v>
      </c>
      <c r="C90" s="10" t="str">
        <f>IFERROR(LEFT(Raw_Data!B90,FIND("|",Raw_Data!B90)-1),Raw_Data!B90)</f>
        <v>Computers&amp;Accessories</v>
      </c>
      <c r="D90" s="11">
        <f>IFERROR(VALUE(SUBSTITUTE(SUBSTITUTE(TRIM(Raw_Data!C90),"₹",""),",","")),"")</f>
        <v>199</v>
      </c>
      <c r="E90" s="11">
        <f>IFERROR(VALUE(SUBSTITUTE(SUBSTITUTE(TRIM(Raw_Data!D90),"₹",""),",","")),"")</f>
        <v>999</v>
      </c>
      <c r="F90" s="12">
        <f>IFERROR(VALUE(SUBSTITUTE(Raw_Data!E90,"%",""))/100,"")</f>
        <v>0.8</v>
      </c>
      <c r="G90" s="13">
        <f>IFERROR(VALUE(Raw_Data!F90),"")</f>
        <v>4.5</v>
      </c>
      <c r="H90" s="14">
        <f>IFERROR(VALUE(SUBSTITUTE(Raw_Data!G90,",","")),"")</f>
        <v>127</v>
      </c>
      <c r="I90" s="11">
        <f t="shared" si="4"/>
        <v>800</v>
      </c>
      <c r="J90" s="11">
        <f t="shared" si="5"/>
        <v>25273</v>
      </c>
      <c r="K90" s="1">
        <f t="shared" si="6"/>
        <v>127.00000900000001</v>
      </c>
      <c r="L90" s="15">
        <f t="shared" si="7"/>
        <v>0.80000900000000008</v>
      </c>
    </row>
    <row r="91" spans="1:12" ht="15" customHeight="1" x14ac:dyDescent="0.25">
      <c r="A91" s="10" t="str">
        <f>Raw_Data!A91</f>
        <v>Wayona Nylon Braided (2 Pack) Lightning Fast Usb Data Cable Fast Charger Cord For Iphone, Ipad Tablet (3 Ft Pack Of 2, Grey)</v>
      </c>
      <c r="B91" s="10" t="str">
        <f>IFERROR(TRIM(LEFT(Raw_Data!A91,FIND(" ",Raw_Data!A91)-1)),Raw_Data!A91)</f>
        <v>Wayona</v>
      </c>
      <c r="C91" s="10" t="str">
        <f>IFERROR(LEFT(Raw_Data!B91,FIND("|",Raw_Data!B91)-1),Raw_Data!B91)</f>
        <v>Computers&amp;Accessories</v>
      </c>
      <c r="D91" s="11">
        <f>IFERROR(VALUE(SUBSTITUTE(SUBSTITUTE(TRIM(Raw_Data!C91),"₹",""),",","")),"")</f>
        <v>649</v>
      </c>
      <c r="E91" s="11">
        <f>IFERROR(VALUE(SUBSTITUTE(SUBSTITUTE(TRIM(Raw_Data!D91),"₹",""),",","")),"")</f>
        <v>1999</v>
      </c>
      <c r="F91" s="12">
        <f>IFERROR(VALUE(SUBSTITUTE(Raw_Data!E91,"%",""))/100,"")</f>
        <v>0.68</v>
      </c>
      <c r="G91" s="13">
        <f>IFERROR(VALUE(Raw_Data!F91),"")</f>
        <v>4.2</v>
      </c>
      <c r="H91" s="14">
        <f>IFERROR(VALUE(SUBSTITUTE(Raw_Data!G91,",","")),"")</f>
        <v>24269</v>
      </c>
      <c r="I91" s="11">
        <f t="shared" si="4"/>
        <v>1350</v>
      </c>
      <c r="J91" s="11">
        <f t="shared" si="5"/>
        <v>15750581</v>
      </c>
      <c r="K91" s="1">
        <f t="shared" si="6"/>
        <v>24269.0000091</v>
      </c>
      <c r="L91" s="15">
        <f t="shared" si="7"/>
        <v>0.68000910000000003</v>
      </c>
    </row>
    <row r="92" spans="1:12" ht="15" customHeight="1" x14ac:dyDescent="0.25">
      <c r="A92" s="10" t="str">
        <f>Raw_Data!A92</f>
        <v>Gizga Essentials USB WiFi Adapter for PC, 150 Mbps Wireless Network Adapter for Desktop - Nano Size WiFi Dongle Compatible with Windows, Mac OS &amp; Linux Kernel | WPA/WPA2 Encryption Standards| Black</v>
      </c>
      <c r="B92" s="10" t="str">
        <f>IFERROR(TRIM(LEFT(Raw_Data!A92,FIND(" ",Raw_Data!A92)-1)),Raw_Data!A92)</f>
        <v>Gizga</v>
      </c>
      <c r="C92" s="10" t="str">
        <f>IFERROR(LEFT(Raw_Data!B92,FIND("|",Raw_Data!B92)-1),Raw_Data!B92)</f>
        <v>Computers&amp;Accessories</v>
      </c>
      <c r="D92" s="11">
        <f>IFERROR(VALUE(SUBSTITUTE(SUBSTITUTE(TRIM(Raw_Data!C92),"₹",""),",","")),"")</f>
        <v>269</v>
      </c>
      <c r="E92" s="11">
        <f>IFERROR(VALUE(SUBSTITUTE(SUBSTITUTE(TRIM(Raw_Data!D92),"₹",""),",","")),"")</f>
        <v>800</v>
      </c>
      <c r="F92" s="12">
        <f>IFERROR(VALUE(SUBSTITUTE(Raw_Data!E92,"%",""))/100,"")</f>
        <v>0.66</v>
      </c>
      <c r="G92" s="13">
        <f>IFERROR(VALUE(Raw_Data!F92),"")</f>
        <v>3.6</v>
      </c>
      <c r="H92" s="14">
        <f>IFERROR(VALUE(SUBSTITUTE(Raw_Data!G92,",","")),"")</f>
        <v>10134</v>
      </c>
      <c r="I92" s="11">
        <f t="shared" si="4"/>
        <v>531</v>
      </c>
      <c r="J92" s="11">
        <f t="shared" si="5"/>
        <v>2726046</v>
      </c>
      <c r="K92" s="1">
        <f t="shared" si="6"/>
        <v>10134.000009199999</v>
      </c>
      <c r="L92" s="15">
        <f t="shared" si="7"/>
        <v>0.66000920000000007</v>
      </c>
    </row>
    <row r="93" spans="1:12" ht="15" customHeight="1" x14ac:dyDescent="0.25">
      <c r="A93" s="10" t="str">
        <f>Raw_Data!A93</f>
        <v>OnePlus 108 cm (43 inches) Y Series Full HD Smart Android LED TV 43 Y1S (Black)</v>
      </c>
      <c r="B93" s="10" t="str">
        <f>IFERROR(TRIM(LEFT(Raw_Data!A93,FIND(" ",Raw_Data!A93)-1)),Raw_Data!A93)</f>
        <v>OnePlus</v>
      </c>
      <c r="C93" s="10" t="str">
        <f>IFERROR(LEFT(Raw_Data!B93,FIND("|",Raw_Data!B93)-1),Raw_Data!B93)</f>
        <v>Electronics</v>
      </c>
      <c r="D93" s="11">
        <f>IFERROR(VALUE(SUBSTITUTE(SUBSTITUTE(TRIM(Raw_Data!C93),"₹",""),",","")),"")</f>
        <v>24999</v>
      </c>
      <c r="E93" s="11">
        <f>IFERROR(VALUE(SUBSTITUTE(SUBSTITUTE(TRIM(Raw_Data!D93),"₹",""),",","")),"")</f>
        <v>31999</v>
      </c>
      <c r="F93" s="12">
        <f>IFERROR(VALUE(SUBSTITUTE(Raw_Data!E93,"%",""))/100,"")</f>
        <v>0.22</v>
      </c>
      <c r="G93" s="13">
        <f>IFERROR(VALUE(Raw_Data!F93),"")</f>
        <v>4.2</v>
      </c>
      <c r="H93" s="14">
        <f>IFERROR(VALUE(SUBSTITUTE(Raw_Data!G93,",","")),"")</f>
        <v>34899</v>
      </c>
      <c r="I93" s="11">
        <f t="shared" si="4"/>
        <v>7000</v>
      </c>
      <c r="J93" s="11">
        <f t="shared" si="5"/>
        <v>872440101</v>
      </c>
      <c r="K93" s="1">
        <f t="shared" si="6"/>
        <v>34899.000009299998</v>
      </c>
      <c r="L93" s="15">
        <f t="shared" si="7"/>
        <v>0.22000929999999999</v>
      </c>
    </row>
    <row r="94" spans="1:12" ht="15" customHeight="1" x14ac:dyDescent="0.25">
      <c r="A94" s="10" t="str">
        <f>Raw_Data!A94</f>
        <v>boAt Deuce USB 300 2 in 1 Type-C &amp; Micro USB Stress Resistant, Sturdy Cable with 3A Fast Charging &amp; 480mbps Data Transmission, 10000+ Bends Lifespan and Extended 1.5m Length(Mercurial Black)</v>
      </c>
      <c r="B94" s="10" t="str">
        <f>IFERROR(TRIM(LEFT(Raw_Data!A94,FIND(" ",Raw_Data!A94)-1)),Raw_Data!A94)</f>
        <v>boAt</v>
      </c>
      <c r="C94" s="10" t="str">
        <f>IFERROR(LEFT(Raw_Data!B94,FIND("|",Raw_Data!B94)-1),Raw_Data!B94)</f>
        <v>Computers&amp;Accessories</v>
      </c>
      <c r="D94" s="11">
        <f>IFERROR(VALUE(SUBSTITUTE(SUBSTITUTE(TRIM(Raw_Data!C94),"₹",""),",","")),"")</f>
        <v>299</v>
      </c>
      <c r="E94" s="11">
        <f>IFERROR(VALUE(SUBSTITUTE(SUBSTITUTE(TRIM(Raw_Data!D94),"₹",""),",","")),"")</f>
        <v>699</v>
      </c>
      <c r="F94" s="12">
        <f>IFERROR(VALUE(SUBSTITUTE(Raw_Data!E94,"%",""))/100,"")</f>
        <v>0.56999999999999995</v>
      </c>
      <c r="G94" s="13">
        <f>IFERROR(VALUE(Raw_Data!F94),"")</f>
        <v>4.2</v>
      </c>
      <c r="H94" s="14">
        <f>IFERROR(VALUE(SUBSTITUTE(Raw_Data!G94,",","")),"")</f>
        <v>94363</v>
      </c>
      <c r="I94" s="11">
        <f t="shared" si="4"/>
        <v>400</v>
      </c>
      <c r="J94" s="11">
        <f t="shared" si="5"/>
        <v>28214537</v>
      </c>
      <c r="K94" s="1">
        <f t="shared" si="6"/>
        <v>94363.000009399999</v>
      </c>
      <c r="L94" s="15">
        <f t="shared" si="7"/>
        <v>0.5700094</v>
      </c>
    </row>
    <row r="95" spans="1:12" ht="15" customHeight="1" x14ac:dyDescent="0.25">
      <c r="A95" s="10" t="str">
        <f>Raw_Data!A95</f>
        <v>Lapster USB 3.0 A to Micro B SuperSpeed for hard disk cable - short cable</v>
      </c>
      <c r="B95" s="10" t="str">
        <f>IFERROR(TRIM(LEFT(Raw_Data!A95,FIND(" ",Raw_Data!A95)-1)),Raw_Data!A95)</f>
        <v>Lapster</v>
      </c>
      <c r="C95" s="10" t="str">
        <f>IFERROR(LEFT(Raw_Data!B95,FIND("|",Raw_Data!B95)-1),Raw_Data!B95)</f>
        <v>Computers&amp;Accessories</v>
      </c>
      <c r="D95" s="11">
        <f>IFERROR(VALUE(SUBSTITUTE(SUBSTITUTE(TRIM(Raw_Data!C95),"₹",""),",","")),"")</f>
        <v>199</v>
      </c>
      <c r="E95" s="11">
        <f>IFERROR(VALUE(SUBSTITUTE(SUBSTITUTE(TRIM(Raw_Data!D95),"₹",""),",","")),"")</f>
        <v>999</v>
      </c>
      <c r="F95" s="12">
        <f>IFERROR(VALUE(SUBSTITUTE(Raw_Data!E95,"%",""))/100,"")</f>
        <v>0.8</v>
      </c>
      <c r="G95" s="13">
        <f>IFERROR(VALUE(Raw_Data!F95),"")</f>
        <v>4.0999999999999996</v>
      </c>
      <c r="H95" s="14">
        <f>IFERROR(VALUE(SUBSTITUTE(Raw_Data!G95,",","")),"")</f>
        <v>425</v>
      </c>
      <c r="I95" s="11">
        <f t="shared" si="4"/>
        <v>800</v>
      </c>
      <c r="J95" s="11">
        <f t="shared" si="5"/>
        <v>84575</v>
      </c>
      <c r="K95" s="1">
        <f t="shared" si="6"/>
        <v>425.00000949999998</v>
      </c>
      <c r="L95" s="15">
        <f t="shared" si="7"/>
        <v>0.80000950000000004</v>
      </c>
    </row>
    <row r="96" spans="1:12" ht="15" customHeight="1" x14ac:dyDescent="0.25">
      <c r="A96" s="10" t="str">
        <f>Raw_Data!A96</f>
        <v>TCL 100 cm (40 inches) Full HD Certified Android R Smart LED TV 40S6505 (Black)</v>
      </c>
      <c r="B96" s="10" t="str">
        <f>IFERROR(TRIM(LEFT(Raw_Data!A96,FIND(" ",Raw_Data!A96)-1)),Raw_Data!A96)</f>
        <v>TCL</v>
      </c>
      <c r="C96" s="10" t="str">
        <f>IFERROR(LEFT(Raw_Data!B96,FIND("|",Raw_Data!B96)-1),Raw_Data!B96)</f>
        <v>Electronics</v>
      </c>
      <c r="D96" s="11">
        <f>IFERROR(VALUE(SUBSTITUTE(SUBSTITUTE(TRIM(Raw_Data!C96),"₹",""),",","")),"")</f>
        <v>18990</v>
      </c>
      <c r="E96" s="11">
        <f>IFERROR(VALUE(SUBSTITUTE(SUBSTITUTE(TRIM(Raw_Data!D96),"₹",""),",","")),"")</f>
        <v>40990</v>
      </c>
      <c r="F96" s="12">
        <f>IFERROR(VALUE(SUBSTITUTE(Raw_Data!E96,"%",""))/100,"")</f>
        <v>0.54</v>
      </c>
      <c r="G96" s="13">
        <f>IFERROR(VALUE(Raw_Data!F96),"")</f>
        <v>4.2</v>
      </c>
      <c r="H96" s="14">
        <f>IFERROR(VALUE(SUBSTITUTE(Raw_Data!G96,",","")),"")</f>
        <v>6659</v>
      </c>
      <c r="I96" s="11">
        <f t="shared" si="4"/>
        <v>22000</v>
      </c>
      <c r="J96" s="11">
        <f t="shared" si="5"/>
        <v>126454410</v>
      </c>
      <c r="K96" s="1">
        <f t="shared" si="6"/>
        <v>6659.0000096000003</v>
      </c>
      <c r="L96" s="15">
        <f t="shared" si="7"/>
        <v>0.54000960000000009</v>
      </c>
    </row>
    <row r="97" spans="1:12" ht="15" customHeight="1" x14ac:dyDescent="0.25">
      <c r="A97" s="10" t="str">
        <f>Raw_Data!A97</f>
        <v>ZEBRONICS ZEB-USB150WF1 WiFi USB Mini Adapter Supports 150 Mbps Wireless Data, Comes with Advanced Security WPA/WPA2 encryption Standards</v>
      </c>
      <c r="B97" s="10" t="str">
        <f>IFERROR(TRIM(LEFT(Raw_Data!A97,FIND(" ",Raw_Data!A97)-1)),Raw_Data!A97)</f>
        <v>ZEBRONICS</v>
      </c>
      <c r="C97" s="10" t="str">
        <f>IFERROR(LEFT(Raw_Data!B97,FIND("|",Raw_Data!B97)-1),Raw_Data!B97)</f>
        <v>Computers&amp;Accessories</v>
      </c>
      <c r="D97" s="11">
        <f>IFERROR(VALUE(SUBSTITUTE(SUBSTITUTE(TRIM(Raw_Data!C97),"₹",""),",","")),"")</f>
        <v>290</v>
      </c>
      <c r="E97" s="11">
        <f>IFERROR(VALUE(SUBSTITUTE(SUBSTITUTE(TRIM(Raw_Data!D97),"₹",""),",","")),"")</f>
        <v>349</v>
      </c>
      <c r="F97" s="12">
        <f>IFERROR(VALUE(SUBSTITUTE(Raw_Data!E97,"%",""))/100,"")</f>
        <v>0.17</v>
      </c>
      <c r="G97" s="13">
        <f>IFERROR(VALUE(Raw_Data!F97),"")</f>
        <v>3.7</v>
      </c>
      <c r="H97" s="14">
        <f>IFERROR(VALUE(SUBSTITUTE(Raw_Data!G97,",","")),"")</f>
        <v>1977</v>
      </c>
      <c r="I97" s="11">
        <f t="shared" si="4"/>
        <v>59</v>
      </c>
      <c r="J97" s="11">
        <f t="shared" si="5"/>
        <v>573330</v>
      </c>
      <c r="K97" s="1">
        <f t="shared" si="6"/>
        <v>1977.0000097</v>
      </c>
      <c r="L97" s="15">
        <f t="shared" si="7"/>
        <v>0.17000970000000001</v>
      </c>
    </row>
    <row r="98" spans="1:12" ht="15" customHeight="1" x14ac:dyDescent="0.25">
      <c r="A98" s="10" t="str">
        <f>Raw_Data!A98</f>
        <v>LOHAYA Remote Compatible for Mi Smart LED TV 4A Remote Control (32"/43") [ Compatible for Mi Tv Remote Control ] [ Compatible for Mi Smart LED Tv Remote Control ]</v>
      </c>
      <c r="B98" s="10" t="str">
        <f>IFERROR(TRIM(LEFT(Raw_Data!A98,FIND(" ",Raw_Data!A98)-1)),Raw_Data!A98)</f>
        <v>LOHAYA</v>
      </c>
      <c r="C98" s="10" t="str">
        <f>IFERROR(LEFT(Raw_Data!B98,FIND("|",Raw_Data!B98)-1),Raw_Data!B98)</f>
        <v>Electronics</v>
      </c>
      <c r="D98" s="11">
        <f>IFERROR(VALUE(SUBSTITUTE(SUBSTITUTE(TRIM(Raw_Data!C98),"₹",""),",","")),"")</f>
        <v>249</v>
      </c>
      <c r="E98" s="11">
        <f>IFERROR(VALUE(SUBSTITUTE(SUBSTITUTE(TRIM(Raw_Data!D98),"₹",""),",","")),"")</f>
        <v>799</v>
      </c>
      <c r="F98" s="12">
        <f>IFERROR(VALUE(SUBSTITUTE(Raw_Data!E98,"%",""))/100,"")</f>
        <v>0.69</v>
      </c>
      <c r="G98" s="13">
        <f>IFERROR(VALUE(Raw_Data!F98),"")</f>
        <v>3.8</v>
      </c>
      <c r="H98" s="14">
        <f>IFERROR(VALUE(SUBSTITUTE(Raw_Data!G98,",","")),"")</f>
        <v>1079</v>
      </c>
      <c r="I98" s="11">
        <f t="shared" si="4"/>
        <v>550</v>
      </c>
      <c r="J98" s="11">
        <f t="shared" si="5"/>
        <v>268671</v>
      </c>
      <c r="K98" s="1">
        <f t="shared" si="6"/>
        <v>1079.0000098</v>
      </c>
      <c r="L98" s="15">
        <f t="shared" si="7"/>
        <v>0.6900097999999999</v>
      </c>
    </row>
    <row r="99" spans="1:12" ht="15" customHeight="1" x14ac:dyDescent="0.25">
      <c r="A99" s="10" t="str">
        <f>Raw_Data!A99</f>
        <v>Gilary Multi Charging Cable, 3 in 1 Nylon Braided Fast Charging Cable for iPhone Micro USB Type C Mobile Phone | Colour May Vary |</v>
      </c>
      <c r="B99" s="10" t="str">
        <f>IFERROR(TRIM(LEFT(Raw_Data!A99,FIND(" ",Raw_Data!A99)-1)),Raw_Data!A99)</f>
        <v>Gilary</v>
      </c>
      <c r="C99" s="10" t="str">
        <f>IFERROR(LEFT(Raw_Data!B99,FIND("|",Raw_Data!B99)-1),Raw_Data!B99)</f>
        <v>Computers&amp;Accessories</v>
      </c>
      <c r="D99" s="11">
        <f>IFERROR(VALUE(SUBSTITUTE(SUBSTITUTE(TRIM(Raw_Data!C99),"₹",""),",","")),"")</f>
        <v>345</v>
      </c>
      <c r="E99" s="11">
        <f>IFERROR(VALUE(SUBSTITUTE(SUBSTITUTE(TRIM(Raw_Data!D99),"₹",""),",","")),"")</f>
        <v>999</v>
      </c>
      <c r="F99" s="12">
        <f>IFERROR(VALUE(SUBSTITUTE(Raw_Data!E99,"%",""))/100,"")</f>
        <v>0.65</v>
      </c>
      <c r="G99" s="13">
        <f>IFERROR(VALUE(Raw_Data!F99),"")</f>
        <v>3.7</v>
      </c>
      <c r="H99" s="14">
        <f>IFERROR(VALUE(SUBSTITUTE(Raw_Data!G99,",","")),"")</f>
        <v>1097</v>
      </c>
      <c r="I99" s="11">
        <f t="shared" si="4"/>
        <v>654</v>
      </c>
      <c r="J99" s="11">
        <f t="shared" si="5"/>
        <v>378465</v>
      </c>
      <c r="K99" s="1">
        <f t="shared" si="6"/>
        <v>1097.0000098999999</v>
      </c>
      <c r="L99" s="15">
        <f t="shared" si="7"/>
        <v>0.65000990000000003</v>
      </c>
    </row>
    <row r="100" spans="1:12" ht="15" customHeight="1" x14ac:dyDescent="0.25">
      <c r="A100" s="10" t="str">
        <f>Raw_Data!A100</f>
        <v>TP-Link UE300 USB 3.0 to RJ45 Gigabit Ethernet Network Adapter - Plug and Play</v>
      </c>
      <c r="B100" s="10" t="str">
        <f>IFERROR(TRIM(LEFT(Raw_Data!A100,FIND(" ",Raw_Data!A100)-1)),Raw_Data!A100)</f>
        <v>TP-Link</v>
      </c>
      <c r="C100" s="10" t="str">
        <f>IFERROR(LEFT(Raw_Data!B100,FIND("|",Raw_Data!B100)-1),Raw_Data!B100)</f>
        <v>Computers&amp;Accessories</v>
      </c>
      <c r="D100" s="11">
        <f>IFERROR(VALUE(SUBSTITUTE(SUBSTITUTE(TRIM(Raw_Data!C100),"₹",""),",","")),"")</f>
        <v>1099</v>
      </c>
      <c r="E100" s="11">
        <f>IFERROR(VALUE(SUBSTITUTE(SUBSTITUTE(TRIM(Raw_Data!D100),"₹",""),",","")),"")</f>
        <v>1899</v>
      </c>
      <c r="F100" s="12">
        <f>IFERROR(VALUE(SUBSTITUTE(Raw_Data!E100,"%",""))/100,"")</f>
        <v>0.42</v>
      </c>
      <c r="G100" s="13">
        <f>IFERROR(VALUE(Raw_Data!F100),"")</f>
        <v>4.5</v>
      </c>
      <c r="H100" s="14">
        <f>IFERROR(VALUE(SUBSTITUTE(Raw_Data!G100,",","")),"")</f>
        <v>22420</v>
      </c>
      <c r="I100" s="11">
        <f t="shared" si="4"/>
        <v>800</v>
      </c>
      <c r="J100" s="11">
        <f t="shared" si="5"/>
        <v>24639580</v>
      </c>
      <c r="K100" s="1">
        <f t="shared" si="6"/>
        <v>22420.00001</v>
      </c>
      <c r="L100" s="15">
        <f t="shared" si="7"/>
        <v>0.42000999999999999</v>
      </c>
    </row>
    <row r="101" spans="1:12" ht="15" customHeight="1" x14ac:dyDescent="0.25">
      <c r="A101" s="10" t="str">
        <f>Raw_Data!A101</f>
        <v>Wayona Type C to Lightning MFI Certified 20W Fast charging Nylon Braided USB C Cable for iPhone 14, 14 Pro, 14 Pro Max, 14 Plus, 13, 13 Pro, 13 Pro Max, 13 Mini, 12, 12 Pro, 11, 11 Pro Max iPhone 12 Mini, X, 8 (2M, Grey)</v>
      </c>
      <c r="B101" s="10" t="str">
        <f>IFERROR(TRIM(LEFT(Raw_Data!A101,FIND(" ",Raw_Data!A101)-1)),Raw_Data!A101)</f>
        <v>Wayona</v>
      </c>
      <c r="C101" s="10" t="str">
        <f>IFERROR(LEFT(Raw_Data!B101,FIND("|",Raw_Data!B101)-1),Raw_Data!B101)</f>
        <v>Computers&amp;Accessories</v>
      </c>
      <c r="D101" s="11">
        <f>IFERROR(VALUE(SUBSTITUTE(SUBSTITUTE(TRIM(Raw_Data!C101),"₹",""),",","")),"")</f>
        <v>719</v>
      </c>
      <c r="E101" s="11">
        <f>IFERROR(VALUE(SUBSTITUTE(SUBSTITUTE(TRIM(Raw_Data!D101),"₹",""),",","")),"")</f>
        <v>1499</v>
      </c>
      <c r="F101" s="12">
        <f>IFERROR(VALUE(SUBSTITUTE(Raw_Data!E101,"%",""))/100,"")</f>
        <v>0.52</v>
      </c>
      <c r="G101" s="13">
        <f>IFERROR(VALUE(Raw_Data!F101),"")</f>
        <v>4.0999999999999996</v>
      </c>
      <c r="H101" s="14">
        <f>IFERROR(VALUE(SUBSTITUTE(Raw_Data!G101,",","")),"")</f>
        <v>1045</v>
      </c>
      <c r="I101" s="11">
        <f t="shared" si="4"/>
        <v>780</v>
      </c>
      <c r="J101" s="11">
        <f t="shared" si="5"/>
        <v>751355</v>
      </c>
      <c r="K101" s="1">
        <f t="shared" si="6"/>
        <v>1045.0000101000001</v>
      </c>
      <c r="L101" s="15">
        <f t="shared" si="7"/>
        <v>0.52001010000000003</v>
      </c>
    </row>
    <row r="102" spans="1:12" ht="15" customHeight="1" x14ac:dyDescent="0.25">
      <c r="A102" s="10" t="str">
        <f>Raw_Data!A102</f>
        <v>Dealfreez Case Compatible with Fire TV Stick 3rd Gen 2021 Full Wrap Silicone Remote Cover Anti-Lost with Loop (D-Black)</v>
      </c>
      <c r="B102" s="10" t="str">
        <f>IFERROR(TRIM(LEFT(Raw_Data!A102,FIND(" ",Raw_Data!A102)-1)),Raw_Data!A102)</f>
        <v>Dealfreez</v>
      </c>
      <c r="C102" s="10" t="str">
        <f>IFERROR(LEFT(Raw_Data!B102,FIND("|",Raw_Data!B102)-1),Raw_Data!B102)</f>
        <v>Electronics</v>
      </c>
      <c r="D102" s="11">
        <f>IFERROR(VALUE(SUBSTITUTE(SUBSTITUTE(TRIM(Raw_Data!C102),"₹",""),",","")),"")</f>
        <v>349</v>
      </c>
      <c r="E102" s="11">
        <f>IFERROR(VALUE(SUBSTITUTE(SUBSTITUTE(TRIM(Raw_Data!D102),"₹",""),",","")),"")</f>
        <v>1499</v>
      </c>
      <c r="F102" s="12">
        <f>IFERROR(VALUE(SUBSTITUTE(Raw_Data!E102,"%",""))/100,"")</f>
        <v>0.77</v>
      </c>
      <c r="G102" s="13">
        <f>IFERROR(VALUE(Raw_Data!F102),"")</f>
        <v>4.3</v>
      </c>
      <c r="H102" s="14">
        <f>IFERROR(VALUE(SUBSTITUTE(Raw_Data!G102,",","")),"")</f>
        <v>4145</v>
      </c>
      <c r="I102" s="11">
        <f t="shared" si="4"/>
        <v>1150</v>
      </c>
      <c r="J102" s="11">
        <f t="shared" si="5"/>
        <v>1446605</v>
      </c>
      <c r="K102" s="1">
        <f t="shared" si="6"/>
        <v>4145.0000102000004</v>
      </c>
      <c r="L102" s="15">
        <f t="shared" si="7"/>
        <v>0.77001019999999998</v>
      </c>
    </row>
    <row r="103" spans="1:12" ht="15" customHeight="1" x14ac:dyDescent="0.25">
      <c r="A103" s="10" t="str">
        <f>Raw_Data!A103</f>
        <v>Amazon Basics New Release Nylon USB-A to Lightning Cable Cord, Fast Charging MFi Certified Charger for Apple iPhone, iPad (3-Ft, Rose Gold)</v>
      </c>
      <c r="B103" s="10" t="str">
        <f>IFERROR(TRIM(LEFT(Raw_Data!A103,FIND(" ",Raw_Data!A103)-1)),Raw_Data!A103)</f>
        <v>Amazon</v>
      </c>
      <c r="C103" s="10" t="str">
        <f>IFERROR(LEFT(Raw_Data!B103,FIND("|",Raw_Data!B103)-1),Raw_Data!B103)</f>
        <v>Computers&amp;Accessories</v>
      </c>
      <c r="D103" s="11">
        <f>IFERROR(VALUE(SUBSTITUTE(SUBSTITUTE(TRIM(Raw_Data!C103),"₹",""),",","")),"")</f>
        <v>849</v>
      </c>
      <c r="E103" s="11">
        <f>IFERROR(VALUE(SUBSTITUTE(SUBSTITUTE(TRIM(Raw_Data!D103),"₹",""),",","")),"")</f>
        <v>1809</v>
      </c>
      <c r="F103" s="12">
        <f>IFERROR(VALUE(SUBSTITUTE(Raw_Data!E103,"%",""))/100,"")</f>
        <v>0.53</v>
      </c>
      <c r="G103" s="13">
        <f>IFERROR(VALUE(Raw_Data!F103),"")</f>
        <v>4.3</v>
      </c>
      <c r="H103" s="14">
        <f>IFERROR(VALUE(SUBSTITUTE(Raw_Data!G103,",","")),"")</f>
        <v>6547</v>
      </c>
      <c r="I103" s="11">
        <f t="shared" si="4"/>
        <v>960</v>
      </c>
      <c r="J103" s="11">
        <f t="shared" si="5"/>
        <v>5558403</v>
      </c>
      <c r="K103" s="1">
        <f t="shared" si="6"/>
        <v>6547.0000103000002</v>
      </c>
      <c r="L103" s="15">
        <f t="shared" si="7"/>
        <v>0.53001030000000005</v>
      </c>
    </row>
    <row r="104" spans="1:12" ht="15" customHeight="1" x14ac:dyDescent="0.25">
      <c r="A104" s="10" t="str">
        <f>Raw_Data!A104</f>
        <v>Isoelite Remote Compatible for Samsung LED/LCD Remote Control Works with All Samsung LED/LCD TV Model No :- BN59-607A (Please Match The Image with Your Old Remote)</v>
      </c>
      <c r="B104" s="10" t="str">
        <f>IFERROR(TRIM(LEFT(Raw_Data!A104,FIND(" ",Raw_Data!A104)-1)),Raw_Data!A104)</f>
        <v>Isoelite</v>
      </c>
      <c r="C104" s="10" t="str">
        <f>IFERROR(LEFT(Raw_Data!B104,FIND("|",Raw_Data!B104)-1),Raw_Data!B104)</f>
        <v>Electronics</v>
      </c>
      <c r="D104" s="11">
        <f>IFERROR(VALUE(SUBSTITUTE(SUBSTITUTE(TRIM(Raw_Data!C104),"₹",""),",","")),"")</f>
        <v>299</v>
      </c>
      <c r="E104" s="11">
        <f>IFERROR(VALUE(SUBSTITUTE(SUBSTITUTE(TRIM(Raw_Data!D104),"₹",""),",","")),"")</f>
        <v>899</v>
      </c>
      <c r="F104" s="12">
        <f>IFERROR(VALUE(SUBSTITUTE(Raw_Data!E104,"%",""))/100,"")</f>
        <v>0.67</v>
      </c>
      <c r="G104" s="13">
        <f>IFERROR(VALUE(Raw_Data!F104),"")</f>
        <v>4</v>
      </c>
      <c r="H104" s="14">
        <f>IFERROR(VALUE(SUBSTITUTE(Raw_Data!G104,",","")),"")</f>
        <v>1588</v>
      </c>
      <c r="I104" s="11">
        <f t="shared" si="4"/>
        <v>600</v>
      </c>
      <c r="J104" s="11">
        <f t="shared" si="5"/>
        <v>474812</v>
      </c>
      <c r="K104" s="1">
        <f t="shared" si="6"/>
        <v>1588.0000104000001</v>
      </c>
      <c r="L104" s="15">
        <f t="shared" si="7"/>
        <v>0.67001040000000001</v>
      </c>
    </row>
    <row r="105" spans="1:12" ht="15" customHeight="1" x14ac:dyDescent="0.25">
      <c r="A105" s="10" t="str">
        <f>Raw_Data!A105</f>
        <v>MI 100 cm (40 inches) 5A Series Full HD Smart Android LED TV with 24W Dolby Audio &amp; Metal Bezel-Less Frame (Black) (2022 Model)</v>
      </c>
      <c r="B105" s="10" t="str">
        <f>IFERROR(TRIM(LEFT(Raw_Data!A105,FIND(" ",Raw_Data!A105)-1)),Raw_Data!A105)</f>
        <v>MI</v>
      </c>
      <c r="C105" s="10" t="str">
        <f>IFERROR(LEFT(Raw_Data!B105,FIND("|",Raw_Data!B105)-1),Raw_Data!B105)</f>
        <v>Electronics</v>
      </c>
      <c r="D105" s="11">
        <f>IFERROR(VALUE(SUBSTITUTE(SUBSTITUTE(TRIM(Raw_Data!C105),"₹",""),",","")),"")</f>
        <v>21999</v>
      </c>
      <c r="E105" s="11">
        <f>IFERROR(VALUE(SUBSTITUTE(SUBSTITUTE(TRIM(Raw_Data!D105),"₹",""),",","")),"")</f>
        <v>29999</v>
      </c>
      <c r="F105" s="12">
        <f>IFERROR(VALUE(SUBSTITUTE(Raw_Data!E105,"%",""))/100,"")</f>
        <v>0.27</v>
      </c>
      <c r="G105" s="13">
        <f>IFERROR(VALUE(Raw_Data!F105),"")</f>
        <v>4.2</v>
      </c>
      <c r="H105" s="14">
        <f>IFERROR(VALUE(SUBSTITUTE(Raw_Data!G105,",","")),"")</f>
        <v>32840</v>
      </c>
      <c r="I105" s="11">
        <f t="shared" si="4"/>
        <v>8000</v>
      </c>
      <c r="J105" s="11">
        <f t="shared" si="5"/>
        <v>722447160</v>
      </c>
      <c r="K105" s="1">
        <f t="shared" si="6"/>
        <v>32840.0000105</v>
      </c>
      <c r="L105" s="15">
        <f t="shared" si="7"/>
        <v>0.27001050000000004</v>
      </c>
    </row>
    <row r="106" spans="1:12" ht="15" customHeight="1" x14ac:dyDescent="0.25">
      <c r="A106" s="10" t="str">
        <f>Raw_Data!A106</f>
        <v>Wayona Nylon Braided USB Data Sync and Fast Charging 3A Short Power Bank Cable For iPhones, iPad Air, iPad mini, iPod Nano and iPod Touch (Grey)</v>
      </c>
      <c r="B106" s="10" t="str">
        <f>IFERROR(TRIM(LEFT(Raw_Data!A106,FIND(" ",Raw_Data!A106)-1)),Raw_Data!A106)</f>
        <v>Wayona</v>
      </c>
      <c r="C106" s="10" t="str">
        <f>IFERROR(LEFT(Raw_Data!B106,FIND("|",Raw_Data!B106)-1),Raw_Data!B106)</f>
        <v>Computers&amp;Accessories</v>
      </c>
      <c r="D106" s="11">
        <f>IFERROR(VALUE(SUBSTITUTE(SUBSTITUTE(TRIM(Raw_Data!C106),"₹",""),",","")),"")</f>
        <v>349</v>
      </c>
      <c r="E106" s="11">
        <f>IFERROR(VALUE(SUBSTITUTE(SUBSTITUTE(TRIM(Raw_Data!D106),"₹",""),",","")),"")</f>
        <v>999</v>
      </c>
      <c r="F106" s="12">
        <f>IFERROR(VALUE(SUBSTITUTE(Raw_Data!E106,"%",""))/100,"")</f>
        <v>0.65</v>
      </c>
      <c r="G106" s="13">
        <f>IFERROR(VALUE(Raw_Data!F106),"")</f>
        <v>4.2</v>
      </c>
      <c r="H106" s="14">
        <f>IFERROR(VALUE(SUBSTITUTE(Raw_Data!G106,",","")),"")</f>
        <v>13120</v>
      </c>
      <c r="I106" s="11">
        <f t="shared" si="4"/>
        <v>650</v>
      </c>
      <c r="J106" s="11">
        <f t="shared" si="5"/>
        <v>4578880</v>
      </c>
      <c r="K106" s="1">
        <f t="shared" si="6"/>
        <v>13120.000010600001</v>
      </c>
      <c r="L106" s="15">
        <f t="shared" si="7"/>
        <v>0.65001059999999999</v>
      </c>
    </row>
    <row r="107" spans="1:12" ht="15" customHeight="1" x14ac:dyDescent="0.25">
      <c r="A107" s="10" t="str">
        <f>Raw_Data!A107</f>
        <v>Wayona Type C To Type C Long Fast Charging Cable Type C Charger Cord Compatible With Samsung S22 S20 S20 Fe 2022 S22 Ultra S21 Ultra A70 A51 A53 A33 A73 M51 M31 M33 M53 (Grey, 2M, 65W, 6Ft)</v>
      </c>
      <c r="B107" s="10" t="str">
        <f>IFERROR(TRIM(LEFT(Raw_Data!A107,FIND(" ",Raw_Data!A107)-1)),Raw_Data!A107)</f>
        <v>Wayona</v>
      </c>
      <c r="C107" s="10" t="str">
        <f>IFERROR(LEFT(Raw_Data!B107,FIND("|",Raw_Data!B107)-1),Raw_Data!B107)</f>
        <v>Computers&amp;Accessories</v>
      </c>
      <c r="D107" s="11">
        <f>IFERROR(VALUE(SUBSTITUTE(SUBSTITUTE(TRIM(Raw_Data!C107),"₹",""),",","")),"")</f>
        <v>399</v>
      </c>
      <c r="E107" s="11">
        <f>IFERROR(VALUE(SUBSTITUTE(SUBSTITUTE(TRIM(Raw_Data!D107),"₹",""),",","")),"")</f>
        <v>999</v>
      </c>
      <c r="F107" s="12">
        <f>IFERROR(VALUE(SUBSTITUTE(Raw_Data!E107,"%",""))/100,"")</f>
        <v>0.6</v>
      </c>
      <c r="G107" s="13">
        <f>IFERROR(VALUE(Raw_Data!F107),"")</f>
        <v>4.3</v>
      </c>
      <c r="H107" s="14">
        <f>IFERROR(VALUE(SUBSTITUTE(Raw_Data!G107,",","")),"")</f>
        <v>2806</v>
      </c>
      <c r="I107" s="11">
        <f t="shared" si="4"/>
        <v>600</v>
      </c>
      <c r="J107" s="11">
        <f t="shared" si="5"/>
        <v>1119594</v>
      </c>
      <c r="K107" s="1">
        <f t="shared" si="6"/>
        <v>2806.0000107000001</v>
      </c>
      <c r="L107" s="15">
        <f t="shared" si="7"/>
        <v>0.60001070000000001</v>
      </c>
    </row>
    <row r="108" spans="1:12" ht="15" customHeight="1" x14ac:dyDescent="0.25">
      <c r="A108" s="10" t="str">
        <f>Raw_Data!A108</f>
        <v>Wayona Nylon Braided 2M / 6Ft Fast Charge Usb To Lightning Data Sync And Charging Cable For Iphone, Ipad Tablet (6 Ft Pack Of 1, Grey)</v>
      </c>
      <c r="B108" s="10" t="str">
        <f>IFERROR(TRIM(LEFT(Raw_Data!A108,FIND(" ",Raw_Data!A108)-1)),Raw_Data!A108)</f>
        <v>Wayona</v>
      </c>
      <c r="C108" s="10" t="str">
        <f>IFERROR(LEFT(Raw_Data!B108,FIND("|",Raw_Data!B108)-1),Raw_Data!B108)</f>
        <v>Computers&amp;Accessories</v>
      </c>
      <c r="D108" s="11">
        <f>IFERROR(VALUE(SUBSTITUTE(SUBSTITUTE(TRIM(Raw_Data!C108),"₹",""),",","")),"")</f>
        <v>449</v>
      </c>
      <c r="E108" s="11">
        <f>IFERROR(VALUE(SUBSTITUTE(SUBSTITUTE(TRIM(Raw_Data!D108),"₹",""),",","")),"")</f>
        <v>1299</v>
      </c>
      <c r="F108" s="12">
        <f>IFERROR(VALUE(SUBSTITUTE(Raw_Data!E108,"%",""))/100,"")</f>
        <v>0.65</v>
      </c>
      <c r="G108" s="13">
        <f>IFERROR(VALUE(Raw_Data!F108),"")</f>
        <v>4.2</v>
      </c>
      <c r="H108" s="14">
        <f>IFERROR(VALUE(SUBSTITUTE(Raw_Data!G108,",","")),"")</f>
        <v>24269</v>
      </c>
      <c r="I108" s="11">
        <f t="shared" si="4"/>
        <v>850</v>
      </c>
      <c r="J108" s="11">
        <f t="shared" si="5"/>
        <v>10896781</v>
      </c>
      <c r="K108" s="1">
        <f t="shared" si="6"/>
        <v>24269.000010799999</v>
      </c>
      <c r="L108" s="15">
        <f t="shared" si="7"/>
        <v>0.6500108</v>
      </c>
    </row>
    <row r="109" spans="1:12" ht="15" customHeight="1" x14ac:dyDescent="0.25">
      <c r="A109" s="10" t="str">
        <f>Raw_Data!A109</f>
        <v>CROSSVOLT Compatible Dash/Warp Data Sync Fast Charging Cable Supported for All C Type Devices (Cable)</v>
      </c>
      <c r="B109" s="10" t="str">
        <f>IFERROR(TRIM(LEFT(Raw_Data!A109,FIND(" ",Raw_Data!A109)-1)),Raw_Data!A109)</f>
        <v>CROSSVOLT</v>
      </c>
      <c r="C109" s="10" t="str">
        <f>IFERROR(LEFT(Raw_Data!B109,FIND("|",Raw_Data!B109)-1),Raw_Data!B109)</f>
        <v>Computers&amp;Accessories</v>
      </c>
      <c r="D109" s="11">
        <f>IFERROR(VALUE(SUBSTITUTE(SUBSTITUTE(TRIM(Raw_Data!C109),"₹",""),",","")),"")</f>
        <v>299</v>
      </c>
      <c r="E109" s="11">
        <f>IFERROR(VALUE(SUBSTITUTE(SUBSTITUTE(TRIM(Raw_Data!D109),"₹",""),",","")),"")</f>
        <v>999</v>
      </c>
      <c r="F109" s="12">
        <f>IFERROR(VALUE(SUBSTITUTE(Raw_Data!E109,"%",""))/100,"")</f>
        <v>0.7</v>
      </c>
      <c r="G109" s="13">
        <f>IFERROR(VALUE(Raw_Data!F109),"")</f>
        <v>4.3</v>
      </c>
      <c r="H109" s="14">
        <f>IFERROR(VALUE(SUBSTITUTE(Raw_Data!G109,",","")),"")</f>
        <v>766</v>
      </c>
      <c r="I109" s="11">
        <f t="shared" si="4"/>
        <v>700</v>
      </c>
      <c r="J109" s="11">
        <f t="shared" si="5"/>
        <v>229034</v>
      </c>
      <c r="K109" s="1">
        <f t="shared" si="6"/>
        <v>766.00001090000001</v>
      </c>
      <c r="L109" s="15">
        <f t="shared" si="7"/>
        <v>0.70001089999999999</v>
      </c>
    </row>
    <row r="110" spans="1:12" ht="15" customHeight="1" x14ac:dyDescent="0.25">
      <c r="A110" s="10" t="str">
        <f>Raw_Data!A110</f>
        <v>VU 139 cm (55 inches) The GloLED Series 4K Smart LED Google TV 55GloLED (Grey)</v>
      </c>
      <c r="B110" s="10" t="str">
        <f>IFERROR(TRIM(LEFT(Raw_Data!A110,FIND(" ",Raw_Data!A110)-1)),Raw_Data!A110)</f>
        <v>VU</v>
      </c>
      <c r="C110" s="10" t="str">
        <f>IFERROR(LEFT(Raw_Data!B110,FIND("|",Raw_Data!B110)-1),Raw_Data!B110)</f>
        <v>Electronics</v>
      </c>
      <c r="D110" s="11">
        <f>IFERROR(VALUE(SUBSTITUTE(SUBSTITUTE(TRIM(Raw_Data!C110),"₹",""),",","")),"")</f>
        <v>37999</v>
      </c>
      <c r="E110" s="11">
        <f>IFERROR(VALUE(SUBSTITUTE(SUBSTITUTE(TRIM(Raw_Data!D110),"₹",""),",","")),"")</f>
        <v>65000</v>
      </c>
      <c r="F110" s="12">
        <f>IFERROR(VALUE(SUBSTITUTE(Raw_Data!E110,"%",""))/100,"")</f>
        <v>0.42</v>
      </c>
      <c r="G110" s="13">
        <f>IFERROR(VALUE(Raw_Data!F110),"")</f>
        <v>4.3</v>
      </c>
      <c r="H110" s="14">
        <f>IFERROR(VALUE(SUBSTITUTE(Raw_Data!G110,",","")),"")</f>
        <v>3587</v>
      </c>
      <c r="I110" s="11">
        <f t="shared" si="4"/>
        <v>27001</v>
      </c>
      <c r="J110" s="11">
        <f t="shared" si="5"/>
        <v>136302413</v>
      </c>
      <c r="K110" s="1">
        <f t="shared" si="6"/>
        <v>3587.0000110000001</v>
      </c>
      <c r="L110" s="15">
        <f t="shared" si="7"/>
        <v>0.42001099999999997</v>
      </c>
    </row>
    <row r="111" spans="1:12" ht="15" customHeight="1" x14ac:dyDescent="0.25">
      <c r="A111" s="10" t="str">
        <f>Raw_Data!A111</f>
        <v>PTron Solero T241 2.4A Type-C Data &amp; Charging USB Cable, Made in India, 480Mbps Data Sync, Durable 1-Meter Long USB Cable for Type-C USB Devices for Charging Adapter (Black)</v>
      </c>
      <c r="B111" s="10" t="str">
        <f>IFERROR(TRIM(LEFT(Raw_Data!A111,FIND(" ",Raw_Data!A111)-1)),Raw_Data!A111)</f>
        <v>PTron</v>
      </c>
      <c r="C111" s="10" t="str">
        <f>IFERROR(LEFT(Raw_Data!B111,FIND("|",Raw_Data!B111)-1),Raw_Data!B111)</f>
        <v>Computers&amp;Accessories</v>
      </c>
      <c r="D111" s="11">
        <f>IFERROR(VALUE(SUBSTITUTE(SUBSTITUTE(TRIM(Raw_Data!C111),"₹",""),",","")),"")</f>
        <v>99</v>
      </c>
      <c r="E111" s="11">
        <f>IFERROR(VALUE(SUBSTITUTE(SUBSTITUTE(TRIM(Raw_Data!D111),"₹",""),",","")),"")</f>
        <v>800</v>
      </c>
      <c r="F111" s="12">
        <f>IFERROR(VALUE(SUBSTITUTE(Raw_Data!E111,"%",""))/100,"")</f>
        <v>0.88</v>
      </c>
      <c r="G111" s="13">
        <f>IFERROR(VALUE(Raw_Data!F111),"")</f>
        <v>3.9</v>
      </c>
      <c r="H111" s="14">
        <f>IFERROR(VALUE(SUBSTITUTE(Raw_Data!G111,",","")),"")</f>
        <v>24871</v>
      </c>
      <c r="I111" s="11">
        <f t="shared" si="4"/>
        <v>701</v>
      </c>
      <c r="J111" s="11">
        <f t="shared" si="5"/>
        <v>2462229</v>
      </c>
      <c r="K111" s="1">
        <f t="shared" si="6"/>
        <v>24871.000011100001</v>
      </c>
      <c r="L111" s="15">
        <f t="shared" si="7"/>
        <v>0.88001110000000005</v>
      </c>
    </row>
    <row r="112" spans="1:12" ht="15" customHeight="1" x14ac:dyDescent="0.25">
      <c r="A112" s="10" t="str">
        <f>Raw_Data!A112</f>
        <v>Croma 80 cm (32 Inches) HD Ready LED TV (CREL7369, Black) (2021 Model)</v>
      </c>
      <c r="B112" s="10" t="str">
        <f>IFERROR(TRIM(LEFT(Raw_Data!A112,FIND(" ",Raw_Data!A112)-1)),Raw_Data!A112)</f>
        <v>Croma</v>
      </c>
      <c r="C112" s="10" t="str">
        <f>IFERROR(LEFT(Raw_Data!B112,FIND("|",Raw_Data!B112)-1),Raw_Data!B112)</f>
        <v>Electronics</v>
      </c>
      <c r="D112" s="11">
        <f>IFERROR(VALUE(SUBSTITUTE(SUBSTITUTE(TRIM(Raw_Data!C112),"₹",""),",","")),"")</f>
        <v>7390</v>
      </c>
      <c r="E112" s="11">
        <f>IFERROR(VALUE(SUBSTITUTE(SUBSTITUTE(TRIM(Raw_Data!D112),"₹",""),",","")),"")</f>
        <v>20000</v>
      </c>
      <c r="F112" s="12">
        <f>IFERROR(VALUE(SUBSTITUTE(Raw_Data!E112,"%",""))/100,"")</f>
        <v>0.63</v>
      </c>
      <c r="G112" s="13">
        <f>IFERROR(VALUE(Raw_Data!F112),"")</f>
        <v>4.0999999999999996</v>
      </c>
      <c r="H112" s="14">
        <f>IFERROR(VALUE(SUBSTITUTE(Raw_Data!G112,",","")),"")</f>
        <v>2581</v>
      </c>
      <c r="I112" s="11">
        <f t="shared" si="4"/>
        <v>12610</v>
      </c>
      <c r="J112" s="11">
        <f t="shared" si="5"/>
        <v>19073590</v>
      </c>
      <c r="K112" s="1">
        <f t="shared" si="6"/>
        <v>2581.0000111999998</v>
      </c>
      <c r="L112" s="15">
        <f t="shared" si="7"/>
        <v>0.63001119999999999</v>
      </c>
    </row>
    <row r="113" spans="1:12" ht="15" customHeight="1" x14ac:dyDescent="0.25">
      <c r="A113" s="10" t="str">
        <f>Raw_Data!A113</f>
        <v>boAt Laptop, Smartphone Type-c A400 Male Data Cable (Carbon Black)</v>
      </c>
      <c r="B113" s="10" t="str">
        <f>IFERROR(TRIM(LEFT(Raw_Data!A113,FIND(" ",Raw_Data!A113)-1)),Raw_Data!A113)</f>
        <v>boAt</v>
      </c>
      <c r="C113" s="10" t="str">
        <f>IFERROR(LEFT(Raw_Data!B113,FIND("|",Raw_Data!B113)-1),Raw_Data!B113)</f>
        <v>Computers&amp;Accessories</v>
      </c>
      <c r="D113" s="11">
        <f>IFERROR(VALUE(SUBSTITUTE(SUBSTITUTE(TRIM(Raw_Data!C113),"₹",""),",","")),"")</f>
        <v>273.10000000000002</v>
      </c>
      <c r="E113" s="11">
        <f>IFERROR(VALUE(SUBSTITUTE(SUBSTITUTE(TRIM(Raw_Data!D113),"₹",""),",","")),"")</f>
        <v>999</v>
      </c>
      <c r="F113" s="12">
        <f>IFERROR(VALUE(SUBSTITUTE(Raw_Data!E113,"%",""))/100,"")</f>
        <v>0.73</v>
      </c>
      <c r="G113" s="13">
        <f>IFERROR(VALUE(Raw_Data!F113),"")</f>
        <v>4.3</v>
      </c>
      <c r="H113" s="14">
        <f>IFERROR(VALUE(SUBSTITUTE(Raw_Data!G113,",","")),"")</f>
        <v>20850</v>
      </c>
      <c r="I113" s="11">
        <f t="shared" si="4"/>
        <v>725.9</v>
      </c>
      <c r="J113" s="11">
        <f t="shared" si="5"/>
        <v>5694135.0000000009</v>
      </c>
      <c r="K113" s="1">
        <f t="shared" si="6"/>
        <v>20850.000011299999</v>
      </c>
      <c r="L113" s="15">
        <f t="shared" si="7"/>
        <v>0.73001130000000003</v>
      </c>
    </row>
    <row r="114" spans="1:12" ht="15" customHeight="1" x14ac:dyDescent="0.25">
      <c r="A114" s="10" t="str">
        <f>Raw_Data!A114</f>
        <v>LG 80 cm (32 inches) HD Ready Smart LED TV 32LQ576BPSA (Ceramic Black)</v>
      </c>
      <c r="B114" s="10" t="str">
        <f>IFERROR(TRIM(LEFT(Raw_Data!A114,FIND(" ",Raw_Data!A114)-1)),Raw_Data!A114)</f>
        <v>LG</v>
      </c>
      <c r="C114" s="10" t="str">
        <f>IFERROR(LEFT(Raw_Data!B114,FIND("|",Raw_Data!B114)-1),Raw_Data!B114)</f>
        <v>Electronics</v>
      </c>
      <c r="D114" s="11">
        <f>IFERROR(VALUE(SUBSTITUTE(SUBSTITUTE(TRIM(Raw_Data!C114),"₹",""),",","")),"")</f>
        <v>15990</v>
      </c>
      <c r="E114" s="11">
        <f>IFERROR(VALUE(SUBSTITUTE(SUBSTITUTE(TRIM(Raw_Data!D114),"₹",""),",","")),"")</f>
        <v>23990</v>
      </c>
      <c r="F114" s="12">
        <f>IFERROR(VALUE(SUBSTITUTE(Raw_Data!E114,"%",""))/100,"")</f>
        <v>0.33</v>
      </c>
      <c r="G114" s="13">
        <f>IFERROR(VALUE(Raw_Data!F114),"")</f>
        <v>4.3</v>
      </c>
      <c r="H114" s="14">
        <f>IFERROR(VALUE(SUBSTITUTE(Raw_Data!G114,",","")),"")</f>
        <v>1035</v>
      </c>
      <c r="I114" s="11">
        <f t="shared" si="4"/>
        <v>8000</v>
      </c>
      <c r="J114" s="11">
        <f t="shared" si="5"/>
        <v>16549650</v>
      </c>
      <c r="K114" s="1">
        <f t="shared" si="6"/>
        <v>1035.0000113999999</v>
      </c>
      <c r="L114" s="15">
        <f t="shared" si="7"/>
        <v>0.33001140000000001</v>
      </c>
    </row>
    <row r="115" spans="1:12" ht="15" customHeight="1" x14ac:dyDescent="0.25">
      <c r="A115" s="10" t="str">
        <f>Raw_Data!A115</f>
        <v>boAt Type C A750 Stress Resistant, Tangle-free, Sturdy Flat Cable with 6.5A Fast Charging &amp; 480Mbps Data Transmission, 10000+ Bends Lifespan and Extended 1.5m Length(Radiant Red)</v>
      </c>
      <c r="B115" s="10" t="str">
        <f>IFERROR(TRIM(LEFT(Raw_Data!A115,FIND(" ",Raw_Data!A115)-1)),Raw_Data!A115)</f>
        <v>boAt</v>
      </c>
      <c r="C115" s="10" t="str">
        <f>IFERROR(LEFT(Raw_Data!B115,FIND("|",Raw_Data!B115)-1),Raw_Data!B115)</f>
        <v>Computers&amp;Accessories</v>
      </c>
      <c r="D115" s="11">
        <f>IFERROR(VALUE(SUBSTITUTE(SUBSTITUTE(TRIM(Raw_Data!C115),"₹",""),",","")),"")</f>
        <v>399</v>
      </c>
      <c r="E115" s="11">
        <f>IFERROR(VALUE(SUBSTITUTE(SUBSTITUTE(TRIM(Raw_Data!D115),"₹",""),",","")),"")</f>
        <v>999</v>
      </c>
      <c r="F115" s="12">
        <f>IFERROR(VALUE(SUBSTITUTE(Raw_Data!E115,"%",""))/100,"")</f>
        <v>0.6</v>
      </c>
      <c r="G115" s="13">
        <f>IFERROR(VALUE(Raw_Data!F115),"")</f>
        <v>4.0999999999999996</v>
      </c>
      <c r="H115" s="14">
        <f>IFERROR(VALUE(SUBSTITUTE(Raw_Data!G115,",","")),"")</f>
        <v>1780</v>
      </c>
      <c r="I115" s="11">
        <f t="shared" si="4"/>
        <v>600</v>
      </c>
      <c r="J115" s="11">
        <f t="shared" si="5"/>
        <v>710220</v>
      </c>
      <c r="K115" s="1">
        <f t="shared" si="6"/>
        <v>1780.0000115</v>
      </c>
      <c r="L115" s="15">
        <f t="shared" si="7"/>
        <v>0.60001150000000003</v>
      </c>
    </row>
    <row r="116" spans="1:12" ht="15" customHeight="1" x14ac:dyDescent="0.25">
      <c r="A116" s="10" t="str">
        <f>Raw_Data!A116</f>
        <v>Cotbolt Silicone Protective Case Cover for LG an MR21GA Magic Remote Shockproof for LG Smart TV Remote 2021 Protective Skin Waterproof Anti Lost (Black) (Remote Not Included)</v>
      </c>
      <c r="B116" s="10" t="str">
        <f>IFERROR(TRIM(LEFT(Raw_Data!A116,FIND(" ",Raw_Data!A116)-1)),Raw_Data!A116)</f>
        <v>Cotbolt</v>
      </c>
      <c r="C116" s="10" t="str">
        <f>IFERROR(LEFT(Raw_Data!B116,FIND("|",Raw_Data!B116)-1),Raw_Data!B116)</f>
        <v>Electronics</v>
      </c>
      <c r="D116" s="11">
        <f>IFERROR(VALUE(SUBSTITUTE(SUBSTITUTE(TRIM(Raw_Data!C116),"₹",""),",","")),"")</f>
        <v>399</v>
      </c>
      <c r="E116" s="11">
        <f>IFERROR(VALUE(SUBSTITUTE(SUBSTITUTE(TRIM(Raw_Data!D116),"₹",""),",","")),"")</f>
        <v>1999</v>
      </c>
      <c r="F116" s="12">
        <f>IFERROR(VALUE(SUBSTITUTE(Raw_Data!E116,"%",""))/100,"")</f>
        <v>0.8</v>
      </c>
      <c r="G116" s="13">
        <f>IFERROR(VALUE(Raw_Data!F116),"")</f>
        <v>4.5</v>
      </c>
      <c r="H116" s="14">
        <f>IFERROR(VALUE(SUBSTITUTE(Raw_Data!G116,",","")),"")</f>
        <v>505</v>
      </c>
      <c r="I116" s="11">
        <f t="shared" si="4"/>
        <v>1600</v>
      </c>
      <c r="J116" s="11">
        <f t="shared" si="5"/>
        <v>201495</v>
      </c>
      <c r="K116" s="1">
        <f t="shared" si="6"/>
        <v>505.00001159999999</v>
      </c>
      <c r="L116" s="15">
        <f t="shared" si="7"/>
        <v>0.80001160000000004</v>
      </c>
    </row>
    <row r="117" spans="1:12" ht="15" customHeight="1" x14ac:dyDescent="0.25">
      <c r="A117" s="10" t="str">
        <f>Raw_Data!A117</f>
        <v>Portronics Konnect L POR-1403 Fast Charging 3A Type-C Cable 1.2 Meter with Charge &amp; Sync Function for All Type-C Devices (White)</v>
      </c>
      <c r="B117" s="10" t="str">
        <f>IFERROR(TRIM(LEFT(Raw_Data!A117,FIND(" ",Raw_Data!A117)-1)),Raw_Data!A117)</f>
        <v>Portronics</v>
      </c>
      <c r="C117" s="10" t="str">
        <f>IFERROR(LEFT(Raw_Data!B117,FIND("|",Raw_Data!B117)-1),Raw_Data!B117)</f>
        <v>Computers&amp;Accessories</v>
      </c>
      <c r="D117" s="11">
        <f>IFERROR(VALUE(SUBSTITUTE(SUBSTITUTE(TRIM(Raw_Data!C117),"₹",""),",","")),"")</f>
        <v>210</v>
      </c>
      <c r="E117" s="11">
        <f>IFERROR(VALUE(SUBSTITUTE(SUBSTITUTE(TRIM(Raw_Data!D117),"₹",""),",","")),"")</f>
        <v>399</v>
      </c>
      <c r="F117" s="12">
        <f>IFERROR(VALUE(SUBSTITUTE(Raw_Data!E117,"%",""))/100,"")</f>
        <v>0.47</v>
      </c>
      <c r="G117" s="13">
        <f>IFERROR(VALUE(Raw_Data!F117),"")</f>
        <v>4.0999999999999996</v>
      </c>
      <c r="H117" s="14">
        <f>IFERROR(VALUE(SUBSTITUTE(Raw_Data!G117,",","")),"")</f>
        <v>1717</v>
      </c>
      <c r="I117" s="11">
        <f t="shared" si="4"/>
        <v>189</v>
      </c>
      <c r="J117" s="11">
        <f t="shared" si="5"/>
        <v>360570</v>
      </c>
      <c r="K117" s="1">
        <f t="shared" si="6"/>
        <v>1717.0000117</v>
      </c>
      <c r="L117" s="15">
        <f t="shared" si="7"/>
        <v>0.47001169999999998</v>
      </c>
    </row>
    <row r="118" spans="1:12" ht="15" customHeight="1" x14ac:dyDescent="0.25">
      <c r="A118" s="10" t="str">
        <f>Raw_Data!A118</f>
        <v>Electvision Remote Control Compatible with Amazon Fire tv Stick (Pairing Manual Will be Back Side Remote Control)(P)</v>
      </c>
      <c r="B118" s="10" t="str">
        <f>IFERROR(TRIM(LEFT(Raw_Data!A118,FIND(" ",Raw_Data!A118)-1)),Raw_Data!A118)</f>
        <v>Electvision</v>
      </c>
      <c r="C118" s="10" t="str">
        <f>IFERROR(LEFT(Raw_Data!B118,FIND("|",Raw_Data!B118)-1),Raw_Data!B118)</f>
        <v>Electronics</v>
      </c>
      <c r="D118" s="11">
        <f>IFERROR(VALUE(SUBSTITUTE(SUBSTITUTE(TRIM(Raw_Data!C118),"₹",""),",","")),"")</f>
        <v>1299</v>
      </c>
      <c r="E118" s="11">
        <f>IFERROR(VALUE(SUBSTITUTE(SUBSTITUTE(TRIM(Raw_Data!D118),"₹",""),",","")),"")</f>
        <v>1999</v>
      </c>
      <c r="F118" s="12">
        <f>IFERROR(VALUE(SUBSTITUTE(Raw_Data!E118,"%",""))/100,"")</f>
        <v>0.35</v>
      </c>
      <c r="G118" s="13">
        <f>IFERROR(VALUE(Raw_Data!F118),"")</f>
        <v>3.6</v>
      </c>
      <c r="H118" s="14">
        <f>IFERROR(VALUE(SUBSTITUTE(Raw_Data!G118,",","")),"")</f>
        <v>590</v>
      </c>
      <c r="I118" s="11">
        <f t="shared" si="4"/>
        <v>700</v>
      </c>
      <c r="J118" s="11">
        <f t="shared" si="5"/>
        <v>766410</v>
      </c>
      <c r="K118" s="1">
        <f t="shared" si="6"/>
        <v>590.00001180000004</v>
      </c>
      <c r="L118" s="15">
        <f t="shared" si="7"/>
        <v>0.35001179999999998</v>
      </c>
    </row>
    <row r="119" spans="1:12" ht="15" customHeight="1" x14ac:dyDescent="0.25">
      <c r="A119" s="10" t="str">
        <f>Raw_Data!A119</f>
        <v>King Shine Multi Retractable 3.0A Fast Charger Cord, Multiple Charging Cable 4Ft/1.2m 3-in-1 USB Charge Cord Compatible with Phone/Type C/Micro USB for All Android and iOS Smartphones (Random Colour)</v>
      </c>
      <c r="B119" s="10" t="str">
        <f>IFERROR(TRIM(LEFT(Raw_Data!A119,FIND(" ",Raw_Data!A119)-1)),Raw_Data!A119)</f>
        <v>King</v>
      </c>
      <c r="C119" s="10" t="str">
        <f>IFERROR(LEFT(Raw_Data!B119,FIND("|",Raw_Data!B119)-1),Raw_Data!B119)</f>
        <v>Computers&amp;Accessories</v>
      </c>
      <c r="D119" s="11">
        <f>IFERROR(VALUE(SUBSTITUTE(SUBSTITUTE(TRIM(Raw_Data!C119),"₹",""),",","")),"")</f>
        <v>347</v>
      </c>
      <c r="E119" s="11">
        <f>IFERROR(VALUE(SUBSTITUTE(SUBSTITUTE(TRIM(Raw_Data!D119),"₹",""),",","")),"")</f>
        <v>999</v>
      </c>
      <c r="F119" s="12">
        <f>IFERROR(VALUE(SUBSTITUTE(Raw_Data!E119,"%",""))/100,"")</f>
        <v>0.65</v>
      </c>
      <c r="G119" s="13">
        <f>IFERROR(VALUE(Raw_Data!F119),"")</f>
        <v>3.5</v>
      </c>
      <c r="H119" s="14">
        <f>IFERROR(VALUE(SUBSTITUTE(Raw_Data!G119,",","")),"")</f>
        <v>1121</v>
      </c>
      <c r="I119" s="11">
        <f t="shared" si="4"/>
        <v>652</v>
      </c>
      <c r="J119" s="11">
        <f t="shared" si="5"/>
        <v>388987</v>
      </c>
      <c r="K119" s="1">
        <f t="shared" si="6"/>
        <v>1121.0000118999999</v>
      </c>
      <c r="L119" s="15">
        <f t="shared" si="7"/>
        <v>0.65001189999999998</v>
      </c>
    </row>
    <row r="120" spans="1:12" ht="15" customHeight="1" x14ac:dyDescent="0.25">
      <c r="A120" s="10" t="str">
        <f>Raw_Data!A120</f>
        <v>Lapster 5 pin mini usb cable, usb b cable,camera cable usb2.0 for External HDDS/Card Readers/Camera etc.</v>
      </c>
      <c r="B120" s="10" t="str">
        <f>IFERROR(TRIM(LEFT(Raw_Data!A120,FIND(" ",Raw_Data!A120)-1)),Raw_Data!A120)</f>
        <v>Lapster</v>
      </c>
      <c r="C120" s="10" t="str">
        <f>IFERROR(LEFT(Raw_Data!B120,FIND("|",Raw_Data!B120)-1),Raw_Data!B120)</f>
        <v>Computers&amp;Accessories</v>
      </c>
      <c r="D120" s="11">
        <f>IFERROR(VALUE(SUBSTITUTE(SUBSTITUTE(TRIM(Raw_Data!C120),"₹",""),",","")),"")</f>
        <v>149</v>
      </c>
      <c r="E120" s="11">
        <f>IFERROR(VALUE(SUBSTITUTE(SUBSTITUTE(TRIM(Raw_Data!D120),"₹",""),",","")),"")</f>
        <v>999</v>
      </c>
      <c r="F120" s="12">
        <f>IFERROR(VALUE(SUBSTITUTE(Raw_Data!E120,"%",""))/100,"")</f>
        <v>0.85</v>
      </c>
      <c r="G120" s="13">
        <f>IFERROR(VALUE(Raw_Data!F120),"")</f>
        <v>4</v>
      </c>
      <c r="H120" s="14">
        <f>IFERROR(VALUE(SUBSTITUTE(Raw_Data!G120,",","")),"")</f>
        <v>1313</v>
      </c>
      <c r="I120" s="11">
        <f t="shared" si="4"/>
        <v>850</v>
      </c>
      <c r="J120" s="11">
        <f t="shared" si="5"/>
        <v>195637</v>
      </c>
      <c r="K120" s="1">
        <f t="shared" si="6"/>
        <v>1313.000012</v>
      </c>
      <c r="L120" s="15">
        <f t="shared" si="7"/>
        <v>0.85001199999999999</v>
      </c>
    </row>
    <row r="121" spans="1:12" ht="15" customHeight="1" x14ac:dyDescent="0.25">
      <c r="A121" s="10" t="str">
        <f>Raw_Data!A121</f>
        <v>Portronics Konnect Spydr 31 3-in-1 Multi Functional Cable with 3.0A Output, Tangle Resistant, 1.2M Length, Nylon Braided(Zebra)</v>
      </c>
      <c r="B121" s="10" t="str">
        <f>IFERROR(TRIM(LEFT(Raw_Data!A121,FIND(" ",Raw_Data!A121)-1)),Raw_Data!A121)</f>
        <v>Portronics</v>
      </c>
      <c r="C121" s="10" t="str">
        <f>IFERROR(LEFT(Raw_Data!B121,FIND("|",Raw_Data!B121)-1),Raw_Data!B121)</f>
        <v>Computers&amp;Accessories</v>
      </c>
      <c r="D121" s="11">
        <f>IFERROR(VALUE(SUBSTITUTE(SUBSTITUTE(TRIM(Raw_Data!C121),"₹",""),",","")),"")</f>
        <v>228</v>
      </c>
      <c r="E121" s="11">
        <f>IFERROR(VALUE(SUBSTITUTE(SUBSTITUTE(TRIM(Raw_Data!D121),"₹",""),",","")),"")</f>
        <v>899</v>
      </c>
      <c r="F121" s="12">
        <f>IFERROR(VALUE(SUBSTITUTE(Raw_Data!E121,"%",""))/100,"")</f>
        <v>0.75</v>
      </c>
      <c r="G121" s="13">
        <f>IFERROR(VALUE(Raw_Data!F121),"")</f>
        <v>3.8</v>
      </c>
      <c r="H121" s="14">
        <f>IFERROR(VALUE(SUBSTITUTE(Raw_Data!G121,",","")),"")</f>
        <v>132</v>
      </c>
      <c r="I121" s="11">
        <f t="shared" si="4"/>
        <v>671</v>
      </c>
      <c r="J121" s="11">
        <f t="shared" si="5"/>
        <v>30096</v>
      </c>
      <c r="K121" s="1">
        <f t="shared" si="6"/>
        <v>132.00001209999999</v>
      </c>
      <c r="L121" s="15">
        <f t="shared" si="7"/>
        <v>0.75001209999999996</v>
      </c>
    </row>
    <row r="122" spans="1:12" ht="15" customHeight="1" x14ac:dyDescent="0.25">
      <c r="A122" s="10" t="str">
        <f>Raw_Data!A122</f>
        <v>Belkin Apple Certified Lightning To Type C Cable, Tough Unbreakable Braided Fast Charging For Iphone, Ipad, Air Pods, 3.3 Feet (1 Meters)    White</v>
      </c>
      <c r="B122" s="10" t="str">
        <f>IFERROR(TRIM(LEFT(Raw_Data!A122,FIND(" ",Raw_Data!A122)-1)),Raw_Data!A122)</f>
        <v>Belkin</v>
      </c>
      <c r="C122" s="10" t="str">
        <f>IFERROR(LEFT(Raw_Data!B122,FIND("|",Raw_Data!B122)-1),Raw_Data!B122)</f>
        <v>Computers&amp;Accessories</v>
      </c>
      <c r="D122" s="11">
        <f>IFERROR(VALUE(SUBSTITUTE(SUBSTITUTE(TRIM(Raw_Data!C122),"₹",""),",","")),"")</f>
        <v>1599</v>
      </c>
      <c r="E122" s="11">
        <f>IFERROR(VALUE(SUBSTITUTE(SUBSTITUTE(TRIM(Raw_Data!D122),"₹",""),",","")),"")</f>
        <v>1999</v>
      </c>
      <c r="F122" s="12">
        <f>IFERROR(VALUE(SUBSTITUTE(Raw_Data!E122,"%",""))/100,"")</f>
        <v>0.2</v>
      </c>
      <c r="G122" s="13">
        <f>IFERROR(VALUE(Raw_Data!F122),"")</f>
        <v>4.4000000000000004</v>
      </c>
      <c r="H122" s="14">
        <f>IFERROR(VALUE(SUBSTITUTE(Raw_Data!G122,",","")),"")</f>
        <v>1951</v>
      </c>
      <c r="I122" s="11">
        <f t="shared" si="4"/>
        <v>400</v>
      </c>
      <c r="J122" s="11">
        <f t="shared" si="5"/>
        <v>3119649</v>
      </c>
      <c r="K122" s="1">
        <f t="shared" si="6"/>
        <v>1951.0000121999999</v>
      </c>
      <c r="L122" s="15">
        <f t="shared" si="7"/>
        <v>0.2000122</v>
      </c>
    </row>
    <row r="123" spans="1:12" ht="15" customHeight="1" x14ac:dyDescent="0.25">
      <c r="A123" s="10" t="str">
        <f>Raw_Data!A123</f>
        <v>Remote Control Compatible for Amazon Fire Tv Stick Remote Control [ 3rd Gen ](Not Compatible for Fire TV Edition Smart TV) from basesailor</v>
      </c>
      <c r="B123" s="10" t="str">
        <f>IFERROR(TRIM(LEFT(Raw_Data!A123,FIND(" ",Raw_Data!A123)-1)),Raw_Data!A123)</f>
        <v>Remote</v>
      </c>
      <c r="C123" s="10" t="str">
        <f>IFERROR(LEFT(Raw_Data!B123,FIND("|",Raw_Data!B123)-1),Raw_Data!B123)</f>
        <v>Electronics</v>
      </c>
      <c r="D123" s="11">
        <f>IFERROR(VALUE(SUBSTITUTE(SUBSTITUTE(TRIM(Raw_Data!C123),"₹",""),",","")),"")</f>
        <v>1499</v>
      </c>
      <c r="E123" s="11">
        <f>IFERROR(VALUE(SUBSTITUTE(SUBSTITUTE(TRIM(Raw_Data!D123),"₹",""),",","")),"")</f>
        <v>3999</v>
      </c>
      <c r="F123" s="12">
        <f>IFERROR(VALUE(SUBSTITUTE(Raw_Data!E123,"%",""))/100,"")</f>
        <v>0.63</v>
      </c>
      <c r="G123" s="13">
        <f>IFERROR(VALUE(Raw_Data!F123),"")</f>
        <v>3.7</v>
      </c>
      <c r="H123" s="14">
        <f>IFERROR(VALUE(SUBSTITUTE(Raw_Data!G123,",","")),"")</f>
        <v>37</v>
      </c>
      <c r="I123" s="11">
        <f t="shared" si="4"/>
        <v>2500</v>
      </c>
      <c r="J123" s="11">
        <f t="shared" si="5"/>
        <v>55463</v>
      </c>
      <c r="K123" s="1">
        <f t="shared" si="6"/>
        <v>37.000012300000002</v>
      </c>
      <c r="L123" s="15">
        <f t="shared" si="7"/>
        <v>0.63001229999999997</v>
      </c>
    </row>
    <row r="124" spans="1:12" ht="15" customHeight="1" x14ac:dyDescent="0.25">
      <c r="A124" s="10" t="str">
        <f>Raw_Data!A124</f>
        <v>VW 80 cm (32 inches) Playwall Frameless Series HD Ready Android Smart LED TV VW3251 (Black)</v>
      </c>
      <c r="B124" s="10" t="str">
        <f>IFERROR(TRIM(LEFT(Raw_Data!A124,FIND(" ",Raw_Data!A124)-1)),Raw_Data!A124)</f>
        <v>VW</v>
      </c>
      <c r="C124" s="10" t="str">
        <f>IFERROR(LEFT(Raw_Data!B124,FIND("|",Raw_Data!B124)-1),Raw_Data!B124)</f>
        <v>Electronics</v>
      </c>
      <c r="D124" s="11">
        <f>IFERROR(VALUE(SUBSTITUTE(SUBSTITUTE(TRIM(Raw_Data!C124),"₹",""),",","")),"")</f>
        <v>8499</v>
      </c>
      <c r="E124" s="11">
        <f>IFERROR(VALUE(SUBSTITUTE(SUBSTITUTE(TRIM(Raw_Data!D124),"₹",""),",","")),"")</f>
        <v>15999</v>
      </c>
      <c r="F124" s="12">
        <f>IFERROR(VALUE(SUBSTITUTE(Raw_Data!E124,"%",""))/100,"")</f>
        <v>0.47</v>
      </c>
      <c r="G124" s="13">
        <f>IFERROR(VALUE(Raw_Data!F124),"")</f>
        <v>4.3</v>
      </c>
      <c r="H124" s="14">
        <f>IFERROR(VALUE(SUBSTITUTE(Raw_Data!G124,",","")),"")</f>
        <v>592</v>
      </c>
      <c r="I124" s="11">
        <f t="shared" si="4"/>
        <v>7500</v>
      </c>
      <c r="J124" s="11">
        <f t="shared" si="5"/>
        <v>5031408</v>
      </c>
      <c r="K124" s="1">
        <f t="shared" si="6"/>
        <v>592.00001239999995</v>
      </c>
      <c r="L124" s="15">
        <f t="shared" si="7"/>
        <v>0.4700124</v>
      </c>
    </row>
    <row r="125" spans="1:12" ht="15" customHeight="1" x14ac:dyDescent="0.25">
      <c r="A125" s="10" t="str">
        <f>Raw_Data!A125</f>
        <v>Hisense 108 cm (43 inches) 4K Ultra HD Smart Certified Android LED TV 43A6GE (Black)</v>
      </c>
      <c r="B125" s="10" t="str">
        <f>IFERROR(TRIM(LEFT(Raw_Data!A125,FIND(" ",Raw_Data!A125)-1)),Raw_Data!A125)</f>
        <v>Hisense</v>
      </c>
      <c r="C125" s="10" t="str">
        <f>IFERROR(LEFT(Raw_Data!B125,FIND("|",Raw_Data!B125)-1),Raw_Data!B125)</f>
        <v>Electronics</v>
      </c>
      <c r="D125" s="11">
        <f>IFERROR(VALUE(SUBSTITUTE(SUBSTITUTE(TRIM(Raw_Data!C125),"₹",""),",","")),"")</f>
        <v>20990</v>
      </c>
      <c r="E125" s="11">
        <f>IFERROR(VALUE(SUBSTITUTE(SUBSTITUTE(TRIM(Raw_Data!D125),"₹",""),",","")),"")</f>
        <v>44990</v>
      </c>
      <c r="F125" s="12">
        <f>IFERROR(VALUE(SUBSTITUTE(Raw_Data!E125,"%",""))/100,"")</f>
        <v>0.53</v>
      </c>
      <c r="G125" s="13">
        <f>IFERROR(VALUE(Raw_Data!F125),"")</f>
        <v>4.0999999999999996</v>
      </c>
      <c r="H125" s="14">
        <f>IFERROR(VALUE(SUBSTITUTE(Raw_Data!G125,",","")),"")</f>
        <v>1259</v>
      </c>
      <c r="I125" s="11">
        <f t="shared" si="4"/>
        <v>24000</v>
      </c>
      <c r="J125" s="11">
        <f t="shared" si="5"/>
        <v>26426410</v>
      </c>
      <c r="K125" s="1">
        <f t="shared" si="6"/>
        <v>1259.0000124999999</v>
      </c>
      <c r="L125" s="15">
        <f t="shared" si="7"/>
        <v>0.5300125</v>
      </c>
    </row>
    <row r="126" spans="1:12" ht="15" customHeight="1" x14ac:dyDescent="0.25">
      <c r="A126" s="10" t="str">
        <f>Raw_Data!A126</f>
        <v>Redmi 126 cm (50 inches) 4K Ultra HD Android Smart LED TV X50 | L50M6-RA (Black)</v>
      </c>
      <c r="B126" s="10" t="str">
        <f>IFERROR(TRIM(LEFT(Raw_Data!A126,FIND(" ",Raw_Data!A126)-1)),Raw_Data!A126)</f>
        <v>Redmi</v>
      </c>
      <c r="C126" s="10" t="str">
        <f>IFERROR(LEFT(Raw_Data!B126,FIND("|",Raw_Data!B126)-1),Raw_Data!B126)</f>
        <v>Electronics</v>
      </c>
      <c r="D126" s="11">
        <f>IFERROR(VALUE(SUBSTITUTE(SUBSTITUTE(TRIM(Raw_Data!C126),"₹",""),",","")),"")</f>
        <v>32999</v>
      </c>
      <c r="E126" s="11">
        <f>IFERROR(VALUE(SUBSTITUTE(SUBSTITUTE(TRIM(Raw_Data!D126),"₹",""),",","")),"")</f>
        <v>44999</v>
      </c>
      <c r="F126" s="12">
        <f>IFERROR(VALUE(SUBSTITUTE(Raw_Data!E126,"%",""))/100,"")</f>
        <v>0.27</v>
      </c>
      <c r="G126" s="13">
        <f>IFERROR(VALUE(Raw_Data!F126),"")</f>
        <v>4.2</v>
      </c>
      <c r="H126" s="14">
        <f>IFERROR(VALUE(SUBSTITUTE(Raw_Data!G126,",","")),"")</f>
        <v>45238</v>
      </c>
      <c r="I126" s="11">
        <f t="shared" si="4"/>
        <v>12000</v>
      </c>
      <c r="J126" s="11">
        <f t="shared" si="5"/>
        <v>1492808762</v>
      </c>
      <c r="K126" s="1">
        <f t="shared" si="6"/>
        <v>45238.000012600001</v>
      </c>
      <c r="L126" s="15">
        <f t="shared" si="7"/>
        <v>0.27001259999999999</v>
      </c>
    </row>
    <row r="127" spans="1:12" ht="15" customHeight="1" x14ac:dyDescent="0.25">
      <c r="A127" s="10" t="str">
        <f>Raw_Data!A127</f>
        <v>AmazonBasics 6-Feet DisplayPort (not USB port) to HDMI Cable Black</v>
      </c>
      <c r="B127" s="10" t="str">
        <f>IFERROR(TRIM(LEFT(Raw_Data!A127,FIND(" ",Raw_Data!A127)-1)),Raw_Data!A127)</f>
        <v>AmazonBasics</v>
      </c>
      <c r="C127" s="10" t="str">
        <f>IFERROR(LEFT(Raw_Data!B127,FIND("|",Raw_Data!B127)-1),Raw_Data!B127)</f>
        <v>Electronics</v>
      </c>
      <c r="D127" s="11">
        <f>IFERROR(VALUE(SUBSTITUTE(SUBSTITUTE(TRIM(Raw_Data!C127),"₹",""),",","")),"")</f>
        <v>799</v>
      </c>
      <c r="E127" s="11">
        <f>IFERROR(VALUE(SUBSTITUTE(SUBSTITUTE(TRIM(Raw_Data!D127),"₹",""),",","")),"")</f>
        <v>1700</v>
      </c>
      <c r="F127" s="12">
        <f>IFERROR(VALUE(SUBSTITUTE(Raw_Data!E127,"%",""))/100,"")</f>
        <v>0.53</v>
      </c>
      <c r="G127" s="13">
        <f>IFERROR(VALUE(Raw_Data!F127),"")</f>
        <v>4.0999999999999996</v>
      </c>
      <c r="H127" s="14">
        <f>IFERROR(VALUE(SUBSTITUTE(Raw_Data!G127,",","")),"")</f>
        <v>28638</v>
      </c>
      <c r="I127" s="11">
        <f t="shared" si="4"/>
        <v>901</v>
      </c>
      <c r="J127" s="11">
        <f t="shared" si="5"/>
        <v>22881762</v>
      </c>
      <c r="K127" s="1">
        <f t="shared" si="6"/>
        <v>28638.000012699998</v>
      </c>
      <c r="L127" s="15">
        <f t="shared" si="7"/>
        <v>0.5300127</v>
      </c>
    </row>
    <row r="128" spans="1:12" ht="15" customHeight="1" x14ac:dyDescent="0.25">
      <c r="A128" s="10" t="str">
        <f>Raw_Data!A128</f>
        <v>AmazonBasics 3 Feet High Speed HDMI Male to Female 2.0 Extension Cable</v>
      </c>
      <c r="B128" s="10" t="str">
        <f>IFERROR(TRIM(LEFT(Raw_Data!A128,FIND(" ",Raw_Data!A128)-1)),Raw_Data!A128)</f>
        <v>AmazonBasics</v>
      </c>
      <c r="C128" s="10" t="str">
        <f>IFERROR(LEFT(Raw_Data!B128,FIND("|",Raw_Data!B128)-1),Raw_Data!B128)</f>
        <v>Electronics</v>
      </c>
      <c r="D128" s="11">
        <f>IFERROR(VALUE(SUBSTITUTE(SUBSTITUTE(TRIM(Raw_Data!C128),"₹",""),",","")),"")</f>
        <v>229</v>
      </c>
      <c r="E128" s="11">
        <f>IFERROR(VALUE(SUBSTITUTE(SUBSTITUTE(TRIM(Raw_Data!D128),"₹",""),",","")),"")</f>
        <v>595</v>
      </c>
      <c r="F128" s="12">
        <f>IFERROR(VALUE(SUBSTITUTE(Raw_Data!E128,"%",""))/100,"")</f>
        <v>0.62</v>
      </c>
      <c r="G128" s="13">
        <f>IFERROR(VALUE(Raw_Data!F128),"")</f>
        <v>4.3</v>
      </c>
      <c r="H128" s="14">
        <f>IFERROR(VALUE(SUBSTITUTE(Raw_Data!G128,",","")),"")</f>
        <v>12835</v>
      </c>
      <c r="I128" s="11">
        <f t="shared" si="4"/>
        <v>366</v>
      </c>
      <c r="J128" s="11">
        <f t="shared" si="5"/>
        <v>2939215</v>
      </c>
      <c r="K128" s="1">
        <f t="shared" si="6"/>
        <v>12835.000012799999</v>
      </c>
      <c r="L128" s="15">
        <f t="shared" si="7"/>
        <v>0.62001280000000003</v>
      </c>
    </row>
    <row r="129" spans="1:12" ht="15" customHeight="1" x14ac:dyDescent="0.25">
      <c r="A129" s="10" t="str">
        <f>Raw_Data!A129</f>
        <v>iFFALCON 80 cm (32 inches) HD Ready Smart LED TV 32F53 (Black)</v>
      </c>
      <c r="B129" s="10" t="str">
        <f>IFERROR(TRIM(LEFT(Raw_Data!A129,FIND(" ",Raw_Data!A129)-1)),Raw_Data!A129)</f>
        <v>iFFALCON</v>
      </c>
      <c r="C129" s="10" t="str">
        <f>IFERROR(LEFT(Raw_Data!B129,FIND("|",Raw_Data!B129)-1),Raw_Data!B129)</f>
        <v>Electronics</v>
      </c>
      <c r="D129" s="11">
        <f>IFERROR(VALUE(SUBSTITUTE(SUBSTITUTE(TRIM(Raw_Data!C129),"₹",""),",","")),"")</f>
        <v>9999</v>
      </c>
      <c r="E129" s="11">
        <f>IFERROR(VALUE(SUBSTITUTE(SUBSTITUTE(TRIM(Raw_Data!D129),"₹",""),",","")),"")</f>
        <v>27990</v>
      </c>
      <c r="F129" s="12">
        <f>IFERROR(VALUE(SUBSTITUTE(Raw_Data!E129,"%",""))/100,"")</f>
        <v>0.64</v>
      </c>
      <c r="G129" s="13">
        <f>IFERROR(VALUE(Raw_Data!F129),"")</f>
        <v>4.2</v>
      </c>
      <c r="H129" s="14">
        <f>IFERROR(VALUE(SUBSTITUTE(Raw_Data!G129,",","")),"")</f>
        <v>1269</v>
      </c>
      <c r="I129" s="11">
        <f t="shared" si="4"/>
        <v>17991</v>
      </c>
      <c r="J129" s="11">
        <f t="shared" si="5"/>
        <v>12688731</v>
      </c>
      <c r="K129" s="1">
        <f t="shared" si="6"/>
        <v>1269.0000129</v>
      </c>
      <c r="L129" s="15">
        <f t="shared" si="7"/>
        <v>0.6400129</v>
      </c>
    </row>
    <row r="130" spans="1:12" ht="15" customHeight="1" x14ac:dyDescent="0.25">
      <c r="A130" s="10" t="str">
        <f>Raw_Data!A130</f>
        <v>7SEVEN® Compatible Lg Smart Tv Remote Suitable for Any LG LED OLED LCD UHD Plasma Android Television and AKB75095303 replacement of Original Lg Tv Remote Control</v>
      </c>
      <c r="B130" s="10" t="str">
        <f>IFERROR(TRIM(LEFT(Raw_Data!A130,FIND(" ",Raw_Data!A130)-1)),Raw_Data!A130)</f>
        <v>7SEVEN®</v>
      </c>
      <c r="C130" s="10" t="str">
        <f>IFERROR(LEFT(Raw_Data!B130,FIND("|",Raw_Data!B130)-1),Raw_Data!B130)</f>
        <v>Electronics</v>
      </c>
      <c r="D130" s="11">
        <f>IFERROR(VALUE(SUBSTITUTE(SUBSTITUTE(TRIM(Raw_Data!C130),"₹",""),",","")),"")</f>
        <v>349</v>
      </c>
      <c r="E130" s="11">
        <f>IFERROR(VALUE(SUBSTITUTE(SUBSTITUTE(TRIM(Raw_Data!D130),"₹",""),",","")),"")</f>
        <v>599</v>
      </c>
      <c r="F130" s="12">
        <f>IFERROR(VALUE(SUBSTITUTE(Raw_Data!E130,"%",""))/100,"")</f>
        <v>0.42</v>
      </c>
      <c r="G130" s="13">
        <f>IFERROR(VALUE(Raw_Data!F130),"")</f>
        <v>4.2</v>
      </c>
      <c r="H130" s="14">
        <f>IFERROR(VALUE(SUBSTITUTE(Raw_Data!G130,",","")),"")</f>
        <v>284</v>
      </c>
      <c r="I130" s="11">
        <f t="shared" ref="I130:I193" si="8">IFERROR(E130-D130,"")</f>
        <v>250</v>
      </c>
      <c r="J130" s="11">
        <f t="shared" ref="J130:J193" si="9">IFERROR(D130*H130,"")</f>
        <v>99116</v>
      </c>
      <c r="K130" s="1">
        <f t="shared" ref="K130:K193" si="10">IF(ISNUMBER(H130),H130+ROW()/10000000,"")</f>
        <v>284.00001300000002</v>
      </c>
      <c r="L130" s="15">
        <f t="shared" ref="L130:L193" si="11">IF(ISNUMBER(F130),F130+ROW()/10000000,"")</f>
        <v>0.42001299999999997</v>
      </c>
    </row>
    <row r="131" spans="1:12" ht="15" customHeight="1" x14ac:dyDescent="0.25">
      <c r="A131" s="10" t="str">
        <f>Raw_Data!A131</f>
        <v>AmazonBasics 3.5mm to 2-Male RCA Adapter Cable For Tablet, Smartphone (Black, 15 feet)</v>
      </c>
      <c r="B131" s="10" t="str">
        <f>IFERROR(TRIM(LEFT(Raw_Data!A131,FIND(" ",Raw_Data!A131)-1)),Raw_Data!A131)</f>
        <v>AmazonBasics</v>
      </c>
      <c r="C131" s="10" t="str">
        <f>IFERROR(LEFT(Raw_Data!B131,FIND("|",Raw_Data!B131)-1),Raw_Data!B131)</f>
        <v>Electronics</v>
      </c>
      <c r="D131" s="11">
        <f>IFERROR(VALUE(SUBSTITUTE(SUBSTITUTE(TRIM(Raw_Data!C131),"₹",""),",","")),"")</f>
        <v>489</v>
      </c>
      <c r="E131" s="11">
        <f>IFERROR(VALUE(SUBSTITUTE(SUBSTITUTE(TRIM(Raw_Data!D131),"₹",""),",","")),"")</f>
        <v>1200</v>
      </c>
      <c r="F131" s="12">
        <f>IFERROR(VALUE(SUBSTITUTE(Raw_Data!E131,"%",""))/100,"")</f>
        <v>0.59</v>
      </c>
      <c r="G131" s="13">
        <f>IFERROR(VALUE(Raw_Data!F131),"")</f>
        <v>4.4000000000000004</v>
      </c>
      <c r="H131" s="14">
        <f>IFERROR(VALUE(SUBSTITUTE(Raw_Data!G131,",","")),"")</f>
        <v>69538</v>
      </c>
      <c r="I131" s="11">
        <f t="shared" si="8"/>
        <v>711</v>
      </c>
      <c r="J131" s="11">
        <f t="shared" si="9"/>
        <v>34004082</v>
      </c>
      <c r="K131" s="1">
        <f t="shared" si="10"/>
        <v>69538.000013099998</v>
      </c>
      <c r="L131" s="15">
        <f t="shared" si="11"/>
        <v>0.59001309999999996</v>
      </c>
    </row>
    <row r="132" spans="1:12" ht="15" customHeight="1" x14ac:dyDescent="0.25">
      <c r="A132" s="10" t="str">
        <f>Raw_Data!A132</f>
        <v>Acer 109 cm (43 inches) I Series 4K Ultra HD Android Smart LED TV AR43AR2851UDFL (Black)</v>
      </c>
      <c r="B132" s="10" t="str">
        <f>IFERROR(TRIM(LEFT(Raw_Data!A132,FIND(" ",Raw_Data!A132)-1)),Raw_Data!A132)</f>
        <v>Acer</v>
      </c>
      <c r="C132" s="10" t="str">
        <f>IFERROR(LEFT(Raw_Data!B132,FIND("|",Raw_Data!B132)-1),Raw_Data!B132)</f>
        <v>Electronics</v>
      </c>
      <c r="D132" s="11">
        <f>IFERROR(VALUE(SUBSTITUTE(SUBSTITUTE(TRIM(Raw_Data!C132),"₹",""),",","")),"")</f>
        <v>23999</v>
      </c>
      <c r="E132" s="11">
        <f>IFERROR(VALUE(SUBSTITUTE(SUBSTITUTE(TRIM(Raw_Data!D132),"₹",""),",","")),"")</f>
        <v>34990</v>
      </c>
      <c r="F132" s="12">
        <f>IFERROR(VALUE(SUBSTITUTE(Raw_Data!E132,"%",""))/100,"")</f>
        <v>0.31</v>
      </c>
      <c r="G132" s="13">
        <f>IFERROR(VALUE(Raw_Data!F132),"")</f>
        <v>4.3</v>
      </c>
      <c r="H132" s="14">
        <f>IFERROR(VALUE(SUBSTITUTE(Raw_Data!G132,",","")),"")</f>
        <v>4703</v>
      </c>
      <c r="I132" s="11">
        <f t="shared" si="8"/>
        <v>10991</v>
      </c>
      <c r="J132" s="11">
        <f t="shared" si="9"/>
        <v>112867297</v>
      </c>
      <c r="K132" s="1">
        <f t="shared" si="10"/>
        <v>4703.0000131999996</v>
      </c>
      <c r="L132" s="15">
        <f t="shared" si="11"/>
        <v>0.31001319999999999</v>
      </c>
    </row>
    <row r="133" spans="1:12" ht="15" customHeight="1" x14ac:dyDescent="0.25">
      <c r="A133" s="10" t="str">
        <f>Raw_Data!A133</f>
        <v>Wayona Usb Type C 65W 6Ft/2M Long Fast Charging Cable Compatible For Samsung S22 S20 Fe S21 Ultra A33 A53 A01 A73 A70 A51 M33 M53 M51 M31(2M, Black)</v>
      </c>
      <c r="B133" s="10" t="str">
        <f>IFERROR(TRIM(LEFT(Raw_Data!A133,FIND(" ",Raw_Data!A133)-1)),Raw_Data!A133)</f>
        <v>Wayona</v>
      </c>
      <c r="C133" s="10" t="str">
        <f>IFERROR(LEFT(Raw_Data!B133,FIND("|",Raw_Data!B133)-1),Raw_Data!B133)</f>
        <v>Computers&amp;Accessories</v>
      </c>
      <c r="D133" s="11">
        <f>IFERROR(VALUE(SUBSTITUTE(SUBSTITUTE(TRIM(Raw_Data!C133),"₹",""),",","")),"")</f>
        <v>399</v>
      </c>
      <c r="E133" s="11">
        <f>IFERROR(VALUE(SUBSTITUTE(SUBSTITUTE(TRIM(Raw_Data!D133),"₹",""),",","")),"")</f>
        <v>999</v>
      </c>
      <c r="F133" s="12">
        <f>IFERROR(VALUE(SUBSTITUTE(Raw_Data!E133,"%",""))/100,"")</f>
        <v>0.6</v>
      </c>
      <c r="G133" s="13">
        <f>IFERROR(VALUE(Raw_Data!F133),"")</f>
        <v>4.3</v>
      </c>
      <c r="H133" s="14">
        <f>IFERROR(VALUE(SUBSTITUTE(Raw_Data!G133,",","")),"")</f>
        <v>2806</v>
      </c>
      <c r="I133" s="11">
        <f t="shared" si="8"/>
        <v>600</v>
      </c>
      <c r="J133" s="11">
        <f t="shared" si="9"/>
        <v>1119594</v>
      </c>
      <c r="K133" s="1">
        <f t="shared" si="10"/>
        <v>2806.0000132999999</v>
      </c>
      <c r="L133" s="15">
        <f t="shared" si="11"/>
        <v>0.60001329999999997</v>
      </c>
    </row>
    <row r="134" spans="1:12" ht="15" customHeight="1" x14ac:dyDescent="0.25">
      <c r="A134" s="10" t="str">
        <f>Raw_Data!A134</f>
        <v>Saifsmart Outlet Wall Mount Hanger Holder for Dot 3rd Gen, Compact Bracket Case Plug and Built-in Cable Management for Kitchen Bathroom, Bedroom (Black)</v>
      </c>
      <c r="B134" s="10" t="str">
        <f>IFERROR(TRIM(LEFT(Raw_Data!A134,FIND(" ",Raw_Data!A134)-1)),Raw_Data!A134)</f>
        <v>Saifsmart</v>
      </c>
      <c r="C134" s="10" t="str">
        <f>IFERROR(LEFT(Raw_Data!B134,FIND("|",Raw_Data!B134)-1),Raw_Data!B134)</f>
        <v>Electronics</v>
      </c>
      <c r="D134" s="11">
        <f>IFERROR(VALUE(SUBSTITUTE(SUBSTITUTE(TRIM(Raw_Data!C134),"₹",""),",","")),"")</f>
        <v>349</v>
      </c>
      <c r="E134" s="11">
        <f>IFERROR(VALUE(SUBSTITUTE(SUBSTITUTE(TRIM(Raw_Data!D134),"₹",""),",","")),"")</f>
        <v>1299</v>
      </c>
      <c r="F134" s="12">
        <f>IFERROR(VALUE(SUBSTITUTE(Raw_Data!E134,"%",""))/100,"")</f>
        <v>0.73</v>
      </c>
      <c r="G134" s="13">
        <f>IFERROR(VALUE(Raw_Data!F134),"")</f>
        <v>4</v>
      </c>
      <c r="H134" s="14">
        <f>IFERROR(VALUE(SUBSTITUTE(Raw_Data!G134,",","")),"")</f>
        <v>3295</v>
      </c>
      <c r="I134" s="11">
        <f t="shared" si="8"/>
        <v>950</v>
      </c>
      <c r="J134" s="11">
        <f t="shared" si="9"/>
        <v>1149955</v>
      </c>
      <c r="K134" s="1">
        <f t="shared" si="10"/>
        <v>3295.0000134000002</v>
      </c>
      <c r="L134" s="15">
        <f t="shared" si="11"/>
        <v>0.73001340000000003</v>
      </c>
    </row>
    <row r="135" spans="1:12" ht="15" customHeight="1" x14ac:dyDescent="0.25">
      <c r="A135" s="10" t="str">
        <f>Raw_Data!A135</f>
        <v>MI 2-in-1 USB Type C Cable (Micro USB to Type C) 30cm for Smartphone, Headphone, Laptop (White)</v>
      </c>
      <c r="B135" s="10" t="str">
        <f>IFERROR(TRIM(LEFT(Raw_Data!A135,FIND(" ",Raw_Data!A135)-1)),Raw_Data!A135)</f>
        <v>MI</v>
      </c>
      <c r="C135" s="10" t="str">
        <f>IFERROR(LEFT(Raw_Data!B135,FIND("|",Raw_Data!B135)-1),Raw_Data!B135)</f>
        <v>Computers&amp;Accessories</v>
      </c>
      <c r="D135" s="11">
        <f>IFERROR(VALUE(SUBSTITUTE(SUBSTITUTE(TRIM(Raw_Data!C135),"₹",""),",","")),"")</f>
        <v>179</v>
      </c>
      <c r="E135" s="11">
        <f>IFERROR(VALUE(SUBSTITUTE(SUBSTITUTE(TRIM(Raw_Data!D135),"₹",""),",","")),"")</f>
        <v>299</v>
      </c>
      <c r="F135" s="12">
        <f>IFERROR(VALUE(SUBSTITUTE(Raw_Data!E135,"%",""))/100,"")</f>
        <v>0.4</v>
      </c>
      <c r="G135" s="13">
        <f>IFERROR(VALUE(Raw_Data!F135),"")</f>
        <v>3.9</v>
      </c>
      <c r="H135" s="14">
        <f>IFERROR(VALUE(SUBSTITUTE(Raw_Data!G135,",","")),"")</f>
        <v>81</v>
      </c>
      <c r="I135" s="11">
        <f t="shared" si="8"/>
        <v>120</v>
      </c>
      <c r="J135" s="11">
        <f t="shared" si="9"/>
        <v>14499</v>
      </c>
      <c r="K135" s="1">
        <f t="shared" si="10"/>
        <v>81.000013499999994</v>
      </c>
      <c r="L135" s="15">
        <f t="shared" si="11"/>
        <v>0.40001350000000002</v>
      </c>
    </row>
    <row r="136" spans="1:12" ht="15" customHeight="1" x14ac:dyDescent="0.25">
      <c r="A136" s="10" t="str">
        <f>Raw_Data!A136</f>
        <v>AmazonBasics New Release ABS USB-A to Lightning Cable Cord, Fast Charging MFi Certified Charger for Apple iPhone, iPad Tablet (3-Ft, White)</v>
      </c>
      <c r="B136" s="10" t="str">
        <f>IFERROR(TRIM(LEFT(Raw_Data!A136,FIND(" ",Raw_Data!A136)-1)),Raw_Data!A136)</f>
        <v>AmazonBasics</v>
      </c>
      <c r="C136" s="10" t="str">
        <f>IFERROR(LEFT(Raw_Data!B136,FIND("|",Raw_Data!B136)-1),Raw_Data!B136)</f>
        <v>Computers&amp;Accessories</v>
      </c>
      <c r="D136" s="11">
        <f>IFERROR(VALUE(SUBSTITUTE(SUBSTITUTE(TRIM(Raw_Data!C136),"₹",""),",","")),"")</f>
        <v>689</v>
      </c>
      <c r="E136" s="11">
        <f>IFERROR(VALUE(SUBSTITUTE(SUBSTITUTE(TRIM(Raw_Data!D136),"₹",""),",","")),"")</f>
        <v>1500</v>
      </c>
      <c r="F136" s="12">
        <f>IFERROR(VALUE(SUBSTITUTE(Raw_Data!E136,"%",""))/100,"")</f>
        <v>0.54</v>
      </c>
      <c r="G136" s="13">
        <f>IFERROR(VALUE(Raw_Data!F136),"")</f>
        <v>4.2</v>
      </c>
      <c r="H136" s="14">
        <f>IFERROR(VALUE(SUBSTITUTE(Raw_Data!G136,",","")),"")</f>
        <v>42301</v>
      </c>
      <c r="I136" s="11">
        <f t="shared" si="8"/>
        <v>811</v>
      </c>
      <c r="J136" s="11">
        <f t="shared" si="9"/>
        <v>29145389</v>
      </c>
      <c r="K136" s="1">
        <f t="shared" si="10"/>
        <v>42301.000013600002</v>
      </c>
      <c r="L136" s="15">
        <f t="shared" si="11"/>
        <v>0.54001359999999998</v>
      </c>
    </row>
    <row r="137" spans="1:12" ht="15" customHeight="1" x14ac:dyDescent="0.25">
      <c r="A137" s="10" t="str">
        <f>Raw_Data!A137</f>
        <v>LG 108 cm (43 inches) 4K Ultra HD Smart LED TV 43UQ7500PSF (Ceramic Black)</v>
      </c>
      <c r="B137" s="10" t="str">
        <f>IFERROR(TRIM(LEFT(Raw_Data!A137,FIND(" ",Raw_Data!A137)-1)),Raw_Data!A137)</f>
        <v>LG</v>
      </c>
      <c r="C137" s="10" t="str">
        <f>IFERROR(LEFT(Raw_Data!B137,FIND("|",Raw_Data!B137)-1),Raw_Data!B137)</f>
        <v>Electronics</v>
      </c>
      <c r="D137" s="11">
        <f>IFERROR(VALUE(SUBSTITUTE(SUBSTITUTE(TRIM(Raw_Data!C137),"₹",""),",","")),"")</f>
        <v>30990</v>
      </c>
      <c r="E137" s="11">
        <f>IFERROR(VALUE(SUBSTITUTE(SUBSTITUTE(TRIM(Raw_Data!D137),"₹",""),",","")),"")</f>
        <v>49990</v>
      </c>
      <c r="F137" s="12">
        <f>IFERROR(VALUE(SUBSTITUTE(Raw_Data!E137,"%",""))/100,"")</f>
        <v>0.38</v>
      </c>
      <c r="G137" s="13">
        <f>IFERROR(VALUE(Raw_Data!F137),"")</f>
        <v>4.3</v>
      </c>
      <c r="H137" s="14">
        <f>IFERROR(VALUE(SUBSTITUTE(Raw_Data!G137,",","")),"")</f>
        <v>1376</v>
      </c>
      <c r="I137" s="11">
        <f t="shared" si="8"/>
        <v>19000</v>
      </c>
      <c r="J137" s="11">
        <f t="shared" si="9"/>
        <v>42642240</v>
      </c>
      <c r="K137" s="1">
        <f t="shared" si="10"/>
        <v>1376.0000137</v>
      </c>
      <c r="L137" s="15">
        <f t="shared" si="11"/>
        <v>0.38001370000000001</v>
      </c>
    </row>
    <row r="138" spans="1:12" ht="15" customHeight="1" x14ac:dyDescent="0.25">
      <c r="A138" s="10" t="str">
        <f>Raw_Data!A138</f>
        <v>pTron Solero 331 3.4Amps Multifunction Fast Charging Cable, 3-in-1 USB Cable Micro USB/Type-C/iOS, Made in India, Durable &amp; Strong &amp; Tangle-free 118cm in Length (Black)</v>
      </c>
      <c r="B138" s="10" t="str">
        <f>IFERROR(TRIM(LEFT(Raw_Data!A138,FIND(" ",Raw_Data!A138)-1)),Raw_Data!A138)</f>
        <v>pTron</v>
      </c>
      <c r="C138" s="10" t="str">
        <f>IFERROR(LEFT(Raw_Data!B138,FIND("|",Raw_Data!B138)-1),Raw_Data!B138)</f>
        <v>Computers&amp;Accessories</v>
      </c>
      <c r="D138" s="11">
        <f>IFERROR(VALUE(SUBSTITUTE(SUBSTITUTE(TRIM(Raw_Data!C138),"₹",""),",","")),"")</f>
        <v>249</v>
      </c>
      <c r="E138" s="11">
        <f>IFERROR(VALUE(SUBSTITUTE(SUBSTITUTE(TRIM(Raw_Data!D138),"₹",""),",","")),"")</f>
        <v>931</v>
      </c>
      <c r="F138" s="12">
        <f>IFERROR(VALUE(SUBSTITUTE(Raw_Data!E138,"%",""))/100,"")</f>
        <v>0.73</v>
      </c>
      <c r="G138" s="13">
        <f>IFERROR(VALUE(Raw_Data!F138),"")</f>
        <v>3.9</v>
      </c>
      <c r="H138" s="14">
        <f>IFERROR(VALUE(SUBSTITUTE(Raw_Data!G138,",","")),"")</f>
        <v>1075</v>
      </c>
      <c r="I138" s="11">
        <f t="shared" si="8"/>
        <v>682</v>
      </c>
      <c r="J138" s="11">
        <f t="shared" si="9"/>
        <v>267675</v>
      </c>
      <c r="K138" s="1">
        <f t="shared" si="10"/>
        <v>1075.0000138</v>
      </c>
      <c r="L138" s="15">
        <f t="shared" si="11"/>
        <v>0.73001379999999993</v>
      </c>
    </row>
    <row r="139" spans="1:12" ht="15" customHeight="1" x14ac:dyDescent="0.25">
      <c r="A139" s="10" t="str">
        <f>Raw_Data!A139</f>
        <v>10k 8k 4k HDMI Cable, Certified 48Gbps 1ms Ultra High Speed HDMI 2.1 Cable 4k 120Hz 144Hz 2k 165Hz 8k 60Hz Dynamic HDR ARC eARC DTS:X Compatible for Mac Gaming PC Soundbar TV Monitor Laptop PS5 4 Xbox</v>
      </c>
      <c r="B139" s="10" t="str">
        <f>IFERROR(TRIM(LEFT(Raw_Data!A139,FIND(" ",Raw_Data!A139)-1)),Raw_Data!A139)</f>
        <v>10k</v>
      </c>
      <c r="C139" s="10" t="str">
        <f>IFERROR(LEFT(Raw_Data!B139,FIND("|",Raw_Data!B139)-1),Raw_Data!B139)</f>
        <v>Electronics</v>
      </c>
      <c r="D139" s="11">
        <f>IFERROR(VALUE(SUBSTITUTE(SUBSTITUTE(TRIM(Raw_Data!C139),"₹",""),",","")),"")</f>
        <v>999</v>
      </c>
      <c r="E139" s="11">
        <f>IFERROR(VALUE(SUBSTITUTE(SUBSTITUTE(TRIM(Raw_Data!D139),"₹",""),",","")),"")</f>
        <v>2399</v>
      </c>
      <c r="F139" s="12">
        <f>IFERROR(VALUE(SUBSTITUTE(Raw_Data!E139,"%",""))/100,"")</f>
        <v>0.57999999999999996</v>
      </c>
      <c r="G139" s="13">
        <f>IFERROR(VALUE(Raw_Data!F139),"")</f>
        <v>4.5999999999999996</v>
      </c>
      <c r="H139" s="14">
        <f>IFERROR(VALUE(SUBSTITUTE(Raw_Data!G139,",","")),"")</f>
        <v>3664</v>
      </c>
      <c r="I139" s="11">
        <f t="shared" si="8"/>
        <v>1400</v>
      </c>
      <c r="J139" s="11">
        <f t="shared" si="9"/>
        <v>3660336</v>
      </c>
      <c r="K139" s="1">
        <f t="shared" si="10"/>
        <v>3664.0000138999999</v>
      </c>
      <c r="L139" s="15">
        <f t="shared" si="11"/>
        <v>0.58001389999999997</v>
      </c>
    </row>
    <row r="140" spans="1:12" ht="15" customHeight="1" x14ac:dyDescent="0.25">
      <c r="A140" s="10" t="str">
        <f>Raw_Data!A140</f>
        <v>LRIPL Compatible Sony Bravia LCD/led Remote Works with Almost All Sony led/LCD tv's</v>
      </c>
      <c r="B140" s="10" t="str">
        <f>IFERROR(TRIM(LEFT(Raw_Data!A140,FIND(" ",Raw_Data!A140)-1)),Raw_Data!A140)</f>
        <v>LRIPL</v>
      </c>
      <c r="C140" s="10" t="str">
        <f>IFERROR(LEFT(Raw_Data!B140,FIND("|",Raw_Data!B140)-1),Raw_Data!B140)</f>
        <v>Electronics</v>
      </c>
      <c r="D140" s="11">
        <f>IFERROR(VALUE(SUBSTITUTE(SUBSTITUTE(TRIM(Raw_Data!C140),"₹",""),",","")),"")</f>
        <v>399</v>
      </c>
      <c r="E140" s="11">
        <f>IFERROR(VALUE(SUBSTITUTE(SUBSTITUTE(TRIM(Raw_Data!D140),"₹",""),",","")),"")</f>
        <v>399</v>
      </c>
      <c r="F140" s="12">
        <f>IFERROR(VALUE(SUBSTITUTE(Raw_Data!E140,"%",""))/100,"")</f>
        <v>0</v>
      </c>
      <c r="G140" s="13">
        <f>IFERROR(VALUE(Raw_Data!F140),"")</f>
        <v>3.9</v>
      </c>
      <c r="H140" s="14">
        <f>IFERROR(VALUE(SUBSTITUTE(Raw_Data!G140,",","")),"")</f>
        <v>1951</v>
      </c>
      <c r="I140" s="11">
        <f t="shared" si="8"/>
        <v>0</v>
      </c>
      <c r="J140" s="11">
        <f t="shared" si="9"/>
        <v>778449</v>
      </c>
      <c r="K140" s="1">
        <f t="shared" si="10"/>
        <v>1951.000014</v>
      </c>
      <c r="L140" s="15">
        <f t="shared" si="11"/>
        <v>1.4E-5</v>
      </c>
    </row>
    <row r="141" spans="1:12" ht="15" customHeight="1" x14ac:dyDescent="0.25">
      <c r="A141" s="10" t="str">
        <f>Raw_Data!A141</f>
        <v>boAt Type-c A400 Type-c to USB A Cable for All Type C Phones (Lg nexus 5x), 1Mtr(Black)</v>
      </c>
      <c r="B141" s="10" t="str">
        <f>IFERROR(TRIM(LEFT(Raw_Data!A141,FIND(" ",Raw_Data!A141)-1)),Raw_Data!A141)</f>
        <v>boAt</v>
      </c>
      <c r="C141" s="10" t="str">
        <f>IFERROR(LEFT(Raw_Data!B141,FIND("|",Raw_Data!B141)-1),Raw_Data!B141)</f>
        <v>Computers&amp;Accessories</v>
      </c>
      <c r="D141" s="11">
        <f>IFERROR(VALUE(SUBSTITUTE(SUBSTITUTE(TRIM(Raw_Data!C141),"₹",""),",","")),"")</f>
        <v>349</v>
      </c>
      <c r="E141" s="11">
        <f>IFERROR(VALUE(SUBSTITUTE(SUBSTITUTE(TRIM(Raw_Data!D141),"₹",""),",","")),"")</f>
        <v>699</v>
      </c>
      <c r="F141" s="12">
        <f>IFERROR(VALUE(SUBSTITUTE(Raw_Data!E141,"%",""))/100,"")</f>
        <v>0.5</v>
      </c>
      <c r="G141" s="13">
        <f>IFERROR(VALUE(Raw_Data!F141),"")</f>
        <v>4.3</v>
      </c>
      <c r="H141" s="14">
        <f>IFERROR(VALUE(SUBSTITUTE(Raw_Data!G141,",","")),"")</f>
        <v>20850</v>
      </c>
      <c r="I141" s="11">
        <f t="shared" si="8"/>
        <v>350</v>
      </c>
      <c r="J141" s="11">
        <f t="shared" si="9"/>
        <v>7276650</v>
      </c>
      <c r="K141" s="1">
        <f t="shared" si="10"/>
        <v>20850.000014099998</v>
      </c>
      <c r="L141" s="15">
        <f t="shared" si="11"/>
        <v>0.50001410000000002</v>
      </c>
    </row>
    <row r="142" spans="1:12" ht="15" customHeight="1" x14ac:dyDescent="0.25">
      <c r="A142" s="10" t="str">
        <f>Raw_Data!A142</f>
        <v>Zoul Type C to Type C Fast Charging Cable 65W 2M/6ft USB C Nylon Braided Cord Compatible with MacBook Oneplus 9 9R Samsung Galaxy S21 Ultra S20+ (2M, Black)</v>
      </c>
      <c r="B142" s="10" t="str">
        <f>IFERROR(TRIM(LEFT(Raw_Data!A142,FIND(" ",Raw_Data!A142)-1)),Raw_Data!A142)</f>
        <v>Zoul</v>
      </c>
      <c r="C142" s="10" t="str">
        <f>IFERROR(LEFT(Raw_Data!B142,FIND("|",Raw_Data!B142)-1),Raw_Data!B142)</f>
        <v>Computers&amp;Accessories</v>
      </c>
      <c r="D142" s="11">
        <f>IFERROR(VALUE(SUBSTITUTE(SUBSTITUTE(TRIM(Raw_Data!C142),"₹",""),",","")),"")</f>
        <v>399</v>
      </c>
      <c r="E142" s="11">
        <f>IFERROR(VALUE(SUBSTITUTE(SUBSTITUTE(TRIM(Raw_Data!D142),"₹",""),",","")),"")</f>
        <v>1099</v>
      </c>
      <c r="F142" s="12">
        <f>IFERROR(VALUE(SUBSTITUTE(Raw_Data!E142,"%",""))/100,"")</f>
        <v>0.64</v>
      </c>
      <c r="G142" s="13">
        <f>IFERROR(VALUE(Raw_Data!F142),"")</f>
        <v>4.0999999999999996</v>
      </c>
      <c r="H142" s="14">
        <f>IFERROR(VALUE(SUBSTITUTE(Raw_Data!G142,",","")),"")</f>
        <v>2685</v>
      </c>
      <c r="I142" s="11">
        <f t="shared" si="8"/>
        <v>700</v>
      </c>
      <c r="J142" s="11">
        <f t="shared" si="9"/>
        <v>1071315</v>
      </c>
      <c r="K142" s="1">
        <f t="shared" si="10"/>
        <v>2685.0000141999999</v>
      </c>
      <c r="L142" s="15">
        <f t="shared" si="11"/>
        <v>0.64001419999999998</v>
      </c>
    </row>
    <row r="143" spans="1:12" ht="15" customHeight="1" x14ac:dyDescent="0.25">
      <c r="A143" s="10" t="str">
        <f>Raw_Data!A143</f>
        <v>TP-LINK AC1300 Archer T3U Plus High Gain USB 3.0 Wi-Fi Dongle, Wireless Dual Band MU-MIMO WiFi Adapter with High Gain Antenna, Supports Windows 11/10/8.1/8/7/XP/MacOS</v>
      </c>
      <c r="B143" s="10" t="str">
        <f>IFERROR(TRIM(LEFT(Raw_Data!A143,FIND(" ",Raw_Data!A143)-1)),Raw_Data!A143)</f>
        <v>TP-LINK</v>
      </c>
      <c r="C143" s="10" t="str">
        <f>IFERROR(LEFT(Raw_Data!B143,FIND("|",Raw_Data!B143)-1),Raw_Data!B143)</f>
        <v>Computers&amp;Accessories</v>
      </c>
      <c r="D143" s="11">
        <f>IFERROR(VALUE(SUBSTITUTE(SUBSTITUTE(TRIM(Raw_Data!C143),"₹",""),",","")),"")</f>
        <v>1699</v>
      </c>
      <c r="E143" s="11">
        <f>IFERROR(VALUE(SUBSTITUTE(SUBSTITUTE(TRIM(Raw_Data!D143),"₹",""),",","")),"")</f>
        <v>2999</v>
      </c>
      <c r="F143" s="12">
        <f>IFERROR(VALUE(SUBSTITUTE(Raw_Data!E143,"%",""))/100,"")</f>
        <v>0.43</v>
      </c>
      <c r="G143" s="13">
        <f>IFERROR(VALUE(Raw_Data!F143),"")</f>
        <v>4.4000000000000004</v>
      </c>
      <c r="H143" s="14">
        <f>IFERROR(VALUE(SUBSTITUTE(Raw_Data!G143,",","")),"")</f>
        <v>24780</v>
      </c>
      <c r="I143" s="11">
        <f t="shared" si="8"/>
        <v>1300</v>
      </c>
      <c r="J143" s="11">
        <f t="shared" si="9"/>
        <v>42101220</v>
      </c>
      <c r="K143" s="1">
        <f t="shared" si="10"/>
        <v>24780.0000143</v>
      </c>
      <c r="L143" s="15">
        <f t="shared" si="11"/>
        <v>0.43001430000000002</v>
      </c>
    </row>
    <row r="144" spans="1:12" ht="15" customHeight="1" x14ac:dyDescent="0.25">
      <c r="A144" s="10" t="str">
        <f>Raw_Data!A144</f>
        <v>LRIPL Mi Remote Control with Netflix &amp; Prime Video Button Compatible for Mi 4X LED Android Smart TV 4A Remote Control (32"/43") with Voice Command (Pairing Required)</v>
      </c>
      <c r="B144" s="10" t="str">
        <f>IFERROR(TRIM(LEFT(Raw_Data!A144,FIND(" ",Raw_Data!A144)-1)),Raw_Data!A144)</f>
        <v>LRIPL</v>
      </c>
      <c r="C144" s="10" t="str">
        <f>IFERROR(LEFT(Raw_Data!B144,FIND("|",Raw_Data!B144)-1),Raw_Data!B144)</f>
        <v>Electronics</v>
      </c>
      <c r="D144" s="11">
        <f>IFERROR(VALUE(SUBSTITUTE(SUBSTITUTE(TRIM(Raw_Data!C144),"₹",""),",","")),"")</f>
        <v>655</v>
      </c>
      <c r="E144" s="11">
        <f>IFERROR(VALUE(SUBSTITUTE(SUBSTITUTE(TRIM(Raw_Data!D144),"₹",""),",","")),"")</f>
        <v>1099</v>
      </c>
      <c r="F144" s="12">
        <f>IFERROR(VALUE(SUBSTITUTE(Raw_Data!E144,"%",""))/100,"")</f>
        <v>0.4</v>
      </c>
      <c r="G144" s="13">
        <f>IFERROR(VALUE(Raw_Data!F144),"")</f>
        <v>3.2</v>
      </c>
      <c r="H144" s="14">
        <f>IFERROR(VALUE(SUBSTITUTE(Raw_Data!G144,",","")),"")</f>
        <v>285</v>
      </c>
      <c r="I144" s="11">
        <f t="shared" si="8"/>
        <v>444</v>
      </c>
      <c r="J144" s="11">
        <f t="shared" si="9"/>
        <v>186675</v>
      </c>
      <c r="K144" s="1">
        <f t="shared" si="10"/>
        <v>285.0000144</v>
      </c>
      <c r="L144" s="15">
        <f t="shared" si="11"/>
        <v>0.40001440000000005</v>
      </c>
    </row>
    <row r="145" spans="1:12" ht="15" customHeight="1" x14ac:dyDescent="0.25">
      <c r="A145" s="10" t="str">
        <f>Raw_Data!A145</f>
        <v>TP-Link Nano USB WiFi Dongle 150Mbps High Gain Wireless Network Wi-Fi Adapter for PC Desktop and Laptops, Supports Windows 10/8.1/8/7/XP, Linux, Mac OS X (TL-WN722N)</v>
      </c>
      <c r="B145" s="10" t="str">
        <f>IFERROR(TRIM(LEFT(Raw_Data!A145,FIND(" ",Raw_Data!A145)-1)),Raw_Data!A145)</f>
        <v>TP-Link</v>
      </c>
      <c r="C145" s="10" t="str">
        <f>IFERROR(LEFT(Raw_Data!B145,FIND("|",Raw_Data!B145)-1),Raw_Data!B145)</f>
        <v>Computers&amp;Accessories</v>
      </c>
      <c r="D145" s="11">
        <f>IFERROR(VALUE(SUBSTITUTE(SUBSTITUTE(TRIM(Raw_Data!C145),"₹",""),",","")),"")</f>
        <v>749</v>
      </c>
      <c r="E145" s="11">
        <f>IFERROR(VALUE(SUBSTITUTE(SUBSTITUTE(TRIM(Raw_Data!D145),"₹",""),",","")),"")</f>
        <v>1339</v>
      </c>
      <c r="F145" s="12">
        <f>IFERROR(VALUE(SUBSTITUTE(Raw_Data!E145,"%",""))/100,"")</f>
        <v>0.44</v>
      </c>
      <c r="G145" s="13">
        <f>IFERROR(VALUE(Raw_Data!F145),"")</f>
        <v>4.2</v>
      </c>
      <c r="H145" s="14">
        <f>IFERROR(VALUE(SUBSTITUTE(Raw_Data!G145,",","")),"")</f>
        <v>179692</v>
      </c>
      <c r="I145" s="11">
        <f t="shared" si="8"/>
        <v>590</v>
      </c>
      <c r="J145" s="11">
        <f t="shared" si="9"/>
        <v>134589308</v>
      </c>
      <c r="K145" s="1">
        <f t="shared" si="10"/>
        <v>179692.00001449999</v>
      </c>
      <c r="L145" s="15">
        <f t="shared" si="11"/>
        <v>0.44001449999999998</v>
      </c>
    </row>
    <row r="146" spans="1:12" ht="15" customHeight="1" x14ac:dyDescent="0.25">
      <c r="A146" s="10" t="str">
        <f>Raw_Data!A146</f>
        <v>Kodak 80 cm (32 inches) HD Ready Certified Android LED TV 32HDX7XPRO (Black)</v>
      </c>
      <c r="B146" s="10" t="str">
        <f>IFERROR(TRIM(LEFT(Raw_Data!A146,FIND(" ",Raw_Data!A146)-1)),Raw_Data!A146)</f>
        <v>Kodak</v>
      </c>
      <c r="C146" s="10" t="str">
        <f>IFERROR(LEFT(Raw_Data!B146,FIND("|",Raw_Data!B146)-1),Raw_Data!B146)</f>
        <v>Electronics</v>
      </c>
      <c r="D146" s="11">
        <f>IFERROR(VALUE(SUBSTITUTE(SUBSTITUTE(TRIM(Raw_Data!C146),"₹",""),",","")),"")</f>
        <v>9999</v>
      </c>
      <c r="E146" s="11">
        <f>IFERROR(VALUE(SUBSTITUTE(SUBSTITUTE(TRIM(Raw_Data!D146),"₹",""),",","")),"")</f>
        <v>12999</v>
      </c>
      <c r="F146" s="12">
        <f>IFERROR(VALUE(SUBSTITUTE(Raw_Data!E146,"%",""))/100,"")</f>
        <v>0.23</v>
      </c>
      <c r="G146" s="13">
        <f>IFERROR(VALUE(Raw_Data!F146),"")</f>
        <v>4.2</v>
      </c>
      <c r="H146" s="14">
        <f>IFERROR(VALUE(SUBSTITUTE(Raw_Data!G146,",","")),"")</f>
        <v>6088</v>
      </c>
      <c r="I146" s="11">
        <f t="shared" si="8"/>
        <v>3000</v>
      </c>
      <c r="J146" s="11">
        <f t="shared" si="9"/>
        <v>60873912</v>
      </c>
      <c r="K146" s="1">
        <f t="shared" si="10"/>
        <v>6088.0000146000002</v>
      </c>
      <c r="L146" s="15">
        <f t="shared" si="11"/>
        <v>0.23001460000000001</v>
      </c>
    </row>
    <row r="147" spans="1:12" ht="15" customHeight="1" x14ac:dyDescent="0.25">
      <c r="A147" s="10" t="str">
        <f>Raw_Data!A147</f>
        <v>Airtel DigitalTV DTH Remote SD/HD/HD Recording Compatible for Television (Shining Black )</v>
      </c>
      <c r="B147" s="10" t="str">
        <f>IFERROR(TRIM(LEFT(Raw_Data!A147,FIND(" ",Raw_Data!A147)-1)),Raw_Data!A147)</f>
        <v>Airtel</v>
      </c>
      <c r="C147" s="10" t="str">
        <f>IFERROR(LEFT(Raw_Data!B147,FIND("|",Raw_Data!B147)-1),Raw_Data!B147)</f>
        <v>Electronics</v>
      </c>
      <c r="D147" s="11">
        <f>IFERROR(VALUE(SUBSTITUTE(SUBSTITUTE(TRIM(Raw_Data!C147),"₹",""),",","")),"")</f>
        <v>195</v>
      </c>
      <c r="E147" s="11">
        <f>IFERROR(VALUE(SUBSTITUTE(SUBSTITUTE(TRIM(Raw_Data!D147),"₹",""),",","")),"")</f>
        <v>499</v>
      </c>
      <c r="F147" s="12">
        <f>IFERROR(VALUE(SUBSTITUTE(Raw_Data!E147,"%",""))/100,"")</f>
        <v>0.61</v>
      </c>
      <c r="G147" s="13">
        <f>IFERROR(VALUE(Raw_Data!F147),"")</f>
        <v>3.7</v>
      </c>
      <c r="H147" s="14">
        <f>IFERROR(VALUE(SUBSTITUTE(Raw_Data!G147,",","")),"")</f>
        <v>1383</v>
      </c>
      <c r="I147" s="11">
        <f t="shared" si="8"/>
        <v>304</v>
      </c>
      <c r="J147" s="11">
        <f t="shared" si="9"/>
        <v>269685</v>
      </c>
      <c r="K147" s="1">
        <f t="shared" si="10"/>
        <v>1383.0000147000001</v>
      </c>
      <c r="L147" s="15">
        <f t="shared" si="11"/>
        <v>0.61001470000000002</v>
      </c>
    </row>
    <row r="148" spans="1:12" ht="15" customHeight="1" x14ac:dyDescent="0.25">
      <c r="A148" s="10" t="str">
        <f>Raw_Data!A148</f>
        <v>AmazonBasics New Release Nylon USB-A to Lightning Cable Cord, MFi Certified Charger for Apple iPhone, iPad, Silver, 6-Ft</v>
      </c>
      <c r="B148" s="10" t="str">
        <f>IFERROR(TRIM(LEFT(Raw_Data!A148,FIND(" ",Raw_Data!A148)-1)),Raw_Data!A148)</f>
        <v>AmazonBasics</v>
      </c>
      <c r="C148" s="10" t="str">
        <f>IFERROR(LEFT(Raw_Data!B148,FIND("|",Raw_Data!B148)-1),Raw_Data!B148)</f>
        <v>Computers&amp;Accessories</v>
      </c>
      <c r="D148" s="11">
        <f>IFERROR(VALUE(SUBSTITUTE(SUBSTITUTE(TRIM(Raw_Data!C148),"₹",""),",","")),"")</f>
        <v>999</v>
      </c>
      <c r="E148" s="11">
        <f>IFERROR(VALUE(SUBSTITUTE(SUBSTITUTE(TRIM(Raw_Data!D148),"₹",""),",","")),"")</f>
        <v>2100</v>
      </c>
      <c r="F148" s="12">
        <f>IFERROR(VALUE(SUBSTITUTE(Raw_Data!E148,"%",""))/100,"")</f>
        <v>0.52</v>
      </c>
      <c r="G148" s="13">
        <f>IFERROR(VALUE(Raw_Data!F148),"")</f>
        <v>4.5</v>
      </c>
      <c r="H148" s="14">
        <f>IFERROR(VALUE(SUBSTITUTE(Raw_Data!G148,",","")),"")</f>
        <v>5492</v>
      </c>
      <c r="I148" s="11">
        <f t="shared" si="8"/>
        <v>1101</v>
      </c>
      <c r="J148" s="11">
        <f t="shared" si="9"/>
        <v>5486508</v>
      </c>
      <c r="K148" s="1">
        <f t="shared" si="10"/>
        <v>5492.0000147999999</v>
      </c>
      <c r="L148" s="15">
        <f t="shared" si="11"/>
        <v>0.5200148</v>
      </c>
    </row>
    <row r="149" spans="1:12" ht="15" customHeight="1" x14ac:dyDescent="0.25">
      <c r="A149" s="10" t="str">
        <f>Raw_Data!A149</f>
        <v>Ambrane Fast 100W Output Cable with Type-C to Type-C for Mobile, Laptop, Macbook &amp; Table Charging, 480mbps Data Sync Speed, Braided Cable, 1.5m Length (ABCC-100, Black-Grey)</v>
      </c>
      <c r="B149" s="10" t="str">
        <f>IFERROR(TRIM(LEFT(Raw_Data!A149,FIND(" ",Raw_Data!A149)-1)),Raw_Data!A149)</f>
        <v>Ambrane</v>
      </c>
      <c r="C149" s="10" t="str">
        <f>IFERROR(LEFT(Raw_Data!B149,FIND("|",Raw_Data!B149)-1),Raw_Data!B149)</f>
        <v>Computers&amp;Accessories</v>
      </c>
      <c r="D149" s="11">
        <f>IFERROR(VALUE(SUBSTITUTE(SUBSTITUTE(TRIM(Raw_Data!C149),"₹",""),",","")),"")</f>
        <v>499</v>
      </c>
      <c r="E149" s="11">
        <f>IFERROR(VALUE(SUBSTITUTE(SUBSTITUTE(TRIM(Raw_Data!D149),"₹",""),",","")),"")</f>
        <v>899</v>
      </c>
      <c r="F149" s="12">
        <f>IFERROR(VALUE(SUBSTITUTE(Raw_Data!E149,"%",""))/100,"")</f>
        <v>0.44</v>
      </c>
      <c r="G149" s="13">
        <f>IFERROR(VALUE(Raw_Data!F149),"")</f>
        <v>4.2</v>
      </c>
      <c r="H149" s="14">
        <f>IFERROR(VALUE(SUBSTITUTE(Raw_Data!G149,",","")),"")</f>
        <v>919</v>
      </c>
      <c r="I149" s="11">
        <f t="shared" si="8"/>
        <v>400</v>
      </c>
      <c r="J149" s="11">
        <f t="shared" si="9"/>
        <v>458581</v>
      </c>
      <c r="K149" s="1">
        <f t="shared" si="10"/>
        <v>919.0000149</v>
      </c>
      <c r="L149" s="15">
        <f t="shared" si="11"/>
        <v>0.44001489999999999</v>
      </c>
    </row>
    <row r="150" spans="1:12" ht="15" customHeight="1" x14ac:dyDescent="0.25">
      <c r="A150" s="10" t="str">
        <f>Raw_Data!A150</f>
        <v>BlueRigger Digital Optical Audio Toslink Cable (3.3 Feet / 1 Meter) With 8 Channel (7.1) Audio Support (for Home Theatre, Xbox, Playstation etc.)</v>
      </c>
      <c r="B150" s="10" t="str">
        <f>IFERROR(TRIM(LEFT(Raw_Data!A150,FIND(" ",Raw_Data!A150)-1)),Raw_Data!A150)</f>
        <v>BlueRigger</v>
      </c>
      <c r="C150" s="10" t="str">
        <f>IFERROR(LEFT(Raw_Data!B150,FIND("|",Raw_Data!B150)-1),Raw_Data!B150)</f>
        <v>Electronics</v>
      </c>
      <c r="D150" s="11">
        <f>IFERROR(VALUE(SUBSTITUTE(SUBSTITUTE(TRIM(Raw_Data!C150),"₹",""),",","")),"")</f>
        <v>416</v>
      </c>
      <c r="E150" s="11">
        <f>IFERROR(VALUE(SUBSTITUTE(SUBSTITUTE(TRIM(Raw_Data!D150),"₹",""),",","")),"")</f>
        <v>599</v>
      </c>
      <c r="F150" s="12">
        <f>IFERROR(VALUE(SUBSTITUTE(Raw_Data!E150,"%",""))/100,"")</f>
        <v>0.31</v>
      </c>
      <c r="G150" s="13">
        <f>IFERROR(VALUE(Raw_Data!F150),"")</f>
        <v>4.2</v>
      </c>
      <c r="H150" s="14">
        <f>IFERROR(VALUE(SUBSTITUTE(Raw_Data!G150,",","")),"")</f>
        <v>30023</v>
      </c>
      <c r="I150" s="11">
        <f t="shared" si="8"/>
        <v>183</v>
      </c>
      <c r="J150" s="11">
        <f t="shared" si="9"/>
        <v>12489568</v>
      </c>
      <c r="K150" s="1">
        <f t="shared" si="10"/>
        <v>30023.000015000001</v>
      </c>
      <c r="L150" s="15">
        <f t="shared" si="11"/>
        <v>0.31001499999999999</v>
      </c>
    </row>
    <row r="151" spans="1:12" ht="15" customHeight="1" x14ac:dyDescent="0.25">
      <c r="A151" s="10" t="str">
        <f>Raw_Data!A151</f>
        <v>Duracell Type-C To Micro 1.2M braided Sync &amp; Charge Cable, USB C to Micro Fast Charge Compatible for fast data transmission (Black)</v>
      </c>
      <c r="B151" s="10" t="str">
        <f>IFERROR(TRIM(LEFT(Raw_Data!A151,FIND(" ",Raw_Data!A151)-1)),Raw_Data!A151)</f>
        <v>Duracell</v>
      </c>
      <c r="C151" s="10" t="str">
        <f>IFERROR(LEFT(Raw_Data!B151,FIND("|",Raw_Data!B151)-1),Raw_Data!B151)</f>
        <v>Computers&amp;Accessories</v>
      </c>
      <c r="D151" s="11">
        <f>IFERROR(VALUE(SUBSTITUTE(SUBSTITUTE(TRIM(Raw_Data!C151),"₹",""),",","")),"")</f>
        <v>368</v>
      </c>
      <c r="E151" s="11">
        <f>IFERROR(VALUE(SUBSTITUTE(SUBSTITUTE(TRIM(Raw_Data!D151),"₹",""),",","")),"")</f>
        <v>699</v>
      </c>
      <c r="F151" s="12">
        <f>IFERROR(VALUE(SUBSTITUTE(Raw_Data!E151,"%",""))/100,"")</f>
        <v>0.47</v>
      </c>
      <c r="G151" s="13">
        <f>IFERROR(VALUE(Raw_Data!F151),"")</f>
        <v>4.2</v>
      </c>
      <c r="H151" s="14">
        <f>IFERROR(VALUE(SUBSTITUTE(Raw_Data!G151,",","")),"")</f>
        <v>387</v>
      </c>
      <c r="I151" s="11">
        <f t="shared" si="8"/>
        <v>331</v>
      </c>
      <c r="J151" s="11">
        <f t="shared" si="9"/>
        <v>142416</v>
      </c>
      <c r="K151" s="1">
        <f t="shared" si="10"/>
        <v>387.00001509999998</v>
      </c>
      <c r="L151" s="15">
        <f t="shared" si="11"/>
        <v>0.47001509999999996</v>
      </c>
    </row>
    <row r="152" spans="1:12" ht="15" customHeight="1" x14ac:dyDescent="0.25">
      <c r="A152" s="10" t="str">
        <f>Raw_Data!A152</f>
        <v>VU 138 cm (55 inches) Premium Series 4K Ultra HD Smart IPS LED TV 55UT (Black)</v>
      </c>
      <c r="B152" s="10" t="str">
        <f>IFERROR(TRIM(LEFT(Raw_Data!A152,FIND(" ",Raw_Data!A152)-1)),Raw_Data!A152)</f>
        <v>VU</v>
      </c>
      <c r="C152" s="10" t="str">
        <f>IFERROR(LEFT(Raw_Data!B152,FIND("|",Raw_Data!B152)-1),Raw_Data!B152)</f>
        <v>Electronics</v>
      </c>
      <c r="D152" s="11">
        <f>IFERROR(VALUE(SUBSTITUTE(SUBSTITUTE(TRIM(Raw_Data!C152),"₹",""),",","")),"")</f>
        <v>29990</v>
      </c>
      <c r="E152" s="11">
        <f>IFERROR(VALUE(SUBSTITUTE(SUBSTITUTE(TRIM(Raw_Data!D152),"₹",""),",","")),"")</f>
        <v>65000</v>
      </c>
      <c r="F152" s="12">
        <f>IFERROR(VALUE(SUBSTITUTE(Raw_Data!E152,"%",""))/100,"")</f>
        <v>0.54</v>
      </c>
      <c r="G152" s="13">
        <f>IFERROR(VALUE(Raw_Data!F152),"")</f>
        <v>4.0999999999999996</v>
      </c>
      <c r="H152" s="14">
        <f>IFERROR(VALUE(SUBSTITUTE(Raw_Data!G152,",","")),"")</f>
        <v>211</v>
      </c>
      <c r="I152" s="11">
        <f t="shared" si="8"/>
        <v>35010</v>
      </c>
      <c r="J152" s="11">
        <f t="shared" si="9"/>
        <v>6327890</v>
      </c>
      <c r="K152" s="1">
        <f t="shared" si="10"/>
        <v>211.00001520000001</v>
      </c>
      <c r="L152" s="15">
        <f t="shared" si="11"/>
        <v>0.54001520000000003</v>
      </c>
    </row>
    <row r="153" spans="1:12" ht="15" customHeight="1" x14ac:dyDescent="0.25">
      <c r="A153" s="10" t="str">
        <f>Raw_Data!A153</f>
        <v>Zoul USB Type C Fast Charging 3A Nylon Braided Data Cable Quick Charger Cable QC 3.0 for Samsung Galaxy M31s M30 S10 S9 S20 Plus, Note 10 9 8, A20e A40 A50 A70 (1M, Grey)</v>
      </c>
      <c r="B153" s="10" t="str">
        <f>IFERROR(TRIM(LEFT(Raw_Data!A153,FIND(" ",Raw_Data!A153)-1)),Raw_Data!A153)</f>
        <v>Zoul</v>
      </c>
      <c r="C153" s="10" t="str">
        <f>IFERROR(LEFT(Raw_Data!B153,FIND("|",Raw_Data!B153)-1),Raw_Data!B153)</f>
        <v>Computers&amp;Accessories</v>
      </c>
      <c r="D153" s="11">
        <f>IFERROR(VALUE(SUBSTITUTE(SUBSTITUTE(TRIM(Raw_Data!C153),"₹",""),",","")),"")</f>
        <v>339</v>
      </c>
      <c r="E153" s="11">
        <f>IFERROR(VALUE(SUBSTITUTE(SUBSTITUTE(TRIM(Raw_Data!D153),"₹",""),",","")),"")</f>
        <v>1099</v>
      </c>
      <c r="F153" s="12">
        <f>IFERROR(VALUE(SUBSTITUTE(Raw_Data!E153,"%",""))/100,"")</f>
        <v>0.69</v>
      </c>
      <c r="G153" s="13">
        <f>IFERROR(VALUE(Raw_Data!F153),"")</f>
        <v>4.3</v>
      </c>
      <c r="H153" s="14">
        <f>IFERROR(VALUE(SUBSTITUTE(Raw_Data!G153,",","")),"")</f>
        <v>974</v>
      </c>
      <c r="I153" s="11">
        <f t="shared" si="8"/>
        <v>760</v>
      </c>
      <c r="J153" s="11">
        <f t="shared" si="9"/>
        <v>330186</v>
      </c>
      <c r="K153" s="1">
        <f t="shared" si="10"/>
        <v>974.00001529999997</v>
      </c>
      <c r="L153" s="15">
        <f t="shared" si="11"/>
        <v>0.6900153</v>
      </c>
    </row>
    <row r="154" spans="1:12" ht="15" customHeight="1" x14ac:dyDescent="0.25">
      <c r="A154" s="10" t="str">
        <f>Raw_Data!A154</f>
        <v>Samsung 80 cm (32 inches) Wondertainment Series HD Ready LED Smart TV UA32TE40AAKBXL (Titan Gray)</v>
      </c>
      <c r="B154" s="10" t="str">
        <f>IFERROR(TRIM(LEFT(Raw_Data!A154,FIND(" ",Raw_Data!A154)-1)),Raw_Data!A154)</f>
        <v>Samsung</v>
      </c>
      <c r="C154" s="10" t="str">
        <f>IFERROR(LEFT(Raw_Data!B154,FIND("|",Raw_Data!B154)-1),Raw_Data!B154)</f>
        <v>Electronics</v>
      </c>
      <c r="D154" s="11">
        <f>IFERROR(VALUE(SUBSTITUTE(SUBSTITUTE(TRIM(Raw_Data!C154),"₹",""),",","")),"")</f>
        <v>15490</v>
      </c>
      <c r="E154" s="11">
        <f>IFERROR(VALUE(SUBSTITUTE(SUBSTITUTE(TRIM(Raw_Data!D154),"₹",""),",","")),"")</f>
        <v>20900</v>
      </c>
      <c r="F154" s="12">
        <f>IFERROR(VALUE(SUBSTITUTE(Raw_Data!E154,"%",""))/100,"")</f>
        <v>0.26</v>
      </c>
      <c r="G154" s="13">
        <f>IFERROR(VALUE(Raw_Data!F154),"")</f>
        <v>4.3</v>
      </c>
      <c r="H154" s="14">
        <f>IFERROR(VALUE(SUBSTITUTE(Raw_Data!G154,",","")),"")</f>
        <v>16299</v>
      </c>
      <c r="I154" s="11">
        <f t="shared" si="8"/>
        <v>5410</v>
      </c>
      <c r="J154" s="11">
        <f t="shared" si="9"/>
        <v>252471510</v>
      </c>
      <c r="K154" s="1">
        <f t="shared" si="10"/>
        <v>16299.000015400001</v>
      </c>
      <c r="L154" s="15">
        <f t="shared" si="11"/>
        <v>0.26001540000000001</v>
      </c>
    </row>
    <row r="155" spans="1:12" ht="15" customHeight="1" x14ac:dyDescent="0.25">
      <c r="A155" s="10" t="str">
        <f>Raw_Data!A155</f>
        <v>MI Xiaomi USB Type C HYperCharge Cable 6A 100cm Sturdy and Durable Black Supports 120W HyperCharging</v>
      </c>
      <c r="B155" s="10" t="str">
        <f>IFERROR(TRIM(LEFT(Raw_Data!A155,FIND(" ",Raw_Data!A155)-1)),Raw_Data!A155)</f>
        <v>MI</v>
      </c>
      <c r="C155" s="10" t="str">
        <f>IFERROR(LEFT(Raw_Data!B155,FIND("|",Raw_Data!B155)-1),Raw_Data!B155)</f>
        <v>Computers&amp;Accessories</v>
      </c>
      <c r="D155" s="11">
        <f>IFERROR(VALUE(SUBSTITUTE(SUBSTITUTE(TRIM(Raw_Data!C155),"₹",""),",","")),"")</f>
        <v>499</v>
      </c>
      <c r="E155" s="11">
        <f>IFERROR(VALUE(SUBSTITUTE(SUBSTITUTE(TRIM(Raw_Data!D155),"₹",""),",","")),"")</f>
        <v>1299</v>
      </c>
      <c r="F155" s="12">
        <f>IFERROR(VALUE(SUBSTITUTE(Raw_Data!E155,"%",""))/100,"")</f>
        <v>0.62</v>
      </c>
      <c r="G155" s="13">
        <f>IFERROR(VALUE(Raw_Data!F155),"")</f>
        <v>4.3</v>
      </c>
      <c r="H155" s="14">
        <f>IFERROR(VALUE(SUBSTITUTE(Raw_Data!G155,",","")),"")</f>
        <v>30411</v>
      </c>
      <c r="I155" s="11">
        <f t="shared" si="8"/>
        <v>800</v>
      </c>
      <c r="J155" s="11">
        <f t="shared" si="9"/>
        <v>15175089</v>
      </c>
      <c r="K155" s="1">
        <f t="shared" si="10"/>
        <v>30411.000015500002</v>
      </c>
      <c r="L155" s="15">
        <f t="shared" si="11"/>
        <v>0.62001549999999994</v>
      </c>
    </row>
    <row r="156" spans="1:12" ht="15" customHeight="1" x14ac:dyDescent="0.25">
      <c r="A156" s="10" t="str">
        <f>Raw_Data!A156</f>
        <v>GENERIC Ultra-Mini Bluetooth CSR 4.0 USB Dongle Adapter for Windows Computer ( Black:Golden)</v>
      </c>
      <c r="B156" s="10" t="str">
        <f>IFERROR(TRIM(LEFT(Raw_Data!A156,FIND(" ",Raw_Data!A156)-1)),Raw_Data!A156)</f>
        <v>GENERIC</v>
      </c>
      <c r="C156" s="10" t="str">
        <f>IFERROR(LEFT(Raw_Data!B156,FIND("|",Raw_Data!B156)-1),Raw_Data!B156)</f>
        <v>Computers&amp;Accessories</v>
      </c>
      <c r="D156" s="11">
        <f>IFERROR(VALUE(SUBSTITUTE(SUBSTITUTE(TRIM(Raw_Data!C156),"₹",""),",","")),"")</f>
        <v>249</v>
      </c>
      <c r="E156" s="11">
        <f>IFERROR(VALUE(SUBSTITUTE(SUBSTITUTE(TRIM(Raw_Data!D156),"₹",""),",","")),"")</f>
        <v>399</v>
      </c>
      <c r="F156" s="12">
        <f>IFERROR(VALUE(SUBSTITUTE(Raw_Data!E156,"%",""))/100,"")</f>
        <v>0.38</v>
      </c>
      <c r="G156" s="13">
        <f>IFERROR(VALUE(Raw_Data!F156),"")</f>
        <v>3.4</v>
      </c>
      <c r="H156" s="14">
        <f>IFERROR(VALUE(SUBSTITUTE(Raw_Data!G156,",","")),"")</f>
        <v>4642</v>
      </c>
      <c r="I156" s="11">
        <f t="shared" si="8"/>
        <v>150</v>
      </c>
      <c r="J156" s="11">
        <f t="shared" si="9"/>
        <v>1155858</v>
      </c>
      <c r="K156" s="1">
        <f t="shared" si="10"/>
        <v>4642.0000155999996</v>
      </c>
      <c r="L156" s="15">
        <f t="shared" si="11"/>
        <v>0.38001560000000001</v>
      </c>
    </row>
    <row r="157" spans="1:12" ht="15" customHeight="1" x14ac:dyDescent="0.25">
      <c r="A157" s="10" t="str">
        <f>Raw_Data!A157</f>
        <v>7SEVEN® Compatible for Tata Sky Remote Original Set Top HD Box and Suitable for SD Tata Play setup Box Remote Control</v>
      </c>
      <c r="B157" s="10" t="str">
        <f>IFERROR(TRIM(LEFT(Raw_Data!A157,FIND(" ",Raw_Data!A157)-1)),Raw_Data!A157)</f>
        <v>7SEVEN®</v>
      </c>
      <c r="C157" s="10" t="str">
        <f>IFERROR(LEFT(Raw_Data!B157,FIND("|",Raw_Data!B157)-1),Raw_Data!B157)</f>
        <v>Electronics</v>
      </c>
      <c r="D157" s="11">
        <f>IFERROR(VALUE(SUBSTITUTE(SUBSTITUTE(TRIM(Raw_Data!C157),"₹",""),",","")),"")</f>
        <v>399</v>
      </c>
      <c r="E157" s="11">
        <f>IFERROR(VALUE(SUBSTITUTE(SUBSTITUTE(TRIM(Raw_Data!D157),"₹",""),",","")),"")</f>
        <v>799</v>
      </c>
      <c r="F157" s="12">
        <f>IFERROR(VALUE(SUBSTITUTE(Raw_Data!E157,"%",""))/100,"")</f>
        <v>0.5</v>
      </c>
      <c r="G157" s="13">
        <f>IFERROR(VALUE(Raw_Data!F157),"")</f>
        <v>4.3</v>
      </c>
      <c r="H157" s="14">
        <f>IFERROR(VALUE(SUBSTITUTE(Raw_Data!G157,",","")),"")</f>
        <v>12</v>
      </c>
      <c r="I157" s="11">
        <f t="shared" si="8"/>
        <v>400</v>
      </c>
      <c r="J157" s="11">
        <f t="shared" si="9"/>
        <v>4788</v>
      </c>
      <c r="K157" s="1">
        <f t="shared" si="10"/>
        <v>12.000015700000001</v>
      </c>
      <c r="L157" s="15">
        <f t="shared" si="11"/>
        <v>0.50001569999999995</v>
      </c>
    </row>
    <row r="158" spans="1:12" ht="15" customHeight="1" x14ac:dyDescent="0.25">
      <c r="A158" s="10" t="str">
        <f>Raw_Data!A158</f>
        <v>Belkin Apple Certified Lightning To Type C Cable, Fast Charging For Iphone, Ipad, Air Pods, 3.3 Feet (1 Meters)    White</v>
      </c>
      <c r="B158" s="10" t="str">
        <f>IFERROR(TRIM(LEFT(Raw_Data!A158,FIND(" ",Raw_Data!A158)-1)),Raw_Data!A158)</f>
        <v>Belkin</v>
      </c>
      <c r="C158" s="10" t="str">
        <f>IFERROR(LEFT(Raw_Data!B158,FIND("|",Raw_Data!B158)-1),Raw_Data!B158)</f>
        <v>Computers&amp;Accessories</v>
      </c>
      <c r="D158" s="11">
        <f>IFERROR(VALUE(SUBSTITUTE(SUBSTITUTE(TRIM(Raw_Data!C158),"₹",""),",","")),"")</f>
        <v>1499</v>
      </c>
      <c r="E158" s="11">
        <f>IFERROR(VALUE(SUBSTITUTE(SUBSTITUTE(TRIM(Raw_Data!D158),"₹",""),",","")),"")</f>
        <v>1999</v>
      </c>
      <c r="F158" s="12">
        <f>IFERROR(VALUE(SUBSTITUTE(Raw_Data!E158,"%",""))/100,"")</f>
        <v>0.25</v>
      </c>
      <c r="G158" s="13">
        <f>IFERROR(VALUE(Raw_Data!F158),"")</f>
        <v>4.4000000000000004</v>
      </c>
      <c r="H158" s="14">
        <f>IFERROR(VALUE(SUBSTITUTE(Raw_Data!G158,",","")),"")</f>
        <v>1951</v>
      </c>
      <c r="I158" s="11">
        <f t="shared" si="8"/>
        <v>500</v>
      </c>
      <c r="J158" s="11">
        <f t="shared" si="9"/>
        <v>2924549</v>
      </c>
      <c r="K158" s="1">
        <f t="shared" si="10"/>
        <v>1951.0000158</v>
      </c>
      <c r="L158" s="15">
        <f t="shared" si="11"/>
        <v>0.25001580000000001</v>
      </c>
    </row>
    <row r="159" spans="1:12" ht="15" customHeight="1" x14ac:dyDescent="0.25">
      <c r="A159" s="10" t="str">
        <f>Raw_Data!A159</f>
        <v>EGate i9 Pro-Max 1080p Native Full HD Projector 4k Support | 3600 L (330 ANSI ) | 150" (381 cm) Large Screen | VGA, AV, HDMI, SD Card, USB, Audio Out | (E03i31 / E04i32) Black</v>
      </c>
      <c r="B159" s="10" t="str">
        <f>IFERROR(TRIM(LEFT(Raw_Data!A159,FIND(" ",Raw_Data!A159)-1)),Raw_Data!A159)</f>
        <v>EGate</v>
      </c>
      <c r="C159" s="10" t="str">
        <f>IFERROR(LEFT(Raw_Data!B159,FIND("|",Raw_Data!B159)-1),Raw_Data!B159)</f>
        <v>Electronics</v>
      </c>
      <c r="D159" s="11">
        <f>IFERROR(VALUE(SUBSTITUTE(SUBSTITUTE(TRIM(Raw_Data!C159),"₹",""),",","")),"")</f>
        <v>9490</v>
      </c>
      <c r="E159" s="11">
        <f>IFERROR(VALUE(SUBSTITUTE(SUBSTITUTE(TRIM(Raw_Data!D159),"₹",""),",","")),"")</f>
        <v>15990</v>
      </c>
      <c r="F159" s="12">
        <f>IFERROR(VALUE(SUBSTITUTE(Raw_Data!E159,"%",""))/100,"")</f>
        <v>0.41</v>
      </c>
      <c r="G159" s="13">
        <f>IFERROR(VALUE(Raw_Data!F159),"")</f>
        <v>3.9</v>
      </c>
      <c r="H159" s="14">
        <f>IFERROR(VALUE(SUBSTITUTE(Raw_Data!G159,",","")),"")</f>
        <v>10480</v>
      </c>
      <c r="I159" s="11">
        <f t="shared" si="8"/>
        <v>6500</v>
      </c>
      <c r="J159" s="11">
        <f t="shared" si="9"/>
        <v>99455200</v>
      </c>
      <c r="K159" s="1">
        <f t="shared" si="10"/>
        <v>10480.000015899999</v>
      </c>
      <c r="L159" s="15">
        <f t="shared" si="11"/>
        <v>0.41001589999999999</v>
      </c>
    </row>
    <row r="160" spans="1:12" ht="15" customHeight="1" x14ac:dyDescent="0.25">
      <c r="A160" s="10" t="str">
        <f>Raw_Data!A160</f>
        <v>ZEBRONICS HAA2021 HDMI version 2.1 cable with 8K @ 60Hz, 4K @ 120Hz, eARC &amp; CEC support, 3D compatible, 2 meters length, 48Gbps max and Gold-plated connectors</v>
      </c>
      <c r="B160" s="10" t="str">
        <f>IFERROR(TRIM(LEFT(Raw_Data!A160,FIND(" ",Raw_Data!A160)-1)),Raw_Data!A160)</f>
        <v>ZEBRONICS</v>
      </c>
      <c r="C160" s="10" t="str">
        <f>IFERROR(LEFT(Raw_Data!B160,FIND("|",Raw_Data!B160)-1),Raw_Data!B160)</f>
        <v>Electronics</v>
      </c>
      <c r="D160" s="11">
        <f>IFERROR(VALUE(SUBSTITUTE(SUBSTITUTE(TRIM(Raw_Data!C160),"₹",""),",","")),"")</f>
        <v>637</v>
      </c>
      <c r="E160" s="11">
        <f>IFERROR(VALUE(SUBSTITUTE(SUBSTITUTE(TRIM(Raw_Data!D160),"₹",""),",","")),"")</f>
        <v>1499</v>
      </c>
      <c r="F160" s="12">
        <f>IFERROR(VALUE(SUBSTITUTE(Raw_Data!E160,"%",""))/100,"")</f>
        <v>0.57999999999999996</v>
      </c>
      <c r="G160" s="13">
        <f>IFERROR(VALUE(Raw_Data!F160),"")</f>
        <v>4.0999999999999996</v>
      </c>
      <c r="H160" s="14">
        <f>IFERROR(VALUE(SUBSTITUTE(Raw_Data!G160,",","")),"")</f>
        <v>24</v>
      </c>
      <c r="I160" s="11">
        <f t="shared" si="8"/>
        <v>862</v>
      </c>
      <c r="J160" s="11">
        <f t="shared" si="9"/>
        <v>15288</v>
      </c>
      <c r="K160" s="1">
        <f t="shared" si="10"/>
        <v>24.000015999999999</v>
      </c>
      <c r="L160" s="15">
        <f t="shared" si="11"/>
        <v>0.58001599999999998</v>
      </c>
    </row>
    <row r="161" spans="1:12" ht="15" customHeight="1" x14ac:dyDescent="0.25">
      <c r="A161" s="10" t="str">
        <f>Raw_Data!A161</f>
        <v>7SEVEN® Compatible for Sony Bravia LCD LED UHD OLED QLED 4K Ultra HD TV remote control with YouTube and NETFLIX Hotkeys. Universal Replacement for Original Sony Smart Android tv Remote Control</v>
      </c>
      <c r="B161" s="10" t="str">
        <f>IFERROR(TRIM(LEFT(Raw_Data!A161,FIND(" ",Raw_Data!A161)-1)),Raw_Data!A161)</f>
        <v>7SEVEN®</v>
      </c>
      <c r="C161" s="10" t="str">
        <f>IFERROR(LEFT(Raw_Data!B161,FIND("|",Raw_Data!B161)-1),Raw_Data!B161)</f>
        <v>Electronics</v>
      </c>
      <c r="D161" s="11">
        <f>IFERROR(VALUE(SUBSTITUTE(SUBSTITUTE(TRIM(Raw_Data!C161),"₹",""),",","")),"")</f>
        <v>399</v>
      </c>
      <c r="E161" s="11">
        <f>IFERROR(VALUE(SUBSTITUTE(SUBSTITUTE(TRIM(Raw_Data!D161),"₹",""),",","")),"")</f>
        <v>899</v>
      </c>
      <c r="F161" s="12">
        <f>IFERROR(VALUE(SUBSTITUTE(Raw_Data!E161,"%",""))/100,"")</f>
        <v>0.56000000000000005</v>
      </c>
      <c r="G161" s="13">
        <f>IFERROR(VALUE(Raw_Data!F161),"")</f>
        <v>3.9</v>
      </c>
      <c r="H161" s="14">
        <f>IFERROR(VALUE(SUBSTITUTE(Raw_Data!G161,",","")),"")</f>
        <v>254</v>
      </c>
      <c r="I161" s="11">
        <f t="shared" si="8"/>
        <v>500</v>
      </c>
      <c r="J161" s="11">
        <f t="shared" si="9"/>
        <v>101346</v>
      </c>
      <c r="K161" s="1">
        <f t="shared" si="10"/>
        <v>254.00001610000001</v>
      </c>
      <c r="L161" s="15">
        <f t="shared" si="11"/>
        <v>0.56001610000000002</v>
      </c>
    </row>
    <row r="162" spans="1:12" ht="15" customHeight="1" x14ac:dyDescent="0.25">
      <c r="A162" s="10" t="str">
        <f>Raw_Data!A162</f>
        <v>AmazonBasics Digital Optical Coax to Analog RCA Audio Converter Adapter with Fiber Cable</v>
      </c>
      <c r="B162" s="10" t="str">
        <f>IFERROR(TRIM(LEFT(Raw_Data!A162,FIND(" ",Raw_Data!A162)-1)),Raw_Data!A162)</f>
        <v>AmazonBasics</v>
      </c>
      <c r="C162" s="10" t="str">
        <f>IFERROR(LEFT(Raw_Data!B162,FIND("|",Raw_Data!B162)-1),Raw_Data!B162)</f>
        <v>Electronics</v>
      </c>
      <c r="D162" s="11">
        <f>IFERROR(VALUE(SUBSTITUTE(SUBSTITUTE(TRIM(Raw_Data!C162),"₹",""),",","")),"")</f>
        <v>1089</v>
      </c>
      <c r="E162" s="11">
        <f>IFERROR(VALUE(SUBSTITUTE(SUBSTITUTE(TRIM(Raw_Data!D162),"₹",""),",","")),"")</f>
        <v>1600</v>
      </c>
      <c r="F162" s="12">
        <f>IFERROR(VALUE(SUBSTITUTE(Raw_Data!E162,"%",""))/100,"")</f>
        <v>0.32</v>
      </c>
      <c r="G162" s="13">
        <f>IFERROR(VALUE(Raw_Data!F162),"")</f>
        <v>4</v>
      </c>
      <c r="H162" s="14">
        <f>IFERROR(VALUE(SUBSTITUTE(Raw_Data!G162,",","")),"")</f>
        <v>3565</v>
      </c>
      <c r="I162" s="11">
        <f t="shared" si="8"/>
        <v>511</v>
      </c>
      <c r="J162" s="11">
        <f t="shared" si="9"/>
        <v>3882285</v>
      </c>
      <c r="K162" s="1">
        <f t="shared" si="10"/>
        <v>3565.0000162000001</v>
      </c>
      <c r="L162" s="15">
        <f t="shared" si="11"/>
        <v>0.32001620000000003</v>
      </c>
    </row>
    <row r="163" spans="1:12" ht="15" customHeight="1" x14ac:dyDescent="0.25">
      <c r="A163" s="10" t="str">
        <f>Raw_Data!A163</f>
        <v>Wayona Type C Cable Nylon Braided USB C QC 3.0 Fast Charging Short Power Bank Cable for Samsung Galaxy S10e/S10+/S10/S9/S9+/Note 9/S8/Note 8, LG G7 G5 G6, Moto G6 G7 (0.25M, Black)</v>
      </c>
      <c r="B163" s="10" t="str">
        <f>IFERROR(TRIM(LEFT(Raw_Data!A163,FIND(" ",Raw_Data!A163)-1)),Raw_Data!A163)</f>
        <v>Wayona</v>
      </c>
      <c r="C163" s="10" t="str">
        <f>IFERROR(LEFT(Raw_Data!B163,FIND("|",Raw_Data!B163)-1),Raw_Data!B163)</f>
        <v>Computers&amp;Accessories</v>
      </c>
      <c r="D163" s="11">
        <f>IFERROR(VALUE(SUBSTITUTE(SUBSTITUTE(TRIM(Raw_Data!C163),"₹",""),",","")),"")</f>
        <v>339</v>
      </c>
      <c r="E163" s="11">
        <f>IFERROR(VALUE(SUBSTITUTE(SUBSTITUTE(TRIM(Raw_Data!D163),"₹",""),",","")),"")</f>
        <v>999</v>
      </c>
      <c r="F163" s="12">
        <f>IFERROR(VALUE(SUBSTITUTE(Raw_Data!E163,"%",""))/100,"")</f>
        <v>0.66</v>
      </c>
      <c r="G163" s="13">
        <f>IFERROR(VALUE(Raw_Data!F163),"")</f>
        <v>4.3</v>
      </c>
      <c r="H163" s="14">
        <f>IFERROR(VALUE(SUBSTITUTE(Raw_Data!G163,",","")),"")</f>
        <v>6255</v>
      </c>
      <c r="I163" s="11">
        <f t="shared" si="8"/>
        <v>660</v>
      </c>
      <c r="J163" s="11">
        <f t="shared" si="9"/>
        <v>2120445</v>
      </c>
      <c r="K163" s="1">
        <f t="shared" si="10"/>
        <v>6255.0000163000004</v>
      </c>
      <c r="L163" s="15">
        <f t="shared" si="11"/>
        <v>0.6600163</v>
      </c>
    </row>
    <row r="164" spans="1:12" ht="15" customHeight="1" x14ac:dyDescent="0.25">
      <c r="A164" s="10" t="str">
        <f>Raw_Data!A164</f>
        <v>Pinnaclz Original Combo of 2 USB Type C Fast Charging Cable, USB C Data Cable for Charging and Data Transfer Smart Phones White 1.2 Meter Made in India (Pack of 2)</v>
      </c>
      <c r="B164" s="10" t="str">
        <f>IFERROR(TRIM(LEFT(Raw_Data!A164,FIND(" ",Raw_Data!A164)-1)),Raw_Data!A164)</f>
        <v>Pinnaclz</v>
      </c>
      <c r="C164" s="10" t="str">
        <f>IFERROR(LEFT(Raw_Data!B164,FIND("|",Raw_Data!B164)-1),Raw_Data!B164)</f>
        <v>Computers&amp;Accessories</v>
      </c>
      <c r="D164" s="11">
        <f>IFERROR(VALUE(SUBSTITUTE(SUBSTITUTE(TRIM(Raw_Data!C164),"₹",""),",","")),"")</f>
        <v>149</v>
      </c>
      <c r="E164" s="11">
        <f>IFERROR(VALUE(SUBSTITUTE(SUBSTITUTE(TRIM(Raw_Data!D164),"₹",""),",","")),"")</f>
        <v>499</v>
      </c>
      <c r="F164" s="12">
        <f>IFERROR(VALUE(SUBSTITUTE(Raw_Data!E164,"%",""))/100,"")</f>
        <v>0.7</v>
      </c>
      <c r="G164" s="13">
        <f>IFERROR(VALUE(Raw_Data!F164),"")</f>
        <v>4</v>
      </c>
      <c r="H164" s="14">
        <f>IFERROR(VALUE(SUBSTITUTE(Raw_Data!G164,",","")),"")</f>
        <v>7732</v>
      </c>
      <c r="I164" s="11">
        <f t="shared" si="8"/>
        <v>350</v>
      </c>
      <c r="J164" s="11">
        <f t="shared" si="9"/>
        <v>1152068</v>
      </c>
      <c r="K164" s="1">
        <f t="shared" si="10"/>
        <v>7732.0000164000003</v>
      </c>
      <c r="L164" s="15">
        <f t="shared" si="11"/>
        <v>0.70001639999999998</v>
      </c>
    </row>
    <row r="165" spans="1:12" ht="15" customHeight="1" x14ac:dyDescent="0.25">
      <c r="A165" s="10" t="str">
        <f>Raw_Data!A165</f>
        <v>Ambrane BCL-15 Lightning Cable for Smartphone (1.5m Black)</v>
      </c>
      <c r="B165" s="10" t="str">
        <f>IFERROR(TRIM(LEFT(Raw_Data!A165,FIND(" ",Raw_Data!A165)-1)),Raw_Data!A165)</f>
        <v>Ambrane</v>
      </c>
      <c r="C165" s="10" t="str">
        <f>IFERROR(LEFT(Raw_Data!B165,FIND("|",Raw_Data!B165)-1),Raw_Data!B165)</f>
        <v>Computers&amp;Accessories</v>
      </c>
      <c r="D165" s="11">
        <f>IFERROR(VALUE(SUBSTITUTE(SUBSTITUTE(TRIM(Raw_Data!C165),"₹",""),",","")),"")</f>
        <v>149</v>
      </c>
      <c r="E165" s="11">
        <f>IFERROR(VALUE(SUBSTITUTE(SUBSTITUTE(TRIM(Raw_Data!D165),"₹",""),",","")),"")</f>
        <v>399</v>
      </c>
      <c r="F165" s="12">
        <f>IFERROR(VALUE(SUBSTITUTE(Raw_Data!E165,"%",""))/100,"")</f>
        <v>0.63</v>
      </c>
      <c r="G165" s="13">
        <f>IFERROR(VALUE(Raw_Data!F165),"")</f>
        <v>3.9</v>
      </c>
      <c r="H165" s="14">
        <f>IFERROR(VALUE(SUBSTITUTE(Raw_Data!G165,",","")),"")</f>
        <v>57</v>
      </c>
      <c r="I165" s="11">
        <f t="shared" si="8"/>
        <v>250</v>
      </c>
      <c r="J165" s="11">
        <f t="shared" si="9"/>
        <v>8493</v>
      </c>
      <c r="K165" s="1">
        <f t="shared" si="10"/>
        <v>57.000016500000001</v>
      </c>
      <c r="L165" s="15">
        <f t="shared" si="11"/>
        <v>0.63001649999999998</v>
      </c>
    </row>
    <row r="166" spans="1:12" ht="15" customHeight="1" x14ac:dyDescent="0.25">
      <c r="A166" s="10" t="str">
        <f>Raw_Data!A166</f>
        <v>Belkin USB C to USB-C Fast Charging Type C Cable, 60W PD, 3.3 feet (1 meter) for Laptop, Personal Computer, Tablet, Smartphone - Black, USB-IF Certified</v>
      </c>
      <c r="B166" s="10" t="str">
        <f>IFERROR(TRIM(LEFT(Raw_Data!A166,FIND(" ",Raw_Data!A166)-1)),Raw_Data!A166)</f>
        <v>Belkin</v>
      </c>
      <c r="C166" s="10" t="str">
        <f>IFERROR(LEFT(Raw_Data!B166,FIND("|",Raw_Data!B166)-1),Raw_Data!B166)</f>
        <v>Computers&amp;Accessories</v>
      </c>
      <c r="D166" s="11">
        <f>IFERROR(VALUE(SUBSTITUTE(SUBSTITUTE(TRIM(Raw_Data!C166),"₹",""),",","")),"")</f>
        <v>599</v>
      </c>
      <c r="E166" s="11">
        <f>IFERROR(VALUE(SUBSTITUTE(SUBSTITUTE(TRIM(Raw_Data!D166),"₹",""),",","")),"")</f>
        <v>849</v>
      </c>
      <c r="F166" s="12">
        <f>IFERROR(VALUE(SUBSTITUTE(Raw_Data!E166,"%",""))/100,"")</f>
        <v>0.28999999999999998</v>
      </c>
      <c r="G166" s="13">
        <f>IFERROR(VALUE(Raw_Data!F166),"")</f>
        <v>4.5</v>
      </c>
      <c r="H166" s="14">
        <f>IFERROR(VALUE(SUBSTITUTE(Raw_Data!G166,",","")),"")</f>
        <v>577</v>
      </c>
      <c r="I166" s="11">
        <f t="shared" si="8"/>
        <v>250</v>
      </c>
      <c r="J166" s="11">
        <f t="shared" si="9"/>
        <v>345623</v>
      </c>
      <c r="K166" s="1">
        <f t="shared" si="10"/>
        <v>577.00001659999998</v>
      </c>
      <c r="L166" s="15">
        <f t="shared" si="11"/>
        <v>0.29001659999999996</v>
      </c>
    </row>
    <row r="167" spans="1:12" ht="15" customHeight="1" x14ac:dyDescent="0.25">
      <c r="A167" s="10" t="str">
        <f>Raw_Data!A167</f>
        <v>LOHAYA Television Remote Compatible with Samsung Smart LED/LCD/HD TV Remote Control [ Compatible for All Samsung Tv Remote Control ]</v>
      </c>
      <c r="B167" s="10" t="str">
        <f>IFERROR(TRIM(LEFT(Raw_Data!A167,FIND(" ",Raw_Data!A167)-1)),Raw_Data!A167)</f>
        <v>LOHAYA</v>
      </c>
      <c r="C167" s="10" t="str">
        <f>IFERROR(LEFT(Raw_Data!B167,FIND("|",Raw_Data!B167)-1),Raw_Data!B167)</f>
        <v>Electronics</v>
      </c>
      <c r="D167" s="11">
        <f>IFERROR(VALUE(SUBSTITUTE(SUBSTITUTE(TRIM(Raw_Data!C167),"₹",""),",","")),"")</f>
        <v>299</v>
      </c>
      <c r="E167" s="11">
        <f>IFERROR(VALUE(SUBSTITUTE(SUBSTITUTE(TRIM(Raw_Data!D167),"₹",""),",","")),"")</f>
        <v>1199</v>
      </c>
      <c r="F167" s="12">
        <f>IFERROR(VALUE(SUBSTITUTE(Raw_Data!E167,"%",""))/100,"")</f>
        <v>0.75</v>
      </c>
      <c r="G167" s="13">
        <f>IFERROR(VALUE(Raw_Data!F167),"")</f>
        <v>3.9</v>
      </c>
      <c r="H167" s="14">
        <f>IFERROR(VALUE(SUBSTITUTE(Raw_Data!G167,",","")),"")</f>
        <v>1193</v>
      </c>
      <c r="I167" s="11">
        <f t="shared" si="8"/>
        <v>900</v>
      </c>
      <c r="J167" s="11">
        <f t="shared" si="9"/>
        <v>356707</v>
      </c>
      <c r="K167" s="1">
        <f t="shared" si="10"/>
        <v>1193.0000167000001</v>
      </c>
      <c r="L167" s="15">
        <f t="shared" si="11"/>
        <v>0.75001669999999998</v>
      </c>
    </row>
    <row r="168" spans="1:12" ht="15" customHeight="1" x14ac:dyDescent="0.25">
      <c r="A168" s="10" t="str">
        <f>Raw_Data!A168</f>
        <v>Wayona Nylon Braided Lightning USB Data Sync &amp; 3A Charging Cable for iPhones, iPad Air, iPad Mini, iPod Nano and iPod Touch (3 FT Pack of 1, Grey)</v>
      </c>
      <c r="B168" s="10" t="str">
        <f>IFERROR(TRIM(LEFT(Raw_Data!A168,FIND(" ",Raw_Data!A168)-1)),Raw_Data!A168)</f>
        <v>Wayona</v>
      </c>
      <c r="C168" s="10" t="str">
        <f>IFERROR(LEFT(Raw_Data!B168,FIND("|",Raw_Data!B168)-1),Raw_Data!B168)</f>
        <v>Computers&amp;Accessories</v>
      </c>
      <c r="D168" s="11">
        <f>IFERROR(VALUE(SUBSTITUTE(SUBSTITUTE(TRIM(Raw_Data!C168),"₹",""),",","")),"")</f>
        <v>399</v>
      </c>
      <c r="E168" s="11">
        <f>IFERROR(VALUE(SUBSTITUTE(SUBSTITUTE(TRIM(Raw_Data!D168),"₹",""),",","")),"")</f>
        <v>1299</v>
      </c>
      <c r="F168" s="12">
        <f>IFERROR(VALUE(SUBSTITUTE(Raw_Data!E168,"%",""))/100,"")</f>
        <v>0.69</v>
      </c>
      <c r="G168" s="13">
        <f>IFERROR(VALUE(Raw_Data!F168),"")</f>
        <v>4.2</v>
      </c>
      <c r="H168" s="14">
        <f>IFERROR(VALUE(SUBSTITUTE(Raw_Data!G168,",","")),"")</f>
        <v>13120</v>
      </c>
      <c r="I168" s="11">
        <f t="shared" si="8"/>
        <v>900</v>
      </c>
      <c r="J168" s="11">
        <f t="shared" si="9"/>
        <v>5234880</v>
      </c>
      <c r="K168" s="1">
        <f t="shared" si="10"/>
        <v>13120.000016800001</v>
      </c>
      <c r="L168" s="15">
        <f t="shared" si="11"/>
        <v>0.69001679999999999</v>
      </c>
    </row>
    <row r="169" spans="1:12" ht="15" customHeight="1" x14ac:dyDescent="0.25">
      <c r="A169" s="10" t="str">
        <f>Raw_Data!A169</f>
        <v>Electvision Remote Control Compatible with Kodak/Thomson Smart led tv (Without Voice) Before Placing Order for verification Contact Our coustmer Care 7738090464</v>
      </c>
      <c r="B169" s="10" t="str">
        <f>IFERROR(TRIM(LEFT(Raw_Data!A169,FIND(" ",Raw_Data!A169)-1)),Raw_Data!A169)</f>
        <v>Electvision</v>
      </c>
      <c r="C169" s="10" t="str">
        <f>IFERROR(LEFT(Raw_Data!B169,FIND("|",Raw_Data!B169)-1),Raw_Data!B169)</f>
        <v>Electronics</v>
      </c>
      <c r="D169" s="11">
        <f>IFERROR(VALUE(SUBSTITUTE(SUBSTITUTE(TRIM(Raw_Data!C169),"₹",""),",","")),"")</f>
        <v>339</v>
      </c>
      <c r="E169" s="11">
        <f>IFERROR(VALUE(SUBSTITUTE(SUBSTITUTE(TRIM(Raw_Data!D169),"₹",""),",","")),"")</f>
        <v>1999</v>
      </c>
      <c r="F169" s="12">
        <f>IFERROR(VALUE(SUBSTITUTE(Raw_Data!E169,"%",""))/100,"")</f>
        <v>0.83</v>
      </c>
      <c r="G169" s="13">
        <f>IFERROR(VALUE(Raw_Data!F169),"")</f>
        <v>4</v>
      </c>
      <c r="H169" s="14">
        <f>IFERROR(VALUE(SUBSTITUTE(Raw_Data!G169,",","")),"")</f>
        <v>343</v>
      </c>
      <c r="I169" s="11">
        <f t="shared" si="8"/>
        <v>1660</v>
      </c>
      <c r="J169" s="11">
        <f t="shared" si="9"/>
        <v>116277</v>
      </c>
      <c r="K169" s="1">
        <f t="shared" si="10"/>
        <v>343.00001689999999</v>
      </c>
      <c r="L169" s="15">
        <f t="shared" si="11"/>
        <v>0.83001689999999995</v>
      </c>
    </row>
    <row r="170" spans="1:12" ht="15" customHeight="1" x14ac:dyDescent="0.25">
      <c r="A170" s="10" t="str">
        <f>Raw_Data!A170</f>
        <v>Acer 80 cm (32 inches) S Series HD Ready Android Smart LED TV AR32AR2841HDSB (Black)</v>
      </c>
      <c r="B170" s="10" t="str">
        <f>IFERROR(TRIM(LEFT(Raw_Data!A170,FIND(" ",Raw_Data!A170)-1)),Raw_Data!A170)</f>
        <v>Acer</v>
      </c>
      <c r="C170" s="10" t="str">
        <f>IFERROR(LEFT(Raw_Data!B170,FIND("|",Raw_Data!B170)-1),Raw_Data!B170)</f>
        <v>Electronics</v>
      </c>
      <c r="D170" s="11">
        <f>IFERROR(VALUE(SUBSTITUTE(SUBSTITUTE(TRIM(Raw_Data!C170),"₹",""),",","")),"")</f>
        <v>12499</v>
      </c>
      <c r="E170" s="11">
        <f>IFERROR(VALUE(SUBSTITUTE(SUBSTITUTE(TRIM(Raw_Data!D170),"₹",""),",","")),"")</f>
        <v>22990</v>
      </c>
      <c r="F170" s="12">
        <f>IFERROR(VALUE(SUBSTITUTE(Raw_Data!E170,"%",""))/100,"")</f>
        <v>0.46</v>
      </c>
      <c r="G170" s="13">
        <f>IFERROR(VALUE(Raw_Data!F170),"")</f>
        <v>4.3</v>
      </c>
      <c r="H170" s="14">
        <f>IFERROR(VALUE(SUBSTITUTE(Raw_Data!G170,",","")),"")</f>
        <v>1611</v>
      </c>
      <c r="I170" s="11">
        <f t="shared" si="8"/>
        <v>10491</v>
      </c>
      <c r="J170" s="11">
        <f t="shared" si="9"/>
        <v>20135889</v>
      </c>
      <c r="K170" s="1">
        <f t="shared" si="10"/>
        <v>1611.0000170000001</v>
      </c>
      <c r="L170" s="15">
        <f t="shared" si="11"/>
        <v>0.46001700000000001</v>
      </c>
    </row>
    <row r="171" spans="1:12" ht="15" customHeight="1" x14ac:dyDescent="0.25">
      <c r="A171" s="10" t="str">
        <f>Raw_Data!A171</f>
        <v>realme 10W Fast Charging Micro-USB Cable (Braided, Black)</v>
      </c>
      <c r="B171" s="10" t="str">
        <f>IFERROR(TRIM(LEFT(Raw_Data!A171,FIND(" ",Raw_Data!A171)-1)),Raw_Data!A171)</f>
        <v>realme</v>
      </c>
      <c r="C171" s="10" t="str">
        <f>IFERROR(LEFT(Raw_Data!B171,FIND("|",Raw_Data!B171)-1),Raw_Data!B171)</f>
        <v>Computers&amp;Accessories</v>
      </c>
      <c r="D171" s="11">
        <f>IFERROR(VALUE(SUBSTITUTE(SUBSTITUTE(TRIM(Raw_Data!C171),"₹",""),",","")),"")</f>
        <v>249</v>
      </c>
      <c r="E171" s="11">
        <f>IFERROR(VALUE(SUBSTITUTE(SUBSTITUTE(TRIM(Raw_Data!D171),"₹",""),",","")),"")</f>
        <v>399</v>
      </c>
      <c r="F171" s="12">
        <f>IFERROR(VALUE(SUBSTITUTE(Raw_Data!E171,"%",""))/100,"")</f>
        <v>0.38</v>
      </c>
      <c r="G171" s="13">
        <f>IFERROR(VALUE(Raw_Data!F171),"")</f>
        <v>4</v>
      </c>
      <c r="H171" s="14">
        <f>IFERROR(VALUE(SUBSTITUTE(Raw_Data!G171,",","")),"")</f>
        <v>6558</v>
      </c>
      <c r="I171" s="11">
        <f t="shared" si="8"/>
        <v>150</v>
      </c>
      <c r="J171" s="11">
        <f t="shared" si="9"/>
        <v>1632942</v>
      </c>
      <c r="K171" s="1">
        <f t="shared" si="10"/>
        <v>6558.0000171000002</v>
      </c>
      <c r="L171" s="15">
        <f t="shared" si="11"/>
        <v>0.3800171</v>
      </c>
    </row>
    <row r="172" spans="1:12" ht="15" customHeight="1" x14ac:dyDescent="0.25">
      <c r="A172" s="10" t="str">
        <f>Raw_Data!A172</f>
        <v>TP-Link AC1300 USB WiFi Adapter (Archer T3U) - 2.4G/5G Dual Band Mini Wireless Network Adapter for PC Desktop, MU-MIMO Wi-Fi Dongle, USB 3.0, Supports Windows 11,10, 8.1, 8, 7, XP/Mac OS 10.15 and earlier</v>
      </c>
      <c r="B172" s="10" t="str">
        <f>IFERROR(TRIM(LEFT(Raw_Data!A172,FIND(" ",Raw_Data!A172)-1)),Raw_Data!A172)</f>
        <v>TP-Link</v>
      </c>
      <c r="C172" s="10" t="str">
        <f>IFERROR(LEFT(Raw_Data!B172,FIND("|",Raw_Data!B172)-1),Raw_Data!B172)</f>
        <v>Computers&amp;Accessories</v>
      </c>
      <c r="D172" s="11">
        <f>IFERROR(VALUE(SUBSTITUTE(SUBSTITUTE(TRIM(Raw_Data!C172),"₹",""),",","")),"")</f>
        <v>1399</v>
      </c>
      <c r="E172" s="11">
        <f>IFERROR(VALUE(SUBSTITUTE(SUBSTITUTE(TRIM(Raw_Data!D172),"₹",""),",","")),"")</f>
        <v>2499</v>
      </c>
      <c r="F172" s="12">
        <f>IFERROR(VALUE(SUBSTITUTE(Raw_Data!E172,"%",""))/100,"")</f>
        <v>0.44</v>
      </c>
      <c r="G172" s="13">
        <f>IFERROR(VALUE(Raw_Data!F172),"")</f>
        <v>4.4000000000000004</v>
      </c>
      <c r="H172" s="14">
        <f>IFERROR(VALUE(SUBSTITUTE(Raw_Data!G172,",","")),"")</f>
        <v>23169</v>
      </c>
      <c r="I172" s="11">
        <f t="shared" si="8"/>
        <v>1100</v>
      </c>
      <c r="J172" s="11">
        <f t="shared" si="9"/>
        <v>32413431</v>
      </c>
      <c r="K172" s="1">
        <f t="shared" si="10"/>
        <v>23169.0000172</v>
      </c>
      <c r="L172" s="15">
        <f t="shared" si="11"/>
        <v>0.4400172</v>
      </c>
    </row>
    <row r="173" spans="1:12" ht="15" customHeight="1" x14ac:dyDescent="0.25">
      <c r="A173" s="10" t="str">
        <f>Raw_Data!A173</f>
        <v>Acer 139 cm (55 inches) I Series 4K Ultra HD Android Smart LED TV AR55AR2851UDFL (Black)</v>
      </c>
      <c r="B173" s="10" t="str">
        <f>IFERROR(TRIM(LEFT(Raw_Data!A173,FIND(" ",Raw_Data!A173)-1)),Raw_Data!A173)</f>
        <v>Acer</v>
      </c>
      <c r="C173" s="10" t="str">
        <f>IFERROR(LEFT(Raw_Data!B173,FIND("|",Raw_Data!B173)-1),Raw_Data!B173)</f>
        <v>Electronics</v>
      </c>
      <c r="D173" s="11">
        <f>IFERROR(VALUE(SUBSTITUTE(SUBSTITUTE(TRIM(Raw_Data!C173),"₹",""),",","")),"")</f>
        <v>32999</v>
      </c>
      <c r="E173" s="11">
        <f>IFERROR(VALUE(SUBSTITUTE(SUBSTITUTE(TRIM(Raw_Data!D173),"₹",""),",","")),"")</f>
        <v>47990</v>
      </c>
      <c r="F173" s="12">
        <f>IFERROR(VALUE(SUBSTITUTE(Raw_Data!E173,"%",""))/100,"")</f>
        <v>0.31</v>
      </c>
      <c r="G173" s="13">
        <f>IFERROR(VALUE(Raw_Data!F173),"")</f>
        <v>4.3</v>
      </c>
      <c r="H173" s="14">
        <f>IFERROR(VALUE(SUBSTITUTE(Raw_Data!G173,",","")),"")</f>
        <v>4703</v>
      </c>
      <c r="I173" s="11">
        <f t="shared" si="8"/>
        <v>14991</v>
      </c>
      <c r="J173" s="11">
        <f t="shared" si="9"/>
        <v>155194297</v>
      </c>
      <c r="K173" s="1">
        <f t="shared" si="10"/>
        <v>4703.0000172999999</v>
      </c>
      <c r="L173" s="15">
        <f t="shared" si="11"/>
        <v>0.3100173</v>
      </c>
    </row>
    <row r="174" spans="1:12" ht="15" customHeight="1" x14ac:dyDescent="0.25">
      <c r="A174" s="10" t="str">
        <f>Raw_Data!A174</f>
        <v>Ambrane 60W / 3A Fast Charging Output Cable with Micro to USB for Mobile, Neckband, True Wireless Earphone Charging, 480mbps Data Sync Speed, 1m Length (ACM - AZ1, Black)</v>
      </c>
      <c r="B174" s="10" t="str">
        <f>IFERROR(TRIM(LEFT(Raw_Data!A174,FIND(" ",Raw_Data!A174)-1)),Raw_Data!A174)</f>
        <v>Ambrane</v>
      </c>
      <c r="C174" s="10" t="str">
        <f>IFERROR(LEFT(Raw_Data!B174,FIND("|",Raw_Data!B174)-1),Raw_Data!B174)</f>
        <v>Computers&amp;Accessories</v>
      </c>
      <c r="D174" s="11">
        <f>IFERROR(VALUE(SUBSTITUTE(SUBSTITUTE(TRIM(Raw_Data!C174),"₹",""),",","")),"")</f>
        <v>149</v>
      </c>
      <c r="E174" s="11">
        <f>IFERROR(VALUE(SUBSTITUTE(SUBSTITUTE(TRIM(Raw_Data!D174),"₹",""),",","")),"")</f>
        <v>399</v>
      </c>
      <c r="F174" s="12">
        <f>IFERROR(VALUE(SUBSTITUTE(Raw_Data!E174,"%",""))/100,"")</f>
        <v>0.63</v>
      </c>
      <c r="G174" s="13">
        <f>IFERROR(VALUE(Raw_Data!F174),"")</f>
        <v>4</v>
      </c>
      <c r="H174" s="14">
        <f>IFERROR(VALUE(SUBSTITUTE(Raw_Data!G174,",","")),"")</f>
        <v>1423</v>
      </c>
      <c r="I174" s="11">
        <f t="shared" si="8"/>
        <v>250</v>
      </c>
      <c r="J174" s="11">
        <f t="shared" si="9"/>
        <v>212027</v>
      </c>
      <c r="K174" s="1">
        <f t="shared" si="10"/>
        <v>1423.0000173999999</v>
      </c>
      <c r="L174" s="15">
        <f t="shared" si="11"/>
        <v>0.63001739999999995</v>
      </c>
    </row>
    <row r="175" spans="1:12" ht="15" customHeight="1" x14ac:dyDescent="0.25">
      <c r="A175" s="10" t="str">
        <f>Raw_Data!A175</f>
        <v>Wayona USB Type C 65W Fast Charging 2M/6Ft Long Flash Charge Cable 3A QC 3.0 Data Cable Compatible with Samsung Galaxy S21 S10 S9 S8, iQOO Z3, Vivo, Note 10 9 8, A20e A40 A50 A70, Moto G7 G8 (2M, Grey)</v>
      </c>
      <c r="B175" s="10" t="str">
        <f>IFERROR(TRIM(LEFT(Raw_Data!A175,FIND(" ",Raw_Data!A175)-1)),Raw_Data!A175)</f>
        <v>Wayona</v>
      </c>
      <c r="C175" s="10" t="str">
        <f>IFERROR(LEFT(Raw_Data!B175,FIND("|",Raw_Data!B175)-1),Raw_Data!B175)</f>
        <v>Computers&amp;Accessories</v>
      </c>
      <c r="D175" s="11">
        <f>IFERROR(VALUE(SUBSTITUTE(SUBSTITUTE(TRIM(Raw_Data!C175),"₹",""),",","")),"")</f>
        <v>325</v>
      </c>
      <c r="E175" s="11">
        <f>IFERROR(VALUE(SUBSTITUTE(SUBSTITUTE(TRIM(Raw_Data!D175),"₹",""),",","")),"")</f>
        <v>999</v>
      </c>
      <c r="F175" s="12">
        <f>IFERROR(VALUE(SUBSTITUTE(Raw_Data!E175,"%",""))/100,"")</f>
        <v>0.67</v>
      </c>
      <c r="G175" s="13">
        <f>IFERROR(VALUE(Raw_Data!F175),"")</f>
        <v>4.3</v>
      </c>
      <c r="H175" s="14">
        <f>IFERROR(VALUE(SUBSTITUTE(Raw_Data!G175,",","")),"")</f>
        <v>2651</v>
      </c>
      <c r="I175" s="11">
        <f t="shared" si="8"/>
        <v>674</v>
      </c>
      <c r="J175" s="11">
        <f t="shared" si="9"/>
        <v>861575</v>
      </c>
      <c r="K175" s="1">
        <f t="shared" si="10"/>
        <v>2651.0000175</v>
      </c>
      <c r="L175" s="15">
        <f t="shared" si="11"/>
        <v>0.67001750000000004</v>
      </c>
    </row>
    <row r="176" spans="1:12" ht="15" customHeight="1" x14ac:dyDescent="0.25">
      <c r="A176" s="10" t="str">
        <f>Raw_Data!A176</f>
        <v>Syncwire LTG to USB Cable for Fast Charging Compatible with Phone 5/ 5C/ 5S/ 6/ 6S/ 7/8/ X/XR/XS Max/ 11/12/ 13 Series and Pad Air/Mini, Pod &amp; Other Devices (1.1 Meter, White)</v>
      </c>
      <c r="B176" s="10" t="str">
        <f>IFERROR(TRIM(LEFT(Raw_Data!A176,FIND(" ",Raw_Data!A176)-1)),Raw_Data!A176)</f>
        <v>Syncwire</v>
      </c>
      <c r="C176" s="10" t="str">
        <f>IFERROR(LEFT(Raw_Data!B176,FIND("|",Raw_Data!B176)-1),Raw_Data!B176)</f>
        <v>Computers&amp;Accessories</v>
      </c>
      <c r="D176" s="11">
        <f>IFERROR(VALUE(SUBSTITUTE(SUBSTITUTE(TRIM(Raw_Data!C176),"₹",""),",","")),"")</f>
        <v>399</v>
      </c>
      <c r="E176" s="11">
        <f>IFERROR(VALUE(SUBSTITUTE(SUBSTITUTE(TRIM(Raw_Data!D176),"₹",""),",","")),"")</f>
        <v>1999</v>
      </c>
      <c r="F176" s="12">
        <f>IFERROR(VALUE(SUBSTITUTE(Raw_Data!E176,"%",""))/100,"")</f>
        <v>0.8</v>
      </c>
      <c r="G176" s="13">
        <f>IFERROR(VALUE(Raw_Data!F176),"")</f>
        <v>5</v>
      </c>
      <c r="H176" s="14">
        <f>IFERROR(VALUE(SUBSTITUTE(Raw_Data!G176,",","")),"")</f>
        <v>5</v>
      </c>
      <c r="I176" s="11">
        <f t="shared" si="8"/>
        <v>1600</v>
      </c>
      <c r="J176" s="11">
        <f t="shared" si="9"/>
        <v>1995</v>
      </c>
      <c r="K176" s="1">
        <f t="shared" si="10"/>
        <v>5.0000175999999996</v>
      </c>
      <c r="L176" s="15">
        <f t="shared" si="11"/>
        <v>0.8000176</v>
      </c>
    </row>
    <row r="177" spans="1:12" ht="15" customHeight="1" x14ac:dyDescent="0.25">
      <c r="A177" s="10" t="str">
        <f>Raw_Data!A177</f>
        <v>Skadioo WiFi Adapter for pc | Car Accessories, WiFi Dongle for pc | USB WiFi Adapter for pc | Wi-Fi Receiver 2.4GHz, 802.11b/g/n UNano Size WiFi Dongle Compatible Adapter,WiFi dongle for pc</v>
      </c>
      <c r="B177" s="10" t="str">
        <f>IFERROR(TRIM(LEFT(Raw_Data!A177,FIND(" ",Raw_Data!A177)-1)),Raw_Data!A177)</f>
        <v>Skadioo</v>
      </c>
      <c r="C177" s="10" t="str">
        <f>IFERROR(LEFT(Raw_Data!B177,FIND("|",Raw_Data!B177)-1),Raw_Data!B177)</f>
        <v>Computers&amp;Accessories</v>
      </c>
      <c r="D177" s="11">
        <f>IFERROR(VALUE(SUBSTITUTE(SUBSTITUTE(TRIM(Raw_Data!C177),"₹",""),",","")),"")</f>
        <v>199</v>
      </c>
      <c r="E177" s="11">
        <f>IFERROR(VALUE(SUBSTITUTE(SUBSTITUTE(TRIM(Raw_Data!D177),"₹",""),",","")),"")</f>
        <v>499</v>
      </c>
      <c r="F177" s="12">
        <f>IFERROR(VALUE(SUBSTITUTE(Raw_Data!E177,"%",""))/100,"")</f>
        <v>0.6</v>
      </c>
      <c r="G177" s="13">
        <f>IFERROR(VALUE(Raw_Data!F177),"")</f>
        <v>3.7</v>
      </c>
      <c r="H177" s="14">
        <f>IFERROR(VALUE(SUBSTITUTE(Raw_Data!G177,",","")),"")</f>
        <v>612</v>
      </c>
      <c r="I177" s="11">
        <f t="shared" si="8"/>
        <v>300</v>
      </c>
      <c r="J177" s="11">
        <f t="shared" si="9"/>
        <v>121788</v>
      </c>
      <c r="K177" s="1">
        <f t="shared" si="10"/>
        <v>612.00001769999994</v>
      </c>
      <c r="L177" s="15">
        <f t="shared" si="11"/>
        <v>0.60001769999999999</v>
      </c>
    </row>
    <row r="178" spans="1:12" ht="15" customHeight="1" x14ac:dyDescent="0.25">
      <c r="A178" s="10" t="str">
        <f>Raw_Data!A178</f>
        <v>FLiX (Beetel USB to Type C PVC Data Sync &amp; 15W(3A) TPE Fast Charging Cable, Made in India, 480Mbps Data Sync, 1 Meter Long cable for all Andriod &amp; all Type C Devices (Black)(XCD - FPC02)</v>
      </c>
      <c r="B178" s="10" t="str">
        <f>IFERROR(TRIM(LEFT(Raw_Data!A178,FIND(" ",Raw_Data!A178)-1)),Raw_Data!A178)</f>
        <v>FLiX</v>
      </c>
      <c r="C178" s="10" t="str">
        <f>IFERROR(LEFT(Raw_Data!B178,FIND("|",Raw_Data!B178)-1),Raw_Data!B178)</f>
        <v>Computers&amp;Accessories</v>
      </c>
      <c r="D178" s="11">
        <f>IFERROR(VALUE(SUBSTITUTE(SUBSTITUTE(TRIM(Raw_Data!C178),"₹",""),",","")),"")</f>
        <v>88</v>
      </c>
      <c r="E178" s="11">
        <f>IFERROR(VALUE(SUBSTITUTE(SUBSTITUTE(TRIM(Raw_Data!D178),"₹",""),",","")),"")</f>
        <v>299</v>
      </c>
      <c r="F178" s="12">
        <f>IFERROR(VALUE(SUBSTITUTE(Raw_Data!E178,"%",""))/100,"")</f>
        <v>0.71</v>
      </c>
      <c r="G178" s="13">
        <f>IFERROR(VALUE(Raw_Data!F178),"")</f>
        <v>4</v>
      </c>
      <c r="H178" s="14">
        <f>IFERROR(VALUE(SUBSTITUTE(Raw_Data!G178,",","")),"")</f>
        <v>9378</v>
      </c>
      <c r="I178" s="11">
        <f t="shared" si="8"/>
        <v>211</v>
      </c>
      <c r="J178" s="11">
        <f t="shared" si="9"/>
        <v>825264</v>
      </c>
      <c r="K178" s="1">
        <f t="shared" si="10"/>
        <v>9378.0000177999991</v>
      </c>
      <c r="L178" s="15">
        <f t="shared" si="11"/>
        <v>0.71001779999999992</v>
      </c>
    </row>
    <row r="179" spans="1:12" ht="15" customHeight="1" x14ac:dyDescent="0.25">
      <c r="A179" s="10" t="str">
        <f>Raw_Data!A179</f>
        <v>Zoul USB C to USB C Fast Charging Cable 65W Type C to Type C Nylon Braided Cord Compatible with Macbook Oneplus 9 10R Samsung Galaxy S22 S21 Ultra Z Flip3 Macbook Air/Pro M1 Google Pixel 11'' iPad Pro 2020/2018 (2M, Grey)</v>
      </c>
      <c r="B179" s="10" t="str">
        <f>IFERROR(TRIM(LEFT(Raw_Data!A179,FIND(" ",Raw_Data!A179)-1)),Raw_Data!A179)</f>
        <v>Zoul</v>
      </c>
      <c r="C179" s="10" t="str">
        <f>IFERROR(LEFT(Raw_Data!B179,FIND("|",Raw_Data!B179)-1),Raw_Data!B179)</f>
        <v>Computers&amp;Accessories</v>
      </c>
      <c r="D179" s="11">
        <f>IFERROR(VALUE(SUBSTITUTE(SUBSTITUTE(TRIM(Raw_Data!C179),"₹",""),",","")),"")</f>
        <v>399</v>
      </c>
      <c r="E179" s="11">
        <f>IFERROR(VALUE(SUBSTITUTE(SUBSTITUTE(TRIM(Raw_Data!D179),"₹",""),",","")),"")</f>
        <v>1099</v>
      </c>
      <c r="F179" s="12">
        <f>IFERROR(VALUE(SUBSTITUTE(Raw_Data!E179,"%",""))/100,"")</f>
        <v>0.64</v>
      </c>
      <c r="G179" s="13">
        <f>IFERROR(VALUE(Raw_Data!F179),"")</f>
        <v>4.0999999999999996</v>
      </c>
      <c r="H179" s="14">
        <f>IFERROR(VALUE(SUBSTITUTE(Raw_Data!G179,",","")),"")</f>
        <v>2685</v>
      </c>
      <c r="I179" s="11">
        <f t="shared" si="8"/>
        <v>700</v>
      </c>
      <c r="J179" s="11">
        <f t="shared" si="9"/>
        <v>1071315</v>
      </c>
      <c r="K179" s="1">
        <f t="shared" si="10"/>
        <v>2685.0000178999999</v>
      </c>
      <c r="L179" s="15">
        <f t="shared" si="11"/>
        <v>0.64001790000000003</v>
      </c>
    </row>
    <row r="180" spans="1:12" ht="15" customHeight="1" x14ac:dyDescent="0.25">
      <c r="A180" s="10" t="str">
        <f>Raw_Data!A180</f>
        <v>FLiX (Beetel Flow USB to Micro USB PVC Data Sync &amp; 12W(2.4A) Fast Charging Cable,Made in India,480Mbps Data Sync,Solid Cable,1 Meter Long cable for all Andriod &amp; Micro USB Devices (Black)(XCD-FPM01)</v>
      </c>
      <c r="B180" s="10" t="str">
        <f>IFERROR(TRIM(LEFT(Raw_Data!A180,FIND(" ",Raw_Data!A180)-1)),Raw_Data!A180)</f>
        <v>FLiX</v>
      </c>
      <c r="C180" s="10" t="str">
        <f>IFERROR(LEFT(Raw_Data!B180,FIND("|",Raw_Data!B180)-1),Raw_Data!B180)</f>
        <v>Computers&amp;Accessories</v>
      </c>
      <c r="D180" s="11">
        <f>IFERROR(VALUE(SUBSTITUTE(SUBSTITUTE(TRIM(Raw_Data!C180),"₹",""),",","")),"")</f>
        <v>57.89</v>
      </c>
      <c r="E180" s="11">
        <f>IFERROR(VALUE(SUBSTITUTE(SUBSTITUTE(TRIM(Raw_Data!D180),"₹",""),",","")),"")</f>
        <v>199</v>
      </c>
      <c r="F180" s="12">
        <f>IFERROR(VALUE(SUBSTITUTE(Raw_Data!E180,"%",""))/100,"")</f>
        <v>0.71</v>
      </c>
      <c r="G180" s="13">
        <f>IFERROR(VALUE(Raw_Data!F180),"")</f>
        <v>4</v>
      </c>
      <c r="H180" s="14">
        <f>IFERROR(VALUE(SUBSTITUTE(Raw_Data!G180,",","")),"")</f>
        <v>9378</v>
      </c>
      <c r="I180" s="11">
        <f t="shared" si="8"/>
        <v>141.11000000000001</v>
      </c>
      <c r="J180" s="11">
        <f t="shared" si="9"/>
        <v>542892.42000000004</v>
      </c>
      <c r="K180" s="1">
        <f t="shared" si="10"/>
        <v>9378.0000180000006</v>
      </c>
      <c r="L180" s="15">
        <f t="shared" si="11"/>
        <v>0.71001799999999993</v>
      </c>
    </row>
    <row r="181" spans="1:12" ht="15" customHeight="1" x14ac:dyDescent="0.25">
      <c r="A181" s="10" t="str">
        <f>Raw_Data!A181</f>
        <v>7SEVEN® Bluetooth Voice Command Remote for Xiaomi Redmi Mi Smart TV with Netflix &amp; Prime Video Hot Keys XMRM-00A</v>
      </c>
      <c r="B181" s="10" t="str">
        <f>IFERROR(TRIM(LEFT(Raw_Data!A181,FIND(" ",Raw_Data!A181)-1)),Raw_Data!A181)</f>
        <v>7SEVEN®</v>
      </c>
      <c r="C181" s="10" t="str">
        <f>IFERROR(LEFT(Raw_Data!B181,FIND("|",Raw_Data!B181)-1),Raw_Data!B181)</f>
        <v>Electronics</v>
      </c>
      <c r="D181" s="11">
        <f>IFERROR(VALUE(SUBSTITUTE(SUBSTITUTE(TRIM(Raw_Data!C181),"₹",""),",","")),"")</f>
        <v>799</v>
      </c>
      <c r="E181" s="11">
        <f>IFERROR(VALUE(SUBSTITUTE(SUBSTITUTE(TRIM(Raw_Data!D181),"₹",""),",","")),"")</f>
        <v>1999</v>
      </c>
      <c r="F181" s="12">
        <f>IFERROR(VALUE(SUBSTITUTE(Raw_Data!E181,"%",""))/100,"")</f>
        <v>0.6</v>
      </c>
      <c r="G181" s="13">
        <f>IFERROR(VALUE(Raw_Data!F181),"")</f>
        <v>3.3</v>
      </c>
      <c r="H181" s="14">
        <f>IFERROR(VALUE(SUBSTITUTE(Raw_Data!G181,",","")),"")</f>
        <v>576</v>
      </c>
      <c r="I181" s="11">
        <f t="shared" si="8"/>
        <v>1200</v>
      </c>
      <c r="J181" s="11">
        <f t="shared" si="9"/>
        <v>460224</v>
      </c>
      <c r="K181" s="1">
        <f t="shared" si="10"/>
        <v>576.00001810000003</v>
      </c>
      <c r="L181" s="15">
        <f t="shared" si="11"/>
        <v>0.6000181</v>
      </c>
    </row>
    <row r="182" spans="1:12" ht="15" customHeight="1" x14ac:dyDescent="0.25">
      <c r="A182" s="10" t="str">
        <f>Raw_Data!A182</f>
        <v>Sony TV - Remote Compatible for Sony LED Remote Control Works with Sony LED TV by Trend Trail Speed tech &amp; Remote hi Remote &amp; REO India only</v>
      </c>
      <c r="B182" s="10" t="str">
        <f>IFERROR(TRIM(LEFT(Raw_Data!A182,FIND(" ",Raw_Data!A182)-1)),Raw_Data!A182)</f>
        <v>Sony</v>
      </c>
      <c r="C182" s="10" t="str">
        <f>IFERROR(LEFT(Raw_Data!B182,FIND("|",Raw_Data!B182)-1),Raw_Data!B182)</f>
        <v>Electronics</v>
      </c>
      <c r="D182" s="11">
        <f>IFERROR(VALUE(SUBSTITUTE(SUBSTITUTE(TRIM(Raw_Data!C182),"₹",""),",","")),"")</f>
        <v>205</v>
      </c>
      <c r="E182" s="11">
        <f>IFERROR(VALUE(SUBSTITUTE(SUBSTITUTE(TRIM(Raw_Data!D182),"₹",""),",","")),"")</f>
        <v>499</v>
      </c>
      <c r="F182" s="12">
        <f>IFERROR(VALUE(SUBSTITUTE(Raw_Data!E182,"%",""))/100,"")</f>
        <v>0.59</v>
      </c>
      <c r="G182" s="13">
        <f>IFERROR(VALUE(Raw_Data!F182),"")</f>
        <v>3.8</v>
      </c>
      <c r="H182" s="14">
        <f>IFERROR(VALUE(SUBSTITUTE(Raw_Data!G182,",","")),"")</f>
        <v>313</v>
      </c>
      <c r="I182" s="11">
        <f t="shared" si="8"/>
        <v>294</v>
      </c>
      <c r="J182" s="11">
        <f t="shared" si="9"/>
        <v>64165</v>
      </c>
      <c r="K182" s="1">
        <f t="shared" si="10"/>
        <v>313.0000182</v>
      </c>
      <c r="L182" s="15">
        <f t="shared" si="11"/>
        <v>0.59001819999999994</v>
      </c>
    </row>
    <row r="183" spans="1:12" ht="15" customHeight="1" x14ac:dyDescent="0.25">
      <c r="A183" s="10" t="str">
        <f>Raw_Data!A183</f>
        <v>Storite USB 3.0 Cable A to Micro B high Speed Upto 5 Gbps Data Transfer Cable for Portable External Hard Drive - (20cm), Black</v>
      </c>
      <c r="B183" s="10" t="str">
        <f>IFERROR(TRIM(LEFT(Raw_Data!A183,FIND(" ",Raw_Data!A183)-1)),Raw_Data!A183)</f>
        <v>Storite</v>
      </c>
      <c r="C183" s="10" t="str">
        <f>IFERROR(LEFT(Raw_Data!B183,FIND("|",Raw_Data!B183)-1),Raw_Data!B183)</f>
        <v>Computers&amp;Accessories</v>
      </c>
      <c r="D183" s="11">
        <f>IFERROR(VALUE(SUBSTITUTE(SUBSTITUTE(TRIM(Raw_Data!C183),"₹",""),",","")),"")</f>
        <v>299</v>
      </c>
      <c r="E183" s="11">
        <f>IFERROR(VALUE(SUBSTITUTE(SUBSTITUTE(TRIM(Raw_Data!D183),"₹",""),",","")),"")</f>
        <v>699</v>
      </c>
      <c r="F183" s="12">
        <f>IFERROR(VALUE(SUBSTITUTE(Raw_Data!E183,"%",""))/100,"")</f>
        <v>0.56999999999999995</v>
      </c>
      <c r="G183" s="13">
        <f>IFERROR(VALUE(Raw_Data!F183),"")</f>
        <v>4.0999999999999996</v>
      </c>
      <c r="H183" s="14">
        <f>IFERROR(VALUE(SUBSTITUTE(Raw_Data!G183,",","")),"")</f>
        <v>2957</v>
      </c>
      <c r="I183" s="11">
        <f t="shared" si="8"/>
        <v>400</v>
      </c>
      <c r="J183" s="11">
        <f t="shared" si="9"/>
        <v>884143</v>
      </c>
      <c r="K183" s="1">
        <f t="shared" si="10"/>
        <v>2957.0000183000002</v>
      </c>
      <c r="L183" s="15">
        <f t="shared" si="11"/>
        <v>0.57001829999999998</v>
      </c>
    </row>
    <row r="184" spans="1:12" ht="15" customHeight="1" x14ac:dyDescent="0.25">
      <c r="A184" s="10" t="str">
        <f>Raw_Data!A184</f>
        <v>boAt LTG 500 Apple MFI Certified for iPhone, iPad and iPod 2Mtr Data Cable(Space Grey)</v>
      </c>
      <c r="B184" s="10" t="str">
        <f>IFERROR(TRIM(LEFT(Raw_Data!A184,FIND(" ",Raw_Data!A184)-1)),Raw_Data!A184)</f>
        <v>boAt</v>
      </c>
      <c r="C184" s="10" t="str">
        <f>IFERROR(LEFT(Raw_Data!B184,FIND("|",Raw_Data!B184)-1),Raw_Data!B184)</f>
        <v>Computers&amp;Accessories</v>
      </c>
      <c r="D184" s="11">
        <f>IFERROR(VALUE(SUBSTITUTE(SUBSTITUTE(TRIM(Raw_Data!C184),"₹",""),",","")),"")</f>
        <v>849</v>
      </c>
      <c r="E184" s="11">
        <f>IFERROR(VALUE(SUBSTITUTE(SUBSTITUTE(TRIM(Raw_Data!D184),"₹",""),",","")),"")</f>
        <v>999</v>
      </c>
      <c r="F184" s="12">
        <f>IFERROR(VALUE(SUBSTITUTE(Raw_Data!E184,"%",""))/100,"")</f>
        <v>0.15</v>
      </c>
      <c r="G184" s="13">
        <f>IFERROR(VALUE(Raw_Data!F184),"")</f>
        <v>4.0999999999999996</v>
      </c>
      <c r="H184" s="14">
        <f>IFERROR(VALUE(SUBSTITUTE(Raw_Data!G184,",","")),"")</f>
        <v>6736</v>
      </c>
      <c r="I184" s="11">
        <f t="shared" si="8"/>
        <v>150</v>
      </c>
      <c r="J184" s="11">
        <f t="shared" si="9"/>
        <v>5718864</v>
      </c>
      <c r="K184" s="1">
        <f t="shared" si="10"/>
        <v>6736.0000184</v>
      </c>
      <c r="L184" s="15">
        <f t="shared" si="11"/>
        <v>0.1500184</v>
      </c>
    </row>
    <row r="185" spans="1:12" ht="15" customHeight="1" x14ac:dyDescent="0.25">
      <c r="A185" s="10" t="str">
        <f>Raw_Data!A185</f>
        <v>AmazonBasics USB C to Lightning Aluminum with Nylon Braided MFi Certified Charging Cable (Grey, 1.2 meter)</v>
      </c>
      <c r="B185" s="10" t="str">
        <f>IFERROR(TRIM(LEFT(Raw_Data!A185,FIND(" ",Raw_Data!A185)-1)),Raw_Data!A185)</f>
        <v>AmazonBasics</v>
      </c>
      <c r="C185" s="10" t="str">
        <f>IFERROR(LEFT(Raw_Data!B185,FIND("|",Raw_Data!B185)-1),Raw_Data!B185)</f>
        <v>Computers&amp;Accessories</v>
      </c>
      <c r="D185" s="11">
        <f>IFERROR(VALUE(SUBSTITUTE(SUBSTITUTE(TRIM(Raw_Data!C185),"₹",""),",","")),"")</f>
        <v>949</v>
      </c>
      <c r="E185" s="11">
        <f>IFERROR(VALUE(SUBSTITUTE(SUBSTITUTE(TRIM(Raw_Data!D185),"₹",""),",","")),"")</f>
        <v>1999</v>
      </c>
      <c r="F185" s="12">
        <f>IFERROR(VALUE(SUBSTITUTE(Raw_Data!E185,"%",""))/100,"")</f>
        <v>0.53</v>
      </c>
      <c r="G185" s="13">
        <f>IFERROR(VALUE(Raw_Data!F185),"")</f>
        <v>4.4000000000000004</v>
      </c>
      <c r="H185" s="14">
        <f>IFERROR(VALUE(SUBSTITUTE(Raw_Data!G185,",","")),"")</f>
        <v>13552</v>
      </c>
      <c r="I185" s="11">
        <f t="shared" si="8"/>
        <v>1050</v>
      </c>
      <c r="J185" s="11">
        <f t="shared" si="9"/>
        <v>12860848</v>
      </c>
      <c r="K185" s="1">
        <f t="shared" si="10"/>
        <v>13552.000018500001</v>
      </c>
      <c r="L185" s="15">
        <f t="shared" si="11"/>
        <v>0.53001850000000006</v>
      </c>
    </row>
    <row r="186" spans="1:12" ht="15" customHeight="1" x14ac:dyDescent="0.25">
      <c r="A186" s="10" t="str">
        <f>Raw_Data!A186</f>
        <v>AmazonBasics Double Braided Nylon USB Type-C to Type-C 2.0 Cable Smartphone (Dark Grey, 3 feet)</v>
      </c>
      <c r="B186" s="10" t="str">
        <f>IFERROR(TRIM(LEFT(Raw_Data!A186,FIND(" ",Raw_Data!A186)-1)),Raw_Data!A186)</f>
        <v>AmazonBasics</v>
      </c>
      <c r="C186" s="10" t="str">
        <f>IFERROR(LEFT(Raw_Data!B186,FIND("|",Raw_Data!B186)-1),Raw_Data!B186)</f>
        <v>Computers&amp;Accessories</v>
      </c>
      <c r="D186" s="11">
        <f>IFERROR(VALUE(SUBSTITUTE(SUBSTITUTE(TRIM(Raw_Data!C186),"₹",""),",","")),"")</f>
        <v>499</v>
      </c>
      <c r="E186" s="11">
        <f>IFERROR(VALUE(SUBSTITUTE(SUBSTITUTE(TRIM(Raw_Data!D186),"₹",""),",","")),"")</f>
        <v>1200</v>
      </c>
      <c r="F186" s="12">
        <f>IFERROR(VALUE(SUBSTITUTE(Raw_Data!E186,"%",""))/100,"")</f>
        <v>0.57999999999999996</v>
      </c>
      <c r="G186" s="13">
        <f>IFERROR(VALUE(Raw_Data!F186),"")</f>
        <v>4.3</v>
      </c>
      <c r="H186" s="14">
        <f>IFERROR(VALUE(SUBSTITUTE(Raw_Data!G186,",","")),"")</f>
        <v>5451</v>
      </c>
      <c r="I186" s="11">
        <f t="shared" si="8"/>
        <v>701</v>
      </c>
      <c r="J186" s="11">
        <f t="shared" si="9"/>
        <v>2720049</v>
      </c>
      <c r="K186" s="1">
        <f t="shared" si="10"/>
        <v>5451.0000185999997</v>
      </c>
      <c r="L186" s="15">
        <f t="shared" si="11"/>
        <v>0.58001859999999994</v>
      </c>
    </row>
    <row r="187" spans="1:12" ht="15" customHeight="1" x14ac:dyDescent="0.25">
      <c r="A187" s="10" t="str">
        <f>Raw_Data!A187</f>
        <v>Amazon Basics USB 3.0 Cable - A Male to Micro B - 6 Feet (1.8 Meters), Black</v>
      </c>
      <c r="B187" s="10" t="str">
        <f>IFERROR(TRIM(LEFT(Raw_Data!A187,FIND(" ",Raw_Data!A187)-1)),Raw_Data!A187)</f>
        <v>Amazon</v>
      </c>
      <c r="C187" s="10" t="str">
        <f>IFERROR(LEFT(Raw_Data!B187,FIND("|",Raw_Data!B187)-1),Raw_Data!B187)</f>
        <v>Computers&amp;Accessories</v>
      </c>
      <c r="D187" s="11">
        <f>IFERROR(VALUE(SUBSTITUTE(SUBSTITUTE(TRIM(Raw_Data!C187),"₹",""),",","")),"")</f>
        <v>299</v>
      </c>
      <c r="E187" s="11">
        <f>IFERROR(VALUE(SUBSTITUTE(SUBSTITUTE(TRIM(Raw_Data!D187),"₹",""),",","")),"")</f>
        <v>485</v>
      </c>
      <c r="F187" s="12">
        <f>IFERROR(VALUE(SUBSTITUTE(Raw_Data!E187,"%",""))/100,"")</f>
        <v>0.38</v>
      </c>
      <c r="G187" s="13">
        <f>IFERROR(VALUE(Raw_Data!F187),"")</f>
        <v>4.3</v>
      </c>
      <c r="H187" s="14">
        <f>IFERROR(VALUE(SUBSTITUTE(Raw_Data!G187,",","")),"")</f>
        <v>10911</v>
      </c>
      <c r="I187" s="11">
        <f t="shared" si="8"/>
        <v>186</v>
      </c>
      <c r="J187" s="11">
        <f t="shared" si="9"/>
        <v>3262389</v>
      </c>
      <c r="K187" s="1">
        <f t="shared" si="10"/>
        <v>10911.000018700001</v>
      </c>
      <c r="L187" s="15">
        <f t="shared" si="11"/>
        <v>0.38001869999999999</v>
      </c>
    </row>
    <row r="188" spans="1:12" ht="15" customHeight="1" x14ac:dyDescent="0.25">
      <c r="A188" s="10" t="str">
        <f>Raw_Data!A188</f>
        <v>AmazonBasics USB C to Lightning Aluminum with Nylon Braided MFi Certified Charging Cable (Grey, 1.8 meter)</v>
      </c>
      <c r="B188" s="10" t="str">
        <f>IFERROR(TRIM(LEFT(Raw_Data!A188,FIND(" ",Raw_Data!A188)-1)),Raw_Data!A188)</f>
        <v>AmazonBasics</v>
      </c>
      <c r="C188" s="10" t="str">
        <f>IFERROR(LEFT(Raw_Data!B188,FIND("|",Raw_Data!B188)-1),Raw_Data!B188)</f>
        <v>Computers&amp;Accessories</v>
      </c>
      <c r="D188" s="11">
        <f>IFERROR(VALUE(SUBSTITUTE(SUBSTITUTE(TRIM(Raw_Data!C188),"₹",""),",","")),"")</f>
        <v>949</v>
      </c>
      <c r="E188" s="11">
        <f>IFERROR(VALUE(SUBSTITUTE(SUBSTITUTE(TRIM(Raw_Data!D188),"₹",""),",","")),"")</f>
        <v>1999</v>
      </c>
      <c r="F188" s="12">
        <f>IFERROR(VALUE(SUBSTITUTE(Raw_Data!E188,"%",""))/100,"")</f>
        <v>0.53</v>
      </c>
      <c r="G188" s="13">
        <f>IFERROR(VALUE(Raw_Data!F188),"")</f>
        <v>4.4000000000000004</v>
      </c>
      <c r="H188" s="14">
        <f>IFERROR(VALUE(SUBSTITUTE(Raw_Data!G188,",","")),"")</f>
        <v>13552</v>
      </c>
      <c r="I188" s="11">
        <f t="shared" si="8"/>
        <v>1050</v>
      </c>
      <c r="J188" s="11">
        <f t="shared" si="9"/>
        <v>12860848</v>
      </c>
      <c r="K188" s="1">
        <f t="shared" si="10"/>
        <v>13552.000018799999</v>
      </c>
      <c r="L188" s="15">
        <f t="shared" si="11"/>
        <v>0.53001880000000001</v>
      </c>
    </row>
    <row r="189" spans="1:12" ht="15" customHeight="1" x14ac:dyDescent="0.25">
      <c r="A189" s="10" t="str">
        <f>Raw_Data!A189</f>
        <v>Wayona Usb C 65W Fast Charging Cable Compatible For Tablets Samsung S22 S20 S10 S20Fe S21 S21 Ultra A70 A51 A71 A50S M31 M51 M31S M53 5G (1M, Black)</v>
      </c>
      <c r="B189" s="10" t="str">
        <f>IFERROR(TRIM(LEFT(Raw_Data!A189,FIND(" ",Raw_Data!A189)-1)),Raw_Data!A189)</f>
        <v>Wayona</v>
      </c>
      <c r="C189" s="10" t="str">
        <f>IFERROR(LEFT(Raw_Data!B189,FIND("|",Raw_Data!B189)-1),Raw_Data!B189)</f>
        <v>Computers&amp;Accessories</v>
      </c>
      <c r="D189" s="11">
        <f>IFERROR(VALUE(SUBSTITUTE(SUBSTITUTE(TRIM(Raw_Data!C189),"₹",""),",","")),"")</f>
        <v>379</v>
      </c>
      <c r="E189" s="11">
        <f>IFERROR(VALUE(SUBSTITUTE(SUBSTITUTE(TRIM(Raw_Data!D189),"₹",""),",","")),"")</f>
        <v>1099</v>
      </c>
      <c r="F189" s="12">
        <f>IFERROR(VALUE(SUBSTITUTE(Raw_Data!E189,"%",""))/100,"")</f>
        <v>0.66</v>
      </c>
      <c r="G189" s="13">
        <f>IFERROR(VALUE(Raw_Data!F189),"")</f>
        <v>4.3</v>
      </c>
      <c r="H189" s="14">
        <f>IFERROR(VALUE(SUBSTITUTE(Raw_Data!G189,",","")),"")</f>
        <v>2806</v>
      </c>
      <c r="I189" s="11">
        <f t="shared" si="8"/>
        <v>720</v>
      </c>
      <c r="J189" s="11">
        <f t="shared" si="9"/>
        <v>1063474</v>
      </c>
      <c r="K189" s="1">
        <f t="shared" si="10"/>
        <v>2806.0000189000002</v>
      </c>
      <c r="L189" s="15">
        <f t="shared" si="11"/>
        <v>0.66001890000000007</v>
      </c>
    </row>
    <row r="190" spans="1:12" ht="15" customHeight="1" x14ac:dyDescent="0.25">
      <c r="A190" s="10" t="str">
        <f>Raw_Data!A190</f>
        <v>Karbonn 80 cm (32 inches) Millenium Bezel-Less Series HD Ready Smart LED TV KJW32SKHD (Phantom Black)</v>
      </c>
      <c r="B190" s="10" t="str">
        <f>IFERROR(TRIM(LEFT(Raw_Data!A190,FIND(" ",Raw_Data!A190)-1)),Raw_Data!A190)</f>
        <v>Karbonn</v>
      </c>
      <c r="C190" s="10" t="str">
        <f>IFERROR(LEFT(Raw_Data!B190,FIND("|",Raw_Data!B190)-1),Raw_Data!B190)</f>
        <v>Electronics</v>
      </c>
      <c r="D190" s="11">
        <f>IFERROR(VALUE(SUBSTITUTE(SUBSTITUTE(TRIM(Raw_Data!C190),"₹",""),",","")),"")</f>
        <v>8990</v>
      </c>
      <c r="E190" s="11">
        <f>IFERROR(VALUE(SUBSTITUTE(SUBSTITUTE(TRIM(Raw_Data!D190),"₹",""),",","")),"")</f>
        <v>18990</v>
      </c>
      <c r="F190" s="12">
        <f>IFERROR(VALUE(SUBSTITUTE(Raw_Data!E190,"%",""))/100,"")</f>
        <v>0.53</v>
      </c>
      <c r="G190" s="13">
        <f>IFERROR(VALUE(Raw_Data!F190),"")</f>
        <v>3.9</v>
      </c>
      <c r="H190" s="14">
        <f>IFERROR(VALUE(SUBSTITUTE(Raw_Data!G190,",","")),"")</f>
        <v>350</v>
      </c>
      <c r="I190" s="11">
        <f t="shared" si="8"/>
        <v>10000</v>
      </c>
      <c r="J190" s="11">
        <f t="shared" si="9"/>
        <v>3146500</v>
      </c>
      <c r="K190" s="1">
        <f t="shared" si="10"/>
        <v>350.00001900000001</v>
      </c>
      <c r="L190" s="15">
        <f t="shared" si="11"/>
        <v>0.53001900000000002</v>
      </c>
    </row>
    <row r="191" spans="1:12" ht="15" customHeight="1" x14ac:dyDescent="0.25">
      <c r="A191" s="10" t="str">
        <f>Raw_Data!A191</f>
        <v>BlueRigger Digital Optical Audio Toslink Cable (6 Feet / 1.8 Meter) With 8 Channel (7.1) Audio Support (for Home Theatre, Xbox, Playstation etc.)</v>
      </c>
      <c r="B191" s="10" t="str">
        <f>IFERROR(TRIM(LEFT(Raw_Data!A191,FIND(" ",Raw_Data!A191)-1)),Raw_Data!A191)</f>
        <v>BlueRigger</v>
      </c>
      <c r="C191" s="10" t="str">
        <f>IFERROR(LEFT(Raw_Data!B191,FIND("|",Raw_Data!B191)-1),Raw_Data!B191)</f>
        <v>Electronics</v>
      </c>
      <c r="D191" s="11">
        <f>IFERROR(VALUE(SUBSTITUTE(SUBSTITUTE(TRIM(Raw_Data!C191),"₹",""),",","")),"")</f>
        <v>486</v>
      </c>
      <c r="E191" s="11">
        <f>IFERROR(VALUE(SUBSTITUTE(SUBSTITUTE(TRIM(Raw_Data!D191),"₹",""),",","")),"")</f>
        <v>1999</v>
      </c>
      <c r="F191" s="12">
        <f>IFERROR(VALUE(SUBSTITUTE(Raw_Data!E191,"%",""))/100,"")</f>
        <v>0.76</v>
      </c>
      <c r="G191" s="13">
        <f>IFERROR(VALUE(Raw_Data!F191),"")</f>
        <v>4.2</v>
      </c>
      <c r="H191" s="14">
        <f>IFERROR(VALUE(SUBSTITUTE(Raw_Data!G191,",","")),"")</f>
        <v>30023</v>
      </c>
      <c r="I191" s="11">
        <f t="shared" si="8"/>
        <v>1513</v>
      </c>
      <c r="J191" s="11">
        <f t="shared" si="9"/>
        <v>14591178</v>
      </c>
      <c r="K191" s="1">
        <f t="shared" si="10"/>
        <v>30023.0000191</v>
      </c>
      <c r="L191" s="15">
        <f t="shared" si="11"/>
        <v>0.76001910000000006</v>
      </c>
    </row>
    <row r="192" spans="1:12" ht="15" customHeight="1" x14ac:dyDescent="0.25">
      <c r="A192" s="10" t="str">
        <f>Raw_Data!A192</f>
        <v>VW 60 cm (24 inches) Premium Series HD Ready LED TV VW24A (Black)</v>
      </c>
      <c r="B192" s="10" t="str">
        <f>IFERROR(TRIM(LEFT(Raw_Data!A192,FIND(" ",Raw_Data!A192)-1)),Raw_Data!A192)</f>
        <v>VW</v>
      </c>
      <c r="C192" s="10" t="str">
        <f>IFERROR(LEFT(Raw_Data!B192,FIND("|",Raw_Data!B192)-1),Raw_Data!B192)</f>
        <v>Electronics</v>
      </c>
      <c r="D192" s="11">
        <f>IFERROR(VALUE(SUBSTITUTE(SUBSTITUTE(TRIM(Raw_Data!C192),"₹",""),",","")),"")</f>
        <v>5699</v>
      </c>
      <c r="E192" s="11">
        <f>IFERROR(VALUE(SUBSTITUTE(SUBSTITUTE(TRIM(Raw_Data!D192),"₹",""),",","")),"")</f>
        <v>11000</v>
      </c>
      <c r="F192" s="12">
        <f>IFERROR(VALUE(SUBSTITUTE(Raw_Data!E192,"%",""))/100,"")</f>
        <v>0.48</v>
      </c>
      <c r="G192" s="13">
        <f>IFERROR(VALUE(Raw_Data!F192),"")</f>
        <v>4.2</v>
      </c>
      <c r="H192" s="14">
        <f>IFERROR(VALUE(SUBSTITUTE(Raw_Data!G192,",","")),"")</f>
        <v>4003</v>
      </c>
      <c r="I192" s="11">
        <f t="shared" si="8"/>
        <v>5301</v>
      </c>
      <c r="J192" s="11">
        <f t="shared" si="9"/>
        <v>22813097</v>
      </c>
      <c r="K192" s="1">
        <f t="shared" si="10"/>
        <v>4003.0000192000002</v>
      </c>
      <c r="L192" s="15">
        <f t="shared" si="11"/>
        <v>0.48001919999999998</v>
      </c>
    </row>
    <row r="193" spans="1:12" ht="15" customHeight="1" x14ac:dyDescent="0.25">
      <c r="A193" s="10" t="str">
        <f>Raw_Data!A193</f>
        <v>Amazon Basics USB A to Lightning MFi Certified Charging Cable (White, 1.2 meter)</v>
      </c>
      <c r="B193" s="10" t="str">
        <f>IFERROR(TRIM(LEFT(Raw_Data!A193,FIND(" ",Raw_Data!A193)-1)),Raw_Data!A193)</f>
        <v>Amazon</v>
      </c>
      <c r="C193" s="10" t="str">
        <f>IFERROR(LEFT(Raw_Data!B193,FIND("|",Raw_Data!B193)-1),Raw_Data!B193)</f>
        <v>Computers&amp;Accessories</v>
      </c>
      <c r="D193" s="11">
        <f>IFERROR(VALUE(SUBSTITUTE(SUBSTITUTE(TRIM(Raw_Data!C193),"₹",""),",","")),"")</f>
        <v>709</v>
      </c>
      <c r="E193" s="11">
        <f>IFERROR(VALUE(SUBSTITUTE(SUBSTITUTE(TRIM(Raw_Data!D193),"₹",""),",","")),"")</f>
        <v>1999</v>
      </c>
      <c r="F193" s="12">
        <f>IFERROR(VALUE(SUBSTITUTE(Raw_Data!E193,"%",""))/100,"")</f>
        <v>0.65</v>
      </c>
      <c r="G193" s="13">
        <f>IFERROR(VALUE(Raw_Data!F193),"")</f>
        <v>4.0999999999999996</v>
      </c>
      <c r="H193" s="14">
        <f>IFERROR(VALUE(SUBSTITUTE(Raw_Data!G193,",","")),"")</f>
        <v>178817</v>
      </c>
      <c r="I193" s="11">
        <f t="shared" si="8"/>
        <v>1290</v>
      </c>
      <c r="J193" s="11">
        <f t="shared" si="9"/>
        <v>126781253</v>
      </c>
      <c r="K193" s="1">
        <f t="shared" si="10"/>
        <v>178817.0000193</v>
      </c>
      <c r="L193" s="15">
        <f t="shared" si="11"/>
        <v>0.65001930000000008</v>
      </c>
    </row>
    <row r="194" spans="1:12" ht="15" customHeight="1" x14ac:dyDescent="0.25">
      <c r="A194" s="10" t="str">
        <f>Raw_Data!A194</f>
        <v>Samsung 138 cm (55 inches) Crystal 4K Neo Series Ultra HD Smart LED TV UA55AUE65AKXXL (Black)</v>
      </c>
      <c r="B194" s="10" t="str">
        <f>IFERROR(TRIM(LEFT(Raw_Data!A194,FIND(" ",Raw_Data!A194)-1)),Raw_Data!A194)</f>
        <v>Samsung</v>
      </c>
      <c r="C194" s="10" t="str">
        <f>IFERROR(LEFT(Raw_Data!B194,FIND("|",Raw_Data!B194)-1),Raw_Data!B194)</f>
        <v>Electronics</v>
      </c>
      <c r="D194" s="11">
        <f>IFERROR(VALUE(SUBSTITUTE(SUBSTITUTE(TRIM(Raw_Data!C194),"₹",""),",","")),"")</f>
        <v>47990</v>
      </c>
      <c r="E194" s="11">
        <f>IFERROR(VALUE(SUBSTITUTE(SUBSTITUTE(TRIM(Raw_Data!D194),"₹",""),",","")),"")</f>
        <v>70900</v>
      </c>
      <c r="F194" s="12">
        <f>IFERROR(VALUE(SUBSTITUTE(Raw_Data!E194,"%",""))/100,"")</f>
        <v>0.32</v>
      </c>
      <c r="G194" s="13">
        <f>IFERROR(VALUE(Raw_Data!F194),"")</f>
        <v>4.3</v>
      </c>
      <c r="H194" s="14">
        <f>IFERROR(VALUE(SUBSTITUTE(Raw_Data!G194,",","")),"")</f>
        <v>7109</v>
      </c>
      <c r="I194" s="11">
        <f t="shared" ref="I194:I257" si="12">IFERROR(E194-D194,"")</f>
        <v>22910</v>
      </c>
      <c r="J194" s="11">
        <f t="shared" ref="J194:J257" si="13">IFERROR(D194*H194,"")</f>
        <v>341160910</v>
      </c>
      <c r="K194" s="1">
        <f t="shared" ref="K194:K257" si="14">IF(ISNUMBER(H194),H194+ROW()/10000000,"")</f>
        <v>7109.0000194000004</v>
      </c>
      <c r="L194" s="15">
        <f t="shared" ref="L194:L257" si="15">IF(ISNUMBER(F194),F194+ROW()/10000000,"")</f>
        <v>0.32001940000000001</v>
      </c>
    </row>
    <row r="195" spans="1:12" ht="15" customHeight="1" x14ac:dyDescent="0.25">
      <c r="A195" s="10" t="str">
        <f>Raw_Data!A195</f>
        <v>LOHAYA Television Remote Compatible for VU LED LCD HD Tv Remote Control Model No :- EN2B27V</v>
      </c>
      <c r="B195" s="10" t="str">
        <f>IFERROR(TRIM(LEFT(Raw_Data!A195,FIND(" ",Raw_Data!A195)-1)),Raw_Data!A195)</f>
        <v>LOHAYA</v>
      </c>
      <c r="C195" s="10" t="str">
        <f>IFERROR(LEFT(Raw_Data!B195,FIND("|",Raw_Data!B195)-1),Raw_Data!B195)</f>
        <v>Electronics</v>
      </c>
      <c r="D195" s="11">
        <f>IFERROR(VALUE(SUBSTITUTE(SUBSTITUTE(TRIM(Raw_Data!C195),"₹",""),",","")),"")</f>
        <v>299</v>
      </c>
      <c r="E195" s="11">
        <f>IFERROR(VALUE(SUBSTITUTE(SUBSTITUTE(TRIM(Raw_Data!D195),"₹",""),",","")),"")</f>
        <v>1199</v>
      </c>
      <c r="F195" s="12">
        <f>IFERROR(VALUE(SUBSTITUTE(Raw_Data!E195,"%",""))/100,"")</f>
        <v>0.75</v>
      </c>
      <c r="G195" s="13">
        <f>IFERROR(VALUE(Raw_Data!F195),"")</f>
        <v>3.7</v>
      </c>
      <c r="H195" s="14">
        <f>IFERROR(VALUE(SUBSTITUTE(Raw_Data!G195,",","")),"")</f>
        <v>490</v>
      </c>
      <c r="I195" s="11">
        <f t="shared" si="12"/>
        <v>900</v>
      </c>
      <c r="J195" s="11">
        <f t="shared" si="13"/>
        <v>146510</v>
      </c>
      <c r="K195" s="1">
        <f t="shared" si="14"/>
        <v>490.00001950000001</v>
      </c>
      <c r="L195" s="15">
        <f t="shared" si="15"/>
        <v>0.75001949999999995</v>
      </c>
    </row>
    <row r="196" spans="1:12" ht="15" customHeight="1" x14ac:dyDescent="0.25">
      <c r="A196" s="10" t="str">
        <f>Raw_Data!A196</f>
        <v>Duracell Micro USB 3A Braided Sync &amp; Fast Charging Cable, 3.9 Feet (1.2M). Supports QC 2.0/3.0 Charging, High Speed Data Transmission - Black</v>
      </c>
      <c r="B196" s="10" t="str">
        <f>IFERROR(TRIM(LEFT(Raw_Data!A196,FIND(" ",Raw_Data!A196)-1)),Raw_Data!A196)</f>
        <v>Duracell</v>
      </c>
      <c r="C196" s="10" t="str">
        <f>IFERROR(LEFT(Raw_Data!B196,FIND("|",Raw_Data!B196)-1),Raw_Data!B196)</f>
        <v>Computers&amp;Accessories</v>
      </c>
      <c r="D196" s="11">
        <f>IFERROR(VALUE(SUBSTITUTE(SUBSTITUTE(TRIM(Raw_Data!C196),"₹",""),",","")),"")</f>
        <v>320</v>
      </c>
      <c r="E196" s="11">
        <f>IFERROR(VALUE(SUBSTITUTE(SUBSTITUTE(TRIM(Raw_Data!D196),"₹",""),",","")),"")</f>
        <v>599</v>
      </c>
      <c r="F196" s="12">
        <f>IFERROR(VALUE(SUBSTITUTE(Raw_Data!E196,"%",""))/100,"")</f>
        <v>0.47</v>
      </c>
      <c r="G196" s="13">
        <f>IFERROR(VALUE(Raw_Data!F196),"")</f>
        <v>4.0999999999999996</v>
      </c>
      <c r="H196" s="14">
        <f>IFERROR(VALUE(SUBSTITUTE(Raw_Data!G196,",","")),"")</f>
        <v>491</v>
      </c>
      <c r="I196" s="11">
        <f t="shared" si="12"/>
        <v>279</v>
      </c>
      <c r="J196" s="11">
        <f t="shared" si="13"/>
        <v>157120</v>
      </c>
      <c r="K196" s="1">
        <f t="shared" si="14"/>
        <v>491.00001959999997</v>
      </c>
      <c r="L196" s="15">
        <f t="shared" si="15"/>
        <v>0.47001959999999998</v>
      </c>
    </row>
    <row r="197" spans="1:12" ht="15" customHeight="1" x14ac:dyDescent="0.25">
      <c r="A197" s="10" t="str">
        <f>Raw_Data!A197</f>
        <v>Zebronics CU3100V Fast charging Type C cable with QC 18W support, 3A max capacity, 1 meter braided cable, Data transfer and Superior durability (Braided Black + White)</v>
      </c>
      <c r="B197" s="10" t="str">
        <f>IFERROR(TRIM(LEFT(Raw_Data!A197,FIND(" ",Raw_Data!A197)-1)),Raw_Data!A197)</f>
        <v>Zebronics</v>
      </c>
      <c r="C197" s="10" t="str">
        <f>IFERROR(LEFT(Raw_Data!B197,FIND("|",Raw_Data!B197)-1),Raw_Data!B197)</f>
        <v>Computers&amp;Accessories</v>
      </c>
      <c r="D197" s="11">
        <f>IFERROR(VALUE(SUBSTITUTE(SUBSTITUTE(TRIM(Raw_Data!C197),"₹",""),",","")),"")</f>
        <v>139</v>
      </c>
      <c r="E197" s="11">
        <f>IFERROR(VALUE(SUBSTITUTE(SUBSTITUTE(TRIM(Raw_Data!D197),"₹",""),",","")),"")</f>
        <v>549</v>
      </c>
      <c r="F197" s="12">
        <f>IFERROR(VALUE(SUBSTITUTE(Raw_Data!E197,"%",""))/100,"")</f>
        <v>0.75</v>
      </c>
      <c r="G197" s="13">
        <f>IFERROR(VALUE(Raw_Data!F197),"")</f>
        <v>3.9</v>
      </c>
      <c r="H197" s="14">
        <f>IFERROR(VALUE(SUBSTITUTE(Raw_Data!G197,",","")),"")</f>
        <v>61</v>
      </c>
      <c r="I197" s="11">
        <f t="shared" si="12"/>
        <v>410</v>
      </c>
      <c r="J197" s="11">
        <f t="shared" si="13"/>
        <v>8479</v>
      </c>
      <c r="K197" s="1">
        <f t="shared" si="14"/>
        <v>61.000019700000003</v>
      </c>
      <c r="L197" s="15">
        <f t="shared" si="15"/>
        <v>0.75001969999999996</v>
      </c>
    </row>
    <row r="198" spans="1:12" ht="15" customHeight="1" x14ac:dyDescent="0.25">
      <c r="A198" s="10" t="str">
        <f>Raw_Data!A198</f>
        <v>FLiX (Beetel) USB to iPhone Lightning Textured Pattern Data Sync &amp; 2A Fast Charging Cable, Made in India, 480Mbps Data Sync, Tough Cable, 1 Meter Long USB Cable for Apple Devices (Black)(XCD-L102)</v>
      </c>
      <c r="B198" s="10" t="str">
        <f>IFERROR(TRIM(LEFT(Raw_Data!A198,FIND(" ",Raw_Data!A198)-1)),Raw_Data!A198)</f>
        <v>FLiX</v>
      </c>
      <c r="C198" s="10" t="str">
        <f>IFERROR(LEFT(Raw_Data!B198,FIND("|",Raw_Data!B198)-1),Raw_Data!B198)</f>
        <v>Computers&amp;Accessories</v>
      </c>
      <c r="D198" s="11">
        <f>IFERROR(VALUE(SUBSTITUTE(SUBSTITUTE(TRIM(Raw_Data!C198),"₹",""),",","")),"")</f>
        <v>129</v>
      </c>
      <c r="E198" s="11">
        <f>IFERROR(VALUE(SUBSTITUTE(SUBSTITUTE(TRIM(Raw_Data!D198),"₹",""),",","")),"")</f>
        <v>249</v>
      </c>
      <c r="F198" s="12">
        <f>IFERROR(VALUE(SUBSTITUTE(Raw_Data!E198,"%",""))/100,"")</f>
        <v>0.48</v>
      </c>
      <c r="G198" s="13">
        <f>IFERROR(VALUE(Raw_Data!F198),"")</f>
        <v>4</v>
      </c>
      <c r="H198" s="14">
        <f>IFERROR(VALUE(SUBSTITUTE(Raw_Data!G198,",","")),"")</f>
        <v>9378</v>
      </c>
      <c r="I198" s="11">
        <f t="shared" si="12"/>
        <v>120</v>
      </c>
      <c r="J198" s="11">
        <f t="shared" si="13"/>
        <v>1209762</v>
      </c>
      <c r="K198" s="1">
        <f t="shared" si="14"/>
        <v>9378.0000197999998</v>
      </c>
      <c r="L198" s="15">
        <f t="shared" si="15"/>
        <v>0.4800198</v>
      </c>
    </row>
    <row r="199" spans="1:12" ht="15" customHeight="1" x14ac:dyDescent="0.25">
      <c r="A199" s="10" t="str">
        <f>Raw_Data!A199</f>
        <v>MI 108 cm (43 inches) 5A Series Full HD Smart Android LED TV L43M7-EAIN (Black)</v>
      </c>
      <c r="B199" s="10" t="str">
        <f>IFERROR(TRIM(LEFT(Raw_Data!A199,FIND(" ",Raw_Data!A199)-1)),Raw_Data!A199)</f>
        <v>MI</v>
      </c>
      <c r="C199" s="10" t="str">
        <f>IFERROR(LEFT(Raw_Data!B199,FIND("|",Raw_Data!B199)-1),Raw_Data!B199)</f>
        <v>Electronics</v>
      </c>
      <c r="D199" s="11">
        <f>IFERROR(VALUE(SUBSTITUTE(SUBSTITUTE(TRIM(Raw_Data!C199),"₹",""),",","")),"")</f>
        <v>24999</v>
      </c>
      <c r="E199" s="11">
        <f>IFERROR(VALUE(SUBSTITUTE(SUBSTITUTE(TRIM(Raw_Data!D199),"₹",""),",","")),"")</f>
        <v>35999</v>
      </c>
      <c r="F199" s="12">
        <f>IFERROR(VALUE(SUBSTITUTE(Raw_Data!E199,"%",""))/100,"")</f>
        <v>0.31</v>
      </c>
      <c r="G199" s="13">
        <f>IFERROR(VALUE(Raw_Data!F199),"")</f>
        <v>4.2</v>
      </c>
      <c r="H199" s="14">
        <f>IFERROR(VALUE(SUBSTITUTE(Raw_Data!G199,",","")),"")</f>
        <v>32840</v>
      </c>
      <c r="I199" s="11">
        <f t="shared" si="12"/>
        <v>11000</v>
      </c>
      <c r="J199" s="11">
        <f t="shared" si="13"/>
        <v>820967160</v>
      </c>
      <c r="K199" s="1">
        <f t="shared" si="14"/>
        <v>32840.000019899999</v>
      </c>
      <c r="L199" s="15">
        <f t="shared" si="15"/>
        <v>0.31001990000000001</v>
      </c>
    </row>
    <row r="200" spans="1:12" ht="15" customHeight="1" x14ac:dyDescent="0.25">
      <c r="A200" s="10" t="str">
        <f>Raw_Data!A200</f>
        <v>Belkin Apple Certified Lightning to USB Charge and Sync Cable for iPhone, iPad, Air Pods, 39.6 inch (100cm) – Black</v>
      </c>
      <c r="B200" s="10" t="str">
        <f>IFERROR(TRIM(LEFT(Raw_Data!A200,FIND(" ",Raw_Data!A200)-1)),Raw_Data!A200)</f>
        <v>Belkin</v>
      </c>
      <c r="C200" s="10" t="str">
        <f>IFERROR(LEFT(Raw_Data!B200,FIND("|",Raw_Data!B200)-1),Raw_Data!B200)</f>
        <v>Computers&amp;Accessories</v>
      </c>
      <c r="D200" s="11">
        <f>IFERROR(VALUE(SUBSTITUTE(SUBSTITUTE(TRIM(Raw_Data!C200),"₹",""),",","")),"")</f>
        <v>999</v>
      </c>
      <c r="E200" s="11">
        <f>IFERROR(VALUE(SUBSTITUTE(SUBSTITUTE(TRIM(Raw_Data!D200),"₹",""),",","")),"")</f>
        <v>1699</v>
      </c>
      <c r="F200" s="12">
        <f>IFERROR(VALUE(SUBSTITUTE(Raw_Data!E200,"%",""))/100,"")</f>
        <v>0.41</v>
      </c>
      <c r="G200" s="13">
        <f>IFERROR(VALUE(Raw_Data!F200),"")</f>
        <v>4.4000000000000004</v>
      </c>
      <c r="H200" s="14">
        <f>IFERROR(VALUE(SUBSTITUTE(Raw_Data!G200,",","")),"")</f>
        <v>7318</v>
      </c>
      <c r="I200" s="11">
        <f t="shared" si="12"/>
        <v>700</v>
      </c>
      <c r="J200" s="11">
        <f t="shared" si="13"/>
        <v>7310682</v>
      </c>
      <c r="K200" s="1">
        <f t="shared" si="14"/>
        <v>7318.0000200000004</v>
      </c>
      <c r="L200" s="15">
        <f t="shared" si="15"/>
        <v>0.41002</v>
      </c>
    </row>
    <row r="201" spans="1:12" ht="15" customHeight="1" x14ac:dyDescent="0.25">
      <c r="A201" s="10" t="str">
        <f>Raw_Data!A201</f>
        <v>Time Office Scanner Replacement Cable for Startek FM220U (Type C) Ivory</v>
      </c>
      <c r="B201" s="10" t="str">
        <f>IFERROR(TRIM(LEFT(Raw_Data!A201,FIND(" ",Raw_Data!A201)-1)),Raw_Data!A201)</f>
        <v>Time</v>
      </c>
      <c r="C201" s="10" t="str">
        <f>IFERROR(LEFT(Raw_Data!B201,FIND("|",Raw_Data!B201)-1),Raw_Data!B201)</f>
        <v>Computers&amp;Accessories</v>
      </c>
      <c r="D201" s="11">
        <f>IFERROR(VALUE(SUBSTITUTE(SUBSTITUTE(TRIM(Raw_Data!C201),"₹",""),",","")),"")</f>
        <v>225</v>
      </c>
      <c r="E201" s="11">
        <f>IFERROR(VALUE(SUBSTITUTE(SUBSTITUTE(TRIM(Raw_Data!D201),"₹",""),",","")),"")</f>
        <v>499</v>
      </c>
      <c r="F201" s="12">
        <f>IFERROR(VALUE(SUBSTITUTE(Raw_Data!E201,"%",""))/100,"")</f>
        <v>0.55000000000000004</v>
      </c>
      <c r="G201" s="13">
        <f>IFERROR(VALUE(Raw_Data!F201),"")</f>
        <v>4.0999999999999996</v>
      </c>
      <c r="H201" s="14">
        <f>IFERROR(VALUE(SUBSTITUTE(Raw_Data!G201,",","")),"")</f>
        <v>789</v>
      </c>
      <c r="I201" s="11">
        <f t="shared" si="12"/>
        <v>274</v>
      </c>
      <c r="J201" s="11">
        <f t="shared" si="13"/>
        <v>177525</v>
      </c>
      <c r="K201" s="1">
        <f t="shared" si="14"/>
        <v>789.00002010000003</v>
      </c>
      <c r="L201" s="15">
        <f t="shared" si="15"/>
        <v>0.55002010000000001</v>
      </c>
    </row>
    <row r="202" spans="1:12" ht="15" customHeight="1" x14ac:dyDescent="0.25">
      <c r="A202" s="10" t="str">
        <f>Raw_Data!A202</f>
        <v>Caldipree Silicone Case Cover Compatible for 2022 Samsung Smart TV Remote QLED TV BN68-13897A TM2280E (2022-BLACK)</v>
      </c>
      <c r="B202" s="10" t="str">
        <f>IFERROR(TRIM(LEFT(Raw_Data!A202,FIND(" ",Raw_Data!A202)-1)),Raw_Data!A202)</f>
        <v>Caldipree</v>
      </c>
      <c r="C202" s="10" t="str">
        <f>IFERROR(LEFT(Raw_Data!B202,FIND("|",Raw_Data!B202)-1),Raw_Data!B202)</f>
        <v>Electronics</v>
      </c>
      <c r="D202" s="11">
        <f>IFERROR(VALUE(SUBSTITUTE(SUBSTITUTE(TRIM(Raw_Data!C202),"₹",""),",","")),"")</f>
        <v>547</v>
      </c>
      <c r="E202" s="11">
        <f>IFERROR(VALUE(SUBSTITUTE(SUBSTITUTE(TRIM(Raw_Data!D202),"₹",""),",","")),"")</f>
        <v>2999</v>
      </c>
      <c r="F202" s="12">
        <f>IFERROR(VALUE(SUBSTITUTE(Raw_Data!E202,"%",""))/100,"")</f>
        <v>0.82</v>
      </c>
      <c r="G202" s="13">
        <f>IFERROR(VALUE(Raw_Data!F202),"")</f>
        <v>4.3</v>
      </c>
      <c r="H202" s="14">
        <f>IFERROR(VALUE(SUBSTITUTE(Raw_Data!G202,",","")),"")</f>
        <v>407</v>
      </c>
      <c r="I202" s="11">
        <f t="shared" si="12"/>
        <v>2452</v>
      </c>
      <c r="J202" s="11">
        <f t="shared" si="13"/>
        <v>222629</v>
      </c>
      <c r="K202" s="1">
        <f t="shared" si="14"/>
        <v>407.00002019999999</v>
      </c>
      <c r="L202" s="15">
        <f t="shared" si="15"/>
        <v>0.82002019999999998</v>
      </c>
    </row>
    <row r="203" spans="1:12" ht="15" customHeight="1" x14ac:dyDescent="0.25">
      <c r="A203" s="10" t="str">
        <f>Raw_Data!A203</f>
        <v>Storite USB 2.0 A to Mini 5 pin B Cable for External HDDS/Camera/Card Readers 35cm</v>
      </c>
      <c r="B203" s="10" t="str">
        <f>IFERROR(TRIM(LEFT(Raw_Data!A203,FIND(" ",Raw_Data!A203)-1)),Raw_Data!A203)</f>
        <v>Storite</v>
      </c>
      <c r="C203" s="10" t="str">
        <f>IFERROR(LEFT(Raw_Data!B203,FIND("|",Raw_Data!B203)-1),Raw_Data!B203)</f>
        <v>Computers&amp;Accessories</v>
      </c>
      <c r="D203" s="11">
        <f>IFERROR(VALUE(SUBSTITUTE(SUBSTITUTE(TRIM(Raw_Data!C203),"₹",""),",","")),"")</f>
        <v>259</v>
      </c>
      <c r="E203" s="11">
        <f>IFERROR(VALUE(SUBSTITUTE(SUBSTITUTE(TRIM(Raw_Data!D203),"₹",""),",","")),"")</f>
        <v>699</v>
      </c>
      <c r="F203" s="12">
        <f>IFERROR(VALUE(SUBSTITUTE(Raw_Data!E203,"%",""))/100,"")</f>
        <v>0.63</v>
      </c>
      <c r="G203" s="13">
        <f>IFERROR(VALUE(Raw_Data!F203),"")</f>
        <v>3.8</v>
      </c>
      <c r="H203" s="14">
        <f>IFERROR(VALUE(SUBSTITUTE(Raw_Data!G203,",","")),"")</f>
        <v>2399</v>
      </c>
      <c r="I203" s="11">
        <f t="shared" si="12"/>
        <v>440</v>
      </c>
      <c r="J203" s="11">
        <f t="shared" si="13"/>
        <v>621341</v>
      </c>
      <c r="K203" s="1">
        <f t="shared" si="14"/>
        <v>2399.0000203</v>
      </c>
      <c r="L203" s="15">
        <f t="shared" si="15"/>
        <v>0.63002029999999998</v>
      </c>
    </row>
    <row r="204" spans="1:12" ht="15" customHeight="1" x14ac:dyDescent="0.25">
      <c r="A204" s="10" t="str">
        <f>Raw_Data!A204</f>
        <v>Universal Remote Control for All Sony TV for All LCD LED and Bravia TVs Remote</v>
      </c>
      <c r="B204" s="10" t="str">
        <f>IFERROR(TRIM(LEFT(Raw_Data!A204,FIND(" ",Raw_Data!A204)-1)),Raw_Data!A204)</f>
        <v>Universal</v>
      </c>
      <c r="C204" s="10" t="str">
        <f>IFERROR(LEFT(Raw_Data!B204,FIND("|",Raw_Data!B204)-1),Raw_Data!B204)</f>
        <v>Electronics</v>
      </c>
      <c r="D204" s="11">
        <f>IFERROR(VALUE(SUBSTITUTE(SUBSTITUTE(TRIM(Raw_Data!C204),"₹",""),",","")),"")</f>
        <v>239</v>
      </c>
      <c r="E204" s="11">
        <f>IFERROR(VALUE(SUBSTITUTE(SUBSTITUTE(TRIM(Raw_Data!D204),"₹",""),",","")),"")</f>
        <v>699</v>
      </c>
      <c r="F204" s="12">
        <f>IFERROR(VALUE(SUBSTITUTE(Raw_Data!E204,"%",""))/100,"")</f>
        <v>0.66</v>
      </c>
      <c r="G204" s="13">
        <f>IFERROR(VALUE(Raw_Data!F204),"")</f>
        <v>4.4000000000000004</v>
      </c>
      <c r="H204" s="14">
        <f>IFERROR(VALUE(SUBSTITUTE(Raw_Data!G204,",","")),"")</f>
        <v>2640</v>
      </c>
      <c r="I204" s="11">
        <f t="shared" si="12"/>
        <v>460</v>
      </c>
      <c r="J204" s="11">
        <f t="shared" si="13"/>
        <v>630960</v>
      </c>
      <c r="K204" s="1">
        <f t="shared" si="14"/>
        <v>2640.0000203999998</v>
      </c>
      <c r="L204" s="15">
        <f t="shared" si="15"/>
        <v>0.66002040000000006</v>
      </c>
    </row>
    <row r="205" spans="1:12" ht="15" customHeight="1" x14ac:dyDescent="0.25">
      <c r="A205" s="10" t="str">
        <f>Raw_Data!A205</f>
        <v>Cotbolt Silicone Case Cover Compatible for Samsung BN59-01312A QLED 8K 4K Smart TV Remote Shockproof Protective Remote Cover (Black)</v>
      </c>
      <c r="B205" s="10" t="str">
        <f>IFERROR(TRIM(LEFT(Raw_Data!A205,FIND(" ",Raw_Data!A205)-1)),Raw_Data!A205)</f>
        <v>Cotbolt</v>
      </c>
      <c r="C205" s="10" t="str">
        <f>IFERROR(LEFT(Raw_Data!B205,FIND("|",Raw_Data!B205)-1),Raw_Data!B205)</f>
        <v>Electronics</v>
      </c>
      <c r="D205" s="11">
        <f>IFERROR(VALUE(SUBSTITUTE(SUBSTITUTE(TRIM(Raw_Data!C205),"₹",""),",","")),"")</f>
        <v>349</v>
      </c>
      <c r="E205" s="11">
        <f>IFERROR(VALUE(SUBSTITUTE(SUBSTITUTE(TRIM(Raw_Data!D205),"₹",""),",","")),"")</f>
        <v>999</v>
      </c>
      <c r="F205" s="12">
        <f>IFERROR(VALUE(SUBSTITUTE(Raw_Data!E205,"%",""))/100,"")</f>
        <v>0.65</v>
      </c>
      <c r="G205" s="13">
        <f>IFERROR(VALUE(Raw_Data!F205),"")</f>
        <v>4</v>
      </c>
      <c r="H205" s="14">
        <f>IFERROR(VALUE(SUBSTITUTE(Raw_Data!G205,",","")),"")</f>
        <v>839</v>
      </c>
      <c r="I205" s="11">
        <f t="shared" si="12"/>
        <v>650</v>
      </c>
      <c r="J205" s="11">
        <f t="shared" si="13"/>
        <v>292811</v>
      </c>
      <c r="K205" s="1">
        <f t="shared" si="14"/>
        <v>839.00002050000001</v>
      </c>
      <c r="L205" s="15">
        <f t="shared" si="15"/>
        <v>0.6500205</v>
      </c>
    </row>
    <row r="206" spans="1:12" ht="15" customHeight="1" x14ac:dyDescent="0.25">
      <c r="A206" s="10" t="str">
        <f>Raw_Data!A206</f>
        <v>BlueRigger High Speed HDMI Cable with Ethernet - Supports 3D, 4K 60Hz and Audio Return - Latest Version (3 Feet / 0.9 Meter)</v>
      </c>
      <c r="B206" s="10" t="str">
        <f>IFERROR(TRIM(LEFT(Raw_Data!A206,FIND(" ",Raw_Data!A206)-1)),Raw_Data!A206)</f>
        <v>BlueRigger</v>
      </c>
      <c r="C206" s="10" t="str">
        <f>IFERROR(LEFT(Raw_Data!B206,FIND("|",Raw_Data!B206)-1),Raw_Data!B206)</f>
        <v>Electronics</v>
      </c>
      <c r="D206" s="11">
        <f>IFERROR(VALUE(SUBSTITUTE(SUBSTITUTE(TRIM(Raw_Data!C206),"₹",""),",","")),"")</f>
        <v>467</v>
      </c>
      <c r="E206" s="11">
        <f>IFERROR(VALUE(SUBSTITUTE(SUBSTITUTE(TRIM(Raw_Data!D206),"₹",""),",","")),"")</f>
        <v>599</v>
      </c>
      <c r="F206" s="12">
        <f>IFERROR(VALUE(SUBSTITUTE(Raw_Data!E206,"%",""))/100,"")</f>
        <v>0.22</v>
      </c>
      <c r="G206" s="13">
        <f>IFERROR(VALUE(Raw_Data!F206),"")</f>
        <v>4.4000000000000004</v>
      </c>
      <c r="H206" s="14">
        <f>IFERROR(VALUE(SUBSTITUTE(Raw_Data!G206,",","")),"")</f>
        <v>44054</v>
      </c>
      <c r="I206" s="11">
        <f t="shared" si="12"/>
        <v>132</v>
      </c>
      <c r="J206" s="11">
        <f t="shared" si="13"/>
        <v>20573218</v>
      </c>
      <c r="K206" s="1">
        <f t="shared" si="14"/>
        <v>44054.000020599997</v>
      </c>
      <c r="L206" s="15">
        <f t="shared" si="15"/>
        <v>0.22002060000000001</v>
      </c>
    </row>
    <row r="207" spans="1:12" ht="15" customHeight="1" x14ac:dyDescent="0.25">
      <c r="A207" s="10" t="str">
        <f>Raw_Data!A207</f>
        <v>Amkette 30 Pin to USB Charging &amp; Data Sync Cable for iPhone 3G/3GS/4/4s/iPad 1/2/3, iPod Nano 5th/6th Gen and iPod Touch 3rd/4th Gen -1.5m (Black)</v>
      </c>
      <c r="B207" s="10" t="str">
        <f>IFERROR(TRIM(LEFT(Raw_Data!A207,FIND(" ",Raw_Data!A207)-1)),Raw_Data!A207)</f>
        <v>Amkette</v>
      </c>
      <c r="C207" s="10" t="str">
        <f>IFERROR(LEFT(Raw_Data!B207,FIND("|",Raw_Data!B207)-1),Raw_Data!B207)</f>
        <v>Computers&amp;Accessories</v>
      </c>
      <c r="D207" s="11">
        <f>IFERROR(VALUE(SUBSTITUTE(SUBSTITUTE(TRIM(Raw_Data!C207),"₹",""),",","")),"")</f>
        <v>449</v>
      </c>
      <c r="E207" s="11">
        <f>IFERROR(VALUE(SUBSTITUTE(SUBSTITUTE(TRIM(Raw_Data!D207),"₹",""),",","")),"")</f>
        <v>599</v>
      </c>
      <c r="F207" s="12">
        <f>IFERROR(VALUE(SUBSTITUTE(Raw_Data!E207,"%",""))/100,"")</f>
        <v>0.25</v>
      </c>
      <c r="G207" s="13">
        <f>IFERROR(VALUE(Raw_Data!F207),"")</f>
        <v>4</v>
      </c>
      <c r="H207" s="14">
        <f>IFERROR(VALUE(SUBSTITUTE(Raw_Data!G207,",","")),"")</f>
        <v>3231</v>
      </c>
      <c r="I207" s="11">
        <f t="shared" si="12"/>
        <v>150</v>
      </c>
      <c r="J207" s="11">
        <f t="shared" si="13"/>
        <v>1450719</v>
      </c>
      <c r="K207" s="1">
        <f t="shared" si="14"/>
        <v>3231.0000206999998</v>
      </c>
      <c r="L207" s="15">
        <f t="shared" si="15"/>
        <v>0.25002069999999998</v>
      </c>
    </row>
    <row r="208" spans="1:12" ht="15" customHeight="1" x14ac:dyDescent="0.25">
      <c r="A208" s="10" t="str">
        <f>Raw_Data!A208</f>
        <v>TCL 80 cm (32 inches) HD Ready Certified Android Smart LED TV 32S615 (Black)</v>
      </c>
      <c r="B208" s="10" t="str">
        <f>IFERROR(TRIM(LEFT(Raw_Data!A208,FIND(" ",Raw_Data!A208)-1)),Raw_Data!A208)</f>
        <v>TCL</v>
      </c>
      <c r="C208" s="10" t="str">
        <f>IFERROR(LEFT(Raw_Data!B208,FIND("|",Raw_Data!B208)-1),Raw_Data!B208)</f>
        <v>Electronics</v>
      </c>
      <c r="D208" s="11">
        <f>IFERROR(VALUE(SUBSTITUTE(SUBSTITUTE(TRIM(Raw_Data!C208),"₹",""),",","")),"")</f>
        <v>11990</v>
      </c>
      <c r="E208" s="11">
        <f>IFERROR(VALUE(SUBSTITUTE(SUBSTITUTE(TRIM(Raw_Data!D208),"₹",""),",","")),"")</f>
        <v>31990</v>
      </c>
      <c r="F208" s="12">
        <f>IFERROR(VALUE(SUBSTITUTE(Raw_Data!E208,"%",""))/100,"")</f>
        <v>0.63</v>
      </c>
      <c r="G208" s="13">
        <f>IFERROR(VALUE(Raw_Data!F208),"")</f>
        <v>4.2</v>
      </c>
      <c r="H208" s="14">
        <f>IFERROR(VALUE(SUBSTITUTE(Raw_Data!G208,",","")),"")</f>
        <v>64</v>
      </c>
      <c r="I208" s="11">
        <f t="shared" si="12"/>
        <v>20000</v>
      </c>
      <c r="J208" s="11">
        <f t="shared" si="13"/>
        <v>767360</v>
      </c>
      <c r="K208" s="1">
        <f t="shared" si="14"/>
        <v>64.000020800000001</v>
      </c>
      <c r="L208" s="15">
        <f t="shared" si="15"/>
        <v>0.63002080000000005</v>
      </c>
    </row>
    <row r="209" spans="1:12" ht="15" customHeight="1" x14ac:dyDescent="0.25">
      <c r="A209" s="10" t="str">
        <f>Raw_Data!A209</f>
        <v>POPIO Type C Dash Charging USB Data Cable for OnePlus Devices</v>
      </c>
      <c r="B209" s="10" t="str">
        <f>IFERROR(TRIM(LEFT(Raw_Data!A209,FIND(" ",Raw_Data!A209)-1)),Raw_Data!A209)</f>
        <v>POPIO</v>
      </c>
      <c r="C209" s="10" t="str">
        <f>IFERROR(LEFT(Raw_Data!B209,FIND("|",Raw_Data!B209)-1),Raw_Data!B209)</f>
        <v>Computers&amp;Accessories</v>
      </c>
      <c r="D209" s="11">
        <f>IFERROR(VALUE(SUBSTITUTE(SUBSTITUTE(TRIM(Raw_Data!C209),"₹",""),",","")),"")</f>
        <v>350</v>
      </c>
      <c r="E209" s="11">
        <f>IFERROR(VALUE(SUBSTITUTE(SUBSTITUTE(TRIM(Raw_Data!D209),"₹",""),",","")),"")</f>
        <v>599</v>
      </c>
      <c r="F209" s="12">
        <f>IFERROR(VALUE(SUBSTITUTE(Raw_Data!E209,"%",""))/100,"")</f>
        <v>0.42</v>
      </c>
      <c r="G209" s="13">
        <f>IFERROR(VALUE(Raw_Data!F209),"")</f>
        <v>3.9</v>
      </c>
      <c r="H209" s="14">
        <f>IFERROR(VALUE(SUBSTITUTE(Raw_Data!G209,",","")),"")</f>
        <v>8314</v>
      </c>
      <c r="I209" s="11">
        <f t="shared" si="12"/>
        <v>249</v>
      </c>
      <c r="J209" s="11">
        <f t="shared" si="13"/>
        <v>2909900</v>
      </c>
      <c r="K209" s="1">
        <f t="shared" si="14"/>
        <v>8314.0000209000009</v>
      </c>
      <c r="L209" s="15">
        <f t="shared" si="15"/>
        <v>0.42002089999999997</v>
      </c>
    </row>
    <row r="210" spans="1:12" ht="15" customHeight="1" x14ac:dyDescent="0.25">
      <c r="A210" s="10" t="str">
        <f>Raw_Data!A210</f>
        <v>MYVN LTG to USB for Fast Charging &amp; Data Sync USB Cable Compatible for iPhone 5/5s/6/6S/7/7+/8/8+/10/11, iPad Air/Mini, iPod and iOS Devices (1 M)</v>
      </c>
      <c r="B210" s="10" t="str">
        <f>IFERROR(TRIM(LEFT(Raw_Data!A210,FIND(" ",Raw_Data!A210)-1)),Raw_Data!A210)</f>
        <v>MYVN</v>
      </c>
      <c r="C210" s="10" t="str">
        <f>IFERROR(LEFT(Raw_Data!B210,FIND("|",Raw_Data!B210)-1),Raw_Data!B210)</f>
        <v>Computers&amp;Accessories</v>
      </c>
      <c r="D210" s="11">
        <f>IFERROR(VALUE(SUBSTITUTE(SUBSTITUTE(TRIM(Raw_Data!C210),"₹",""),",","")),"")</f>
        <v>252</v>
      </c>
      <c r="E210" s="11">
        <f>IFERROR(VALUE(SUBSTITUTE(SUBSTITUTE(TRIM(Raw_Data!D210),"₹",""),",","")),"")</f>
        <v>999</v>
      </c>
      <c r="F210" s="12">
        <f>IFERROR(VALUE(SUBSTITUTE(Raw_Data!E210,"%",""))/100,"")</f>
        <v>0.75</v>
      </c>
      <c r="G210" s="13">
        <f>IFERROR(VALUE(Raw_Data!F210),"")</f>
        <v>3.7</v>
      </c>
      <c r="H210" s="14">
        <f>IFERROR(VALUE(SUBSTITUTE(Raw_Data!G210,",","")),"")</f>
        <v>2249</v>
      </c>
      <c r="I210" s="11">
        <f t="shared" si="12"/>
        <v>747</v>
      </c>
      <c r="J210" s="11">
        <f t="shared" si="13"/>
        <v>566748</v>
      </c>
      <c r="K210" s="1">
        <f t="shared" si="14"/>
        <v>2249.0000209999998</v>
      </c>
      <c r="L210" s="15">
        <f t="shared" si="15"/>
        <v>0.75002100000000005</v>
      </c>
    </row>
    <row r="211" spans="1:12" ht="15" customHeight="1" x14ac:dyDescent="0.25">
      <c r="A211" s="10" t="str">
        <f>Raw_Data!A211</f>
        <v>Tata Sky Universal Remote Compatible for SD/HD</v>
      </c>
      <c r="B211" s="10" t="str">
        <f>IFERROR(TRIM(LEFT(Raw_Data!A211,FIND(" ",Raw_Data!A211)-1)),Raw_Data!A211)</f>
        <v>Tata</v>
      </c>
      <c r="C211" s="10" t="str">
        <f>IFERROR(LEFT(Raw_Data!B211,FIND("|",Raw_Data!B211)-1),Raw_Data!B211)</f>
        <v>Electronics</v>
      </c>
      <c r="D211" s="11">
        <f>IFERROR(VALUE(SUBSTITUTE(SUBSTITUTE(TRIM(Raw_Data!C211),"₹",""),",","")),"")</f>
        <v>204</v>
      </c>
      <c r="E211" s="11">
        <f>IFERROR(VALUE(SUBSTITUTE(SUBSTITUTE(TRIM(Raw_Data!D211),"₹",""),",","")),"")</f>
        <v>599</v>
      </c>
      <c r="F211" s="12">
        <f>IFERROR(VALUE(SUBSTITUTE(Raw_Data!E211,"%",""))/100,"")</f>
        <v>0.66</v>
      </c>
      <c r="G211" s="13">
        <f>IFERROR(VALUE(Raw_Data!F211),"")</f>
        <v>3.6</v>
      </c>
      <c r="H211" s="14">
        <f>IFERROR(VALUE(SUBSTITUTE(Raw_Data!G211,",","")),"")</f>
        <v>339</v>
      </c>
      <c r="I211" s="11">
        <f t="shared" si="12"/>
        <v>395</v>
      </c>
      <c r="J211" s="11">
        <f t="shared" si="13"/>
        <v>69156</v>
      </c>
      <c r="K211" s="1">
        <f t="shared" si="14"/>
        <v>339.00002110000003</v>
      </c>
      <c r="L211" s="15">
        <f t="shared" si="15"/>
        <v>0.66002110000000003</v>
      </c>
    </row>
    <row r="212" spans="1:12" ht="15" customHeight="1" x14ac:dyDescent="0.25">
      <c r="A212" s="10" t="str">
        <f>Raw_Data!A212</f>
        <v>WZATCO Pixel | Portable LED Projector | Native 720p with Full HD 1080P Support | 2000 Lumens (200 ANSI) | 176" Large Screen | Projector for Home and Outdoor | Compatible with TV Stick, PC, PS4</v>
      </c>
      <c r="B212" s="10" t="str">
        <f>IFERROR(TRIM(LEFT(Raw_Data!A212,FIND(" ",Raw_Data!A212)-1)),Raw_Data!A212)</f>
        <v>WZATCO</v>
      </c>
      <c r="C212" s="10" t="str">
        <f>IFERROR(LEFT(Raw_Data!B212,FIND("|",Raw_Data!B212)-1),Raw_Data!B212)</f>
        <v>Electronics</v>
      </c>
      <c r="D212" s="11">
        <f>IFERROR(VALUE(SUBSTITUTE(SUBSTITUTE(TRIM(Raw_Data!C212),"₹",""),",","")),"")</f>
        <v>6490</v>
      </c>
      <c r="E212" s="11">
        <f>IFERROR(VALUE(SUBSTITUTE(SUBSTITUTE(TRIM(Raw_Data!D212),"₹",""),",","")),"")</f>
        <v>9990</v>
      </c>
      <c r="F212" s="12">
        <f>IFERROR(VALUE(SUBSTITUTE(Raw_Data!E212,"%",""))/100,"")</f>
        <v>0.35</v>
      </c>
      <c r="G212" s="13">
        <f>IFERROR(VALUE(Raw_Data!F212),"")</f>
        <v>4</v>
      </c>
      <c r="H212" s="14">
        <f>IFERROR(VALUE(SUBSTITUTE(Raw_Data!G212,",","")),"")</f>
        <v>27</v>
      </c>
      <c r="I212" s="11">
        <f t="shared" si="12"/>
        <v>3500</v>
      </c>
      <c r="J212" s="11">
        <f t="shared" si="13"/>
        <v>175230</v>
      </c>
      <c r="K212" s="1">
        <f t="shared" si="14"/>
        <v>27.000021199999999</v>
      </c>
      <c r="L212" s="15">
        <f t="shared" si="15"/>
        <v>0.35002119999999998</v>
      </c>
    </row>
    <row r="213" spans="1:12" ht="15" customHeight="1" x14ac:dyDescent="0.25">
      <c r="A213" s="10" t="str">
        <f>Raw_Data!A213</f>
        <v>7SEVEN® Compatible Tata Sky Remote Control Replacement of Original dth SD HD tata Play Set top Box Remote - IR Learning Universal Remote for Any Brand TV - Pairing Must</v>
      </c>
      <c r="B213" s="10" t="str">
        <f>IFERROR(TRIM(LEFT(Raw_Data!A213,FIND(" ",Raw_Data!A213)-1)),Raw_Data!A213)</f>
        <v>7SEVEN®</v>
      </c>
      <c r="C213" s="10" t="str">
        <f>IFERROR(LEFT(Raw_Data!B213,FIND("|",Raw_Data!B213)-1),Raw_Data!B213)</f>
        <v>Electronics</v>
      </c>
      <c r="D213" s="11">
        <f>IFERROR(VALUE(SUBSTITUTE(SUBSTITUTE(TRIM(Raw_Data!C213),"₹",""),",","")),"")</f>
        <v>235</v>
      </c>
      <c r="E213" s="11">
        <f>IFERROR(VALUE(SUBSTITUTE(SUBSTITUTE(TRIM(Raw_Data!D213),"₹",""),",","")),"")</f>
        <v>599</v>
      </c>
      <c r="F213" s="12">
        <f>IFERROR(VALUE(SUBSTITUTE(Raw_Data!E213,"%",""))/100,"")</f>
        <v>0.61</v>
      </c>
      <c r="G213" s="13">
        <f>IFERROR(VALUE(Raw_Data!F213),"")</f>
        <v>3.5</v>
      </c>
      <c r="H213" s="14">
        <f>IFERROR(VALUE(SUBSTITUTE(Raw_Data!G213,",","")),"")</f>
        <v>197</v>
      </c>
      <c r="I213" s="11">
        <f t="shared" si="12"/>
        <v>364</v>
      </c>
      <c r="J213" s="11">
        <f t="shared" si="13"/>
        <v>46295</v>
      </c>
      <c r="K213" s="1">
        <f t="shared" si="14"/>
        <v>197.00002129999999</v>
      </c>
      <c r="L213" s="15">
        <f t="shared" si="15"/>
        <v>0.61002129999999999</v>
      </c>
    </row>
    <row r="214" spans="1:12" ht="15" customHeight="1" x14ac:dyDescent="0.25">
      <c r="A214" s="10" t="str">
        <f>Raw_Data!A214</f>
        <v>AmazonBasics USB 2.0 Extension Cable for Personal Computer, Printer, 2-Pack - A-Male to A-Female - 3.3 Feet (1 Meter, Black)</v>
      </c>
      <c r="B214" s="10" t="str">
        <f>IFERROR(TRIM(LEFT(Raw_Data!A214,FIND(" ",Raw_Data!A214)-1)),Raw_Data!A214)</f>
        <v>AmazonBasics</v>
      </c>
      <c r="C214" s="10" t="str">
        <f>IFERROR(LEFT(Raw_Data!B214,FIND("|",Raw_Data!B214)-1),Raw_Data!B214)</f>
        <v>Computers&amp;Accessories</v>
      </c>
      <c r="D214" s="11">
        <f>IFERROR(VALUE(SUBSTITUTE(SUBSTITUTE(TRIM(Raw_Data!C214),"₹",""),",","")),"")</f>
        <v>299</v>
      </c>
      <c r="E214" s="11">
        <f>IFERROR(VALUE(SUBSTITUTE(SUBSTITUTE(TRIM(Raw_Data!D214),"₹",""),",","")),"")</f>
        <v>800</v>
      </c>
      <c r="F214" s="12">
        <f>IFERROR(VALUE(SUBSTITUTE(Raw_Data!E214,"%",""))/100,"")</f>
        <v>0.63</v>
      </c>
      <c r="G214" s="13">
        <f>IFERROR(VALUE(Raw_Data!F214),"")</f>
        <v>4.5</v>
      </c>
      <c r="H214" s="14">
        <f>IFERROR(VALUE(SUBSTITUTE(Raw_Data!G214,",","")),"")</f>
        <v>74977</v>
      </c>
      <c r="I214" s="11">
        <f t="shared" si="12"/>
        <v>501</v>
      </c>
      <c r="J214" s="11">
        <f t="shared" si="13"/>
        <v>22418123</v>
      </c>
      <c r="K214" s="1">
        <f t="shared" si="14"/>
        <v>74977.000021400003</v>
      </c>
      <c r="L214" s="15">
        <f t="shared" si="15"/>
        <v>0.63002139999999995</v>
      </c>
    </row>
    <row r="215" spans="1:12" ht="15" customHeight="1" x14ac:dyDescent="0.25">
      <c r="A215" s="10" t="str">
        <f>Raw_Data!A215</f>
        <v>Amazon Basics USB C to Lightning TPE MFi Certified Charging Cable (White, 1.2 meter)</v>
      </c>
      <c r="B215" s="10" t="str">
        <f>IFERROR(TRIM(LEFT(Raw_Data!A215,FIND(" ",Raw_Data!A215)-1)),Raw_Data!A215)</f>
        <v>Amazon</v>
      </c>
      <c r="C215" s="10" t="str">
        <f>IFERROR(LEFT(Raw_Data!B215,FIND("|",Raw_Data!B215)-1),Raw_Data!B215)</f>
        <v>Computers&amp;Accessories</v>
      </c>
      <c r="D215" s="11">
        <f>IFERROR(VALUE(SUBSTITUTE(SUBSTITUTE(TRIM(Raw_Data!C215),"₹",""),",","")),"")</f>
        <v>799</v>
      </c>
      <c r="E215" s="11">
        <f>IFERROR(VALUE(SUBSTITUTE(SUBSTITUTE(TRIM(Raw_Data!D215),"₹",""),",","")),"")</f>
        <v>1999</v>
      </c>
      <c r="F215" s="12">
        <f>IFERROR(VALUE(SUBSTITUTE(Raw_Data!E215,"%",""))/100,"")</f>
        <v>0.6</v>
      </c>
      <c r="G215" s="13">
        <f>IFERROR(VALUE(Raw_Data!F215),"")</f>
        <v>4.2</v>
      </c>
      <c r="H215" s="14">
        <f>IFERROR(VALUE(SUBSTITUTE(Raw_Data!G215,",","")),"")</f>
        <v>8583</v>
      </c>
      <c r="I215" s="11">
        <f t="shared" si="12"/>
        <v>1200</v>
      </c>
      <c r="J215" s="11">
        <f t="shared" si="13"/>
        <v>6857817</v>
      </c>
      <c r="K215" s="1">
        <f t="shared" si="14"/>
        <v>8583.0000215</v>
      </c>
      <c r="L215" s="15">
        <f t="shared" si="15"/>
        <v>0.60002149999999999</v>
      </c>
    </row>
    <row r="216" spans="1:12" ht="15" customHeight="1" x14ac:dyDescent="0.25">
      <c r="A216" s="10" t="str">
        <f>Raw_Data!A216</f>
        <v>Crypo™ Universal Remote Compatible with Tata Sky Universal HD &amp; SD Set top Box (Also Works with All TV)</v>
      </c>
      <c r="B216" s="10" t="str">
        <f>IFERROR(TRIM(LEFT(Raw_Data!A216,FIND(" ",Raw_Data!A216)-1)),Raw_Data!A216)</f>
        <v>Crypo™</v>
      </c>
      <c r="C216" s="10" t="str">
        <f>IFERROR(LEFT(Raw_Data!B216,FIND("|",Raw_Data!B216)-1),Raw_Data!B216)</f>
        <v>Electronics</v>
      </c>
      <c r="D216" s="11">
        <f>IFERROR(VALUE(SUBSTITUTE(SUBSTITUTE(TRIM(Raw_Data!C216),"₹",""),",","")),"")</f>
        <v>299</v>
      </c>
      <c r="E216" s="11">
        <f>IFERROR(VALUE(SUBSTITUTE(SUBSTITUTE(TRIM(Raw_Data!D216),"₹",""),",","")),"")</f>
        <v>999</v>
      </c>
      <c r="F216" s="12">
        <f>IFERROR(VALUE(SUBSTITUTE(Raw_Data!E216,"%",""))/100,"")</f>
        <v>0.7</v>
      </c>
      <c r="G216" s="13">
        <f>IFERROR(VALUE(Raw_Data!F216),"")</f>
        <v>3.8</v>
      </c>
      <c r="H216" s="14">
        <f>IFERROR(VALUE(SUBSTITUTE(Raw_Data!G216,",","")),"")</f>
        <v>928</v>
      </c>
      <c r="I216" s="11">
        <f t="shared" si="12"/>
        <v>700</v>
      </c>
      <c r="J216" s="11">
        <f t="shared" si="13"/>
        <v>277472</v>
      </c>
      <c r="K216" s="1">
        <f t="shared" si="14"/>
        <v>928.00002159999997</v>
      </c>
      <c r="L216" s="15">
        <f t="shared" si="15"/>
        <v>0.70002159999999991</v>
      </c>
    </row>
    <row r="217" spans="1:12" ht="15" customHeight="1" x14ac:dyDescent="0.25">
      <c r="A217" s="10" t="str">
        <f>Raw_Data!A217</f>
        <v>Karbonn 80 cm (32 Inches) Millennium Series HD Ready LED TV KJW32NSHDF (Phantom Black) with Bezel-Less Design</v>
      </c>
      <c r="B217" s="10" t="str">
        <f>IFERROR(TRIM(LEFT(Raw_Data!A217,FIND(" ",Raw_Data!A217)-1)),Raw_Data!A217)</f>
        <v>Karbonn</v>
      </c>
      <c r="C217" s="10" t="str">
        <f>IFERROR(LEFT(Raw_Data!B217,FIND("|",Raw_Data!B217)-1),Raw_Data!B217)</f>
        <v>Electronics</v>
      </c>
      <c r="D217" s="11">
        <f>IFERROR(VALUE(SUBSTITUTE(SUBSTITUTE(TRIM(Raw_Data!C217),"₹",""),",","")),"")</f>
        <v>6999</v>
      </c>
      <c r="E217" s="11">
        <f>IFERROR(VALUE(SUBSTITUTE(SUBSTITUTE(TRIM(Raw_Data!D217),"₹",""),",","")),"")</f>
        <v>16990</v>
      </c>
      <c r="F217" s="12">
        <f>IFERROR(VALUE(SUBSTITUTE(Raw_Data!E217,"%",""))/100,"")</f>
        <v>0.59</v>
      </c>
      <c r="G217" s="13">
        <f>IFERROR(VALUE(Raw_Data!F217),"")</f>
        <v>3.8</v>
      </c>
      <c r="H217" s="14">
        <f>IFERROR(VALUE(SUBSTITUTE(Raw_Data!G217,",","")),"")</f>
        <v>110</v>
      </c>
      <c r="I217" s="11">
        <f t="shared" si="12"/>
        <v>9991</v>
      </c>
      <c r="J217" s="11">
        <f t="shared" si="13"/>
        <v>769890</v>
      </c>
      <c r="K217" s="1">
        <f t="shared" si="14"/>
        <v>110.0000217</v>
      </c>
      <c r="L217" s="15">
        <f t="shared" si="15"/>
        <v>0.59002169999999998</v>
      </c>
    </row>
    <row r="218" spans="1:12" ht="15" customHeight="1" x14ac:dyDescent="0.25">
      <c r="A218" s="10" t="str">
        <f>Raw_Data!A218</f>
        <v>OnePlus 138.7 cm (55 inches) U Series 4K LED Smart Android TV 55U1S (Black)</v>
      </c>
      <c r="B218" s="10" t="str">
        <f>IFERROR(TRIM(LEFT(Raw_Data!A218,FIND(" ",Raw_Data!A218)-1)),Raw_Data!A218)</f>
        <v>OnePlus</v>
      </c>
      <c r="C218" s="10" t="str">
        <f>IFERROR(LEFT(Raw_Data!B218,FIND("|",Raw_Data!B218)-1),Raw_Data!B218)</f>
        <v>Electronics</v>
      </c>
      <c r="D218" s="11">
        <f>IFERROR(VALUE(SUBSTITUTE(SUBSTITUTE(TRIM(Raw_Data!C218),"₹",""),",","")),"")</f>
        <v>42999</v>
      </c>
      <c r="E218" s="11">
        <f>IFERROR(VALUE(SUBSTITUTE(SUBSTITUTE(TRIM(Raw_Data!D218),"₹",""),",","")),"")</f>
        <v>59999</v>
      </c>
      <c r="F218" s="12">
        <f>IFERROR(VALUE(SUBSTITUTE(Raw_Data!E218,"%",""))/100,"")</f>
        <v>0.28000000000000003</v>
      </c>
      <c r="G218" s="13">
        <f>IFERROR(VALUE(Raw_Data!F218),"")</f>
        <v>4.0999999999999996</v>
      </c>
      <c r="H218" s="14">
        <f>IFERROR(VALUE(SUBSTITUTE(Raw_Data!G218,",","")),"")</f>
        <v>6753</v>
      </c>
      <c r="I218" s="11">
        <f t="shared" si="12"/>
        <v>17000</v>
      </c>
      <c r="J218" s="11">
        <f t="shared" si="13"/>
        <v>290372247</v>
      </c>
      <c r="K218" s="1">
        <f t="shared" si="14"/>
        <v>6753.0000217999996</v>
      </c>
      <c r="L218" s="15">
        <f t="shared" si="15"/>
        <v>0.28002180000000004</v>
      </c>
    </row>
    <row r="219" spans="1:12" ht="15" customHeight="1" x14ac:dyDescent="0.25">
      <c r="A219" s="10" t="str">
        <f>Raw_Data!A219</f>
        <v>Posh 1.5 Meter High Speed Gold Plated HDMI Male to Female Extension Cable (Black)</v>
      </c>
      <c r="B219" s="10" t="str">
        <f>IFERROR(TRIM(LEFT(Raw_Data!A219,FIND(" ",Raw_Data!A219)-1)),Raw_Data!A219)</f>
        <v>Posh</v>
      </c>
      <c r="C219" s="10" t="str">
        <f>IFERROR(LEFT(Raw_Data!B219,FIND("|",Raw_Data!B219)-1),Raw_Data!B219)</f>
        <v>Electronics</v>
      </c>
      <c r="D219" s="11">
        <f>IFERROR(VALUE(SUBSTITUTE(SUBSTITUTE(TRIM(Raw_Data!C219),"₹",""),",","")),"")</f>
        <v>173</v>
      </c>
      <c r="E219" s="11">
        <f>IFERROR(VALUE(SUBSTITUTE(SUBSTITUTE(TRIM(Raw_Data!D219),"₹",""),",","")),"")</f>
        <v>999</v>
      </c>
      <c r="F219" s="12">
        <f>IFERROR(VALUE(SUBSTITUTE(Raw_Data!E219,"%",""))/100,"")</f>
        <v>0.83</v>
      </c>
      <c r="G219" s="13">
        <f>IFERROR(VALUE(Raw_Data!F219),"")</f>
        <v>4.3</v>
      </c>
      <c r="H219" s="14">
        <f>IFERROR(VALUE(SUBSTITUTE(Raw_Data!G219,",","")),"")</f>
        <v>1237</v>
      </c>
      <c r="I219" s="11">
        <f t="shared" si="12"/>
        <v>826</v>
      </c>
      <c r="J219" s="11">
        <f t="shared" si="13"/>
        <v>214001</v>
      </c>
      <c r="K219" s="1">
        <f t="shared" si="14"/>
        <v>1237.0000219000001</v>
      </c>
      <c r="L219" s="15">
        <f t="shared" si="15"/>
        <v>0.83002189999999998</v>
      </c>
    </row>
    <row r="220" spans="1:12" ht="15" customHeight="1" x14ac:dyDescent="0.25">
      <c r="A220" s="10" t="str">
        <f>Raw_Data!A220</f>
        <v>Amazon Basics HDMI Coupler,Black</v>
      </c>
      <c r="B220" s="10" t="str">
        <f>IFERROR(TRIM(LEFT(Raw_Data!A220,FIND(" ",Raw_Data!A220)-1)),Raw_Data!A220)</f>
        <v>Amazon</v>
      </c>
      <c r="C220" s="10" t="str">
        <f>IFERROR(LEFT(Raw_Data!B220,FIND("|",Raw_Data!B220)-1),Raw_Data!B220)</f>
        <v>Electronics</v>
      </c>
      <c r="D220" s="11">
        <f>IFERROR(VALUE(SUBSTITUTE(SUBSTITUTE(TRIM(Raw_Data!C220),"₹",""),",","")),"")</f>
        <v>209</v>
      </c>
      <c r="E220" s="11">
        <f>IFERROR(VALUE(SUBSTITUTE(SUBSTITUTE(TRIM(Raw_Data!D220),"₹",""),",","")),"")</f>
        <v>600</v>
      </c>
      <c r="F220" s="12">
        <f>IFERROR(VALUE(SUBSTITUTE(Raw_Data!E220,"%",""))/100,"")</f>
        <v>0.65</v>
      </c>
      <c r="G220" s="13">
        <f>IFERROR(VALUE(Raw_Data!F220),"")</f>
        <v>4.4000000000000004</v>
      </c>
      <c r="H220" s="14">
        <f>IFERROR(VALUE(SUBSTITUTE(Raw_Data!G220,",","")),"")</f>
        <v>18872</v>
      </c>
      <c r="I220" s="11">
        <f t="shared" si="12"/>
        <v>391</v>
      </c>
      <c r="J220" s="11">
        <f t="shared" si="13"/>
        <v>3944248</v>
      </c>
      <c r="K220" s="1">
        <f t="shared" si="14"/>
        <v>18872.000022</v>
      </c>
      <c r="L220" s="15">
        <f t="shared" si="15"/>
        <v>0.65002199999999999</v>
      </c>
    </row>
    <row r="221" spans="1:12" ht="15" customHeight="1" x14ac:dyDescent="0.25">
      <c r="A221" s="10" t="str">
        <f>Raw_Data!A221</f>
        <v>boAt LTG 550v3 Lightning Apple MFi Certified Cable with Spaceship Grade Aluminium Housing,Stress Resistance, Rapid 2.4A Charging &amp; 480mbps Data Sync, 1m Length &amp; 10000+ Bends Lifespan(Mercurial Black)</v>
      </c>
      <c r="B221" s="10" t="str">
        <f>IFERROR(TRIM(LEFT(Raw_Data!A221,FIND(" ",Raw_Data!A221)-1)),Raw_Data!A221)</f>
        <v>boAt</v>
      </c>
      <c r="C221" s="10" t="str">
        <f>IFERROR(LEFT(Raw_Data!B221,FIND("|",Raw_Data!B221)-1),Raw_Data!B221)</f>
        <v>Computers&amp;Accessories</v>
      </c>
      <c r="D221" s="11">
        <f>IFERROR(VALUE(SUBSTITUTE(SUBSTITUTE(TRIM(Raw_Data!C221),"₹",""),",","")),"")</f>
        <v>848.99</v>
      </c>
      <c r="E221" s="11">
        <f>IFERROR(VALUE(SUBSTITUTE(SUBSTITUTE(TRIM(Raw_Data!D221),"₹",""),",","")),"")</f>
        <v>1490</v>
      </c>
      <c r="F221" s="12">
        <f>IFERROR(VALUE(SUBSTITUTE(Raw_Data!E221,"%",""))/100,"")</f>
        <v>0.43</v>
      </c>
      <c r="G221" s="13">
        <f>IFERROR(VALUE(Raw_Data!F221),"")</f>
        <v>3.9</v>
      </c>
      <c r="H221" s="14">
        <f>IFERROR(VALUE(SUBSTITUTE(Raw_Data!G221,",","")),"")</f>
        <v>356</v>
      </c>
      <c r="I221" s="11">
        <f t="shared" si="12"/>
        <v>641.01</v>
      </c>
      <c r="J221" s="11">
        <f t="shared" si="13"/>
        <v>302240.44</v>
      </c>
      <c r="K221" s="1">
        <f t="shared" si="14"/>
        <v>356.00002210000002</v>
      </c>
      <c r="L221" s="15">
        <f t="shared" si="15"/>
        <v>0.43002210000000002</v>
      </c>
    </row>
    <row r="222" spans="1:12" ht="15" customHeight="1" x14ac:dyDescent="0.25">
      <c r="A222" s="10" t="str">
        <f>Raw_Data!A222</f>
        <v>Wayona Nylon Braided Usb Syncing And Charging Cable Sync And Charging Cable For Iphone, Ipad (3 Ft, Black) - Pack Of 2</v>
      </c>
      <c r="B222" s="10" t="str">
        <f>IFERROR(TRIM(LEFT(Raw_Data!A222,FIND(" ",Raw_Data!A222)-1)),Raw_Data!A222)</f>
        <v>Wayona</v>
      </c>
      <c r="C222" s="10" t="str">
        <f>IFERROR(LEFT(Raw_Data!B222,FIND("|",Raw_Data!B222)-1),Raw_Data!B222)</f>
        <v>Computers&amp;Accessories</v>
      </c>
      <c r="D222" s="11">
        <f>IFERROR(VALUE(SUBSTITUTE(SUBSTITUTE(TRIM(Raw_Data!C222),"₹",""),",","")),"")</f>
        <v>649</v>
      </c>
      <c r="E222" s="11">
        <f>IFERROR(VALUE(SUBSTITUTE(SUBSTITUTE(TRIM(Raw_Data!D222),"₹",""),",","")),"")</f>
        <v>1999</v>
      </c>
      <c r="F222" s="12">
        <f>IFERROR(VALUE(SUBSTITUTE(Raw_Data!E222,"%",""))/100,"")</f>
        <v>0.68</v>
      </c>
      <c r="G222" s="13">
        <f>IFERROR(VALUE(Raw_Data!F222),"")</f>
        <v>4.2</v>
      </c>
      <c r="H222" s="14">
        <f>IFERROR(VALUE(SUBSTITUTE(Raw_Data!G222,",","")),"")</f>
        <v>24269</v>
      </c>
      <c r="I222" s="11">
        <f t="shared" si="12"/>
        <v>1350</v>
      </c>
      <c r="J222" s="11">
        <f t="shared" si="13"/>
        <v>15750581</v>
      </c>
      <c r="K222" s="1">
        <f t="shared" si="14"/>
        <v>24269.000022200002</v>
      </c>
      <c r="L222" s="15">
        <f t="shared" si="15"/>
        <v>0.68002220000000002</v>
      </c>
    </row>
    <row r="223" spans="1:12" ht="15" customHeight="1" x14ac:dyDescent="0.25">
      <c r="A223" s="10" t="str">
        <f>Raw_Data!A223</f>
        <v>Astigo Compatible Remote for Airtel Digital Set Top Box (Pairing Required with TV Remote)</v>
      </c>
      <c r="B223" s="10" t="str">
        <f>IFERROR(TRIM(LEFT(Raw_Data!A223,FIND(" ",Raw_Data!A223)-1)),Raw_Data!A223)</f>
        <v>Astigo</v>
      </c>
      <c r="C223" s="10" t="str">
        <f>IFERROR(LEFT(Raw_Data!B223,FIND("|",Raw_Data!B223)-1),Raw_Data!B223)</f>
        <v>Electronics</v>
      </c>
      <c r="D223" s="11">
        <f>IFERROR(VALUE(SUBSTITUTE(SUBSTITUTE(TRIM(Raw_Data!C223),"₹",""),",","")),"")</f>
        <v>299</v>
      </c>
      <c r="E223" s="11">
        <f>IFERROR(VALUE(SUBSTITUTE(SUBSTITUTE(TRIM(Raw_Data!D223),"₹",""),",","")),"")</f>
        <v>899</v>
      </c>
      <c r="F223" s="12">
        <f>IFERROR(VALUE(SUBSTITUTE(Raw_Data!E223,"%",""))/100,"")</f>
        <v>0.67</v>
      </c>
      <c r="G223" s="13">
        <f>IFERROR(VALUE(Raw_Data!F223),"")</f>
        <v>3.8</v>
      </c>
      <c r="H223" s="14">
        <f>IFERROR(VALUE(SUBSTITUTE(Raw_Data!G223,",","")),"")</f>
        <v>425</v>
      </c>
      <c r="I223" s="11">
        <f t="shared" si="12"/>
        <v>600</v>
      </c>
      <c r="J223" s="11">
        <f t="shared" si="13"/>
        <v>127075</v>
      </c>
      <c r="K223" s="1">
        <f t="shared" si="14"/>
        <v>425.00002230000001</v>
      </c>
      <c r="L223" s="15">
        <f t="shared" si="15"/>
        <v>0.67002230000000007</v>
      </c>
    </row>
    <row r="224" spans="1:12" ht="15" customHeight="1" x14ac:dyDescent="0.25">
      <c r="A224" s="10" t="str">
        <f>Raw_Data!A224</f>
        <v>Caprigo Heavy Duty TV Wall Mount Stand for 12 to 27 inches LED/LCD/Monitor Screen's, Full Motion Rotatable Universal TV &amp; Monitor Wall Mount Bracket with Swivel &amp; Tilt Adjustments (Single Arm - M416)</v>
      </c>
      <c r="B224" s="10" t="str">
        <f>IFERROR(TRIM(LEFT(Raw_Data!A224,FIND(" ",Raw_Data!A224)-1)),Raw_Data!A224)</f>
        <v>Caprigo</v>
      </c>
      <c r="C224" s="10" t="str">
        <f>IFERROR(LEFT(Raw_Data!B224,FIND("|",Raw_Data!B224)-1),Raw_Data!B224)</f>
        <v>Electronics</v>
      </c>
      <c r="D224" s="11">
        <f>IFERROR(VALUE(SUBSTITUTE(SUBSTITUTE(TRIM(Raw_Data!C224),"₹",""),",","")),"")</f>
        <v>399</v>
      </c>
      <c r="E224" s="11">
        <f>IFERROR(VALUE(SUBSTITUTE(SUBSTITUTE(TRIM(Raw_Data!D224),"₹",""),",","")),"")</f>
        <v>799</v>
      </c>
      <c r="F224" s="12">
        <f>IFERROR(VALUE(SUBSTITUTE(Raw_Data!E224,"%",""))/100,"")</f>
        <v>0.5</v>
      </c>
      <c r="G224" s="13">
        <f>IFERROR(VALUE(Raw_Data!F224),"")</f>
        <v>4.0999999999999996</v>
      </c>
      <c r="H224" s="14">
        <f>IFERROR(VALUE(SUBSTITUTE(Raw_Data!G224,",","")),"")</f>
        <v>1161</v>
      </c>
      <c r="I224" s="11">
        <f t="shared" si="12"/>
        <v>400</v>
      </c>
      <c r="J224" s="11">
        <f t="shared" si="13"/>
        <v>463239</v>
      </c>
      <c r="K224" s="1">
        <f t="shared" si="14"/>
        <v>1161.0000224</v>
      </c>
      <c r="L224" s="15">
        <f t="shared" si="15"/>
        <v>0.50002239999999998</v>
      </c>
    </row>
    <row r="225" spans="1:12" ht="15" customHeight="1" x14ac:dyDescent="0.25">
      <c r="A225" s="10" t="str">
        <f>Raw_Data!A225</f>
        <v>Portronics Konnect L 60W PD Type C to Type C Mobile Charging Cable, 1.2M, Fast Data Sync, Tangle Resistant, TPE+Nylon Braided(Grey)</v>
      </c>
      <c r="B225" s="10" t="str">
        <f>IFERROR(TRIM(LEFT(Raw_Data!A225,FIND(" ",Raw_Data!A225)-1)),Raw_Data!A225)</f>
        <v>Portronics</v>
      </c>
      <c r="C225" s="10" t="str">
        <f>IFERROR(LEFT(Raw_Data!B225,FIND("|",Raw_Data!B225)-1),Raw_Data!B225)</f>
        <v>Computers&amp;Accessories</v>
      </c>
      <c r="D225" s="11">
        <f>IFERROR(VALUE(SUBSTITUTE(SUBSTITUTE(TRIM(Raw_Data!C225),"₹",""),",","")),"")</f>
        <v>249</v>
      </c>
      <c r="E225" s="11">
        <f>IFERROR(VALUE(SUBSTITUTE(SUBSTITUTE(TRIM(Raw_Data!D225),"₹",""),",","")),"")</f>
        <v>499</v>
      </c>
      <c r="F225" s="12">
        <f>IFERROR(VALUE(SUBSTITUTE(Raw_Data!E225,"%",""))/100,"")</f>
        <v>0.5</v>
      </c>
      <c r="G225" s="13">
        <f>IFERROR(VALUE(Raw_Data!F225),"")</f>
        <v>4.0999999999999996</v>
      </c>
      <c r="H225" s="14">
        <f>IFERROR(VALUE(SUBSTITUTE(Raw_Data!G225,",","")),"")</f>
        <v>1508</v>
      </c>
      <c r="I225" s="11">
        <f t="shared" si="12"/>
        <v>250</v>
      </c>
      <c r="J225" s="11">
        <f t="shared" si="13"/>
        <v>375492</v>
      </c>
      <c r="K225" s="1">
        <f t="shared" si="14"/>
        <v>1508.0000224999999</v>
      </c>
      <c r="L225" s="15">
        <f t="shared" si="15"/>
        <v>0.50002250000000004</v>
      </c>
    </row>
    <row r="226" spans="1:12" ht="15" customHeight="1" x14ac:dyDescent="0.25">
      <c r="A226" s="10" t="str">
        <f>Raw_Data!A226</f>
        <v>TATA SKY HD Connection with 1 month basic package and free installation</v>
      </c>
      <c r="B226" s="10" t="str">
        <f>IFERROR(TRIM(LEFT(Raw_Data!A226,FIND(" ",Raw_Data!A226)-1)),Raw_Data!A226)</f>
        <v>TATA</v>
      </c>
      <c r="C226" s="10" t="str">
        <f>IFERROR(LEFT(Raw_Data!B226,FIND("|",Raw_Data!B226)-1),Raw_Data!B226)</f>
        <v>Electronics</v>
      </c>
      <c r="D226" s="11">
        <f>IFERROR(VALUE(SUBSTITUTE(SUBSTITUTE(TRIM(Raw_Data!C226),"₹",""),",","")),"")</f>
        <v>1249</v>
      </c>
      <c r="E226" s="11">
        <f>IFERROR(VALUE(SUBSTITUTE(SUBSTITUTE(TRIM(Raw_Data!D226),"₹",""),",","")),"")</f>
        <v>2299</v>
      </c>
      <c r="F226" s="12">
        <f>IFERROR(VALUE(SUBSTITUTE(Raw_Data!E226,"%",""))/100,"")</f>
        <v>0.46</v>
      </c>
      <c r="G226" s="13">
        <f>IFERROR(VALUE(Raw_Data!F226),"")</f>
        <v>4.3</v>
      </c>
      <c r="H226" s="14">
        <f>IFERROR(VALUE(SUBSTITUTE(Raw_Data!G226,",","")),"")</f>
        <v>7636</v>
      </c>
      <c r="I226" s="11">
        <f t="shared" si="12"/>
        <v>1050</v>
      </c>
      <c r="J226" s="11">
        <f t="shared" si="13"/>
        <v>9537364</v>
      </c>
      <c r="K226" s="1">
        <f t="shared" si="14"/>
        <v>7636.0000226000002</v>
      </c>
      <c r="L226" s="15">
        <f t="shared" si="15"/>
        <v>0.4600226</v>
      </c>
    </row>
    <row r="227" spans="1:12" ht="15" customHeight="1" x14ac:dyDescent="0.25">
      <c r="A227" s="10" t="str">
        <f>Raw_Data!A227</f>
        <v>Remote Compatible for Samsung LED/LCD Remote Control Works with Samsung LED/LCD TV by Trend Trail</v>
      </c>
      <c r="B227" s="10" t="str">
        <f>IFERROR(TRIM(LEFT(Raw_Data!A227,FIND(" ",Raw_Data!A227)-1)),Raw_Data!A227)</f>
        <v>Remote</v>
      </c>
      <c r="C227" s="10" t="str">
        <f>IFERROR(LEFT(Raw_Data!B227,FIND("|",Raw_Data!B227)-1),Raw_Data!B227)</f>
        <v>Electronics</v>
      </c>
      <c r="D227" s="11">
        <f>IFERROR(VALUE(SUBSTITUTE(SUBSTITUTE(TRIM(Raw_Data!C227),"₹",""),",","")),"")</f>
        <v>213</v>
      </c>
      <c r="E227" s="11">
        <f>IFERROR(VALUE(SUBSTITUTE(SUBSTITUTE(TRIM(Raw_Data!D227),"₹",""),",","")),"")</f>
        <v>499</v>
      </c>
      <c r="F227" s="12">
        <f>IFERROR(VALUE(SUBSTITUTE(Raw_Data!E227,"%",""))/100,"")</f>
        <v>0.56999999999999995</v>
      </c>
      <c r="G227" s="13">
        <f>IFERROR(VALUE(Raw_Data!F227),"")</f>
        <v>3.7</v>
      </c>
      <c r="H227" s="14">
        <f>IFERROR(VALUE(SUBSTITUTE(Raw_Data!G227,",","")),"")</f>
        <v>246</v>
      </c>
      <c r="I227" s="11">
        <f t="shared" si="12"/>
        <v>286</v>
      </c>
      <c r="J227" s="11">
        <f t="shared" si="13"/>
        <v>52398</v>
      </c>
      <c r="K227" s="1">
        <f t="shared" si="14"/>
        <v>246.00002269999999</v>
      </c>
      <c r="L227" s="15">
        <f t="shared" si="15"/>
        <v>0.57002269999999999</v>
      </c>
    </row>
    <row r="228" spans="1:12" ht="15" customHeight="1" x14ac:dyDescent="0.25">
      <c r="A228" s="10" t="str">
        <f>Raw_Data!A228</f>
        <v>SoniVision SA-D10 SA-D100 SA-D40 Home Theater Systems Remote Compatible with Sony RM-ANU156</v>
      </c>
      <c r="B228" s="10" t="str">
        <f>IFERROR(TRIM(LEFT(Raw_Data!A228,FIND(" ",Raw_Data!A228)-1)),Raw_Data!A228)</f>
        <v>SoniVision</v>
      </c>
      <c r="C228" s="10" t="str">
        <f>IFERROR(LEFT(Raw_Data!B228,FIND("|",Raw_Data!B228)-1),Raw_Data!B228)</f>
        <v>Electronics</v>
      </c>
      <c r="D228" s="11">
        <f>IFERROR(VALUE(SUBSTITUTE(SUBSTITUTE(TRIM(Raw_Data!C228),"₹",""),",","")),"")</f>
        <v>209</v>
      </c>
      <c r="E228" s="11">
        <f>IFERROR(VALUE(SUBSTITUTE(SUBSTITUTE(TRIM(Raw_Data!D228),"₹",""),",","")),"")</f>
        <v>499</v>
      </c>
      <c r="F228" s="12">
        <f>IFERROR(VALUE(SUBSTITUTE(Raw_Data!E228,"%",""))/100,"")</f>
        <v>0.57999999999999996</v>
      </c>
      <c r="G228" s="13">
        <f>IFERROR(VALUE(Raw_Data!F228),"")</f>
        <v>4</v>
      </c>
      <c r="H228" s="14">
        <f>IFERROR(VALUE(SUBSTITUTE(Raw_Data!G228,",","")),"")</f>
        <v>479</v>
      </c>
      <c r="I228" s="11">
        <f t="shared" si="12"/>
        <v>290</v>
      </c>
      <c r="J228" s="11">
        <f t="shared" si="13"/>
        <v>100111</v>
      </c>
      <c r="K228" s="1">
        <f t="shared" si="14"/>
        <v>479.00002280000001</v>
      </c>
      <c r="L228" s="15">
        <f t="shared" si="15"/>
        <v>0.58002279999999995</v>
      </c>
    </row>
    <row r="229" spans="1:12" ht="15" customHeight="1" x14ac:dyDescent="0.25">
      <c r="A229" s="10" t="str">
        <f>Raw_Data!A229</f>
        <v>Rts™ High Speed 3D Full HD 1080p Support (10 Meters) HDMI Male to HDMI Male Cable TV Lead 1.4V for All Hdmi Devices- Black (10M - 30 FEET)</v>
      </c>
      <c r="B229" s="10" t="str">
        <f>IFERROR(TRIM(LEFT(Raw_Data!A229,FIND(" ",Raw_Data!A229)-1)),Raw_Data!A229)</f>
        <v>Rts™</v>
      </c>
      <c r="C229" s="10" t="str">
        <f>IFERROR(LEFT(Raw_Data!B229,FIND("|",Raw_Data!B229)-1),Raw_Data!B229)</f>
        <v>Electronics</v>
      </c>
      <c r="D229" s="11">
        <f>IFERROR(VALUE(SUBSTITUTE(SUBSTITUTE(TRIM(Raw_Data!C229),"₹",""),",","")),"")</f>
        <v>598</v>
      </c>
      <c r="E229" s="11">
        <f>IFERROR(VALUE(SUBSTITUTE(SUBSTITUTE(TRIM(Raw_Data!D229),"₹",""),",","")),"")</f>
        <v>4999</v>
      </c>
      <c r="F229" s="12">
        <f>IFERROR(VALUE(SUBSTITUTE(Raw_Data!E229,"%",""))/100,"")</f>
        <v>0.88</v>
      </c>
      <c r="G229" s="13">
        <f>IFERROR(VALUE(Raw_Data!F229),"")</f>
        <v>4.2</v>
      </c>
      <c r="H229" s="14">
        <f>IFERROR(VALUE(SUBSTITUTE(Raw_Data!G229,",","")),"")</f>
        <v>910</v>
      </c>
      <c r="I229" s="11">
        <f t="shared" si="12"/>
        <v>4401</v>
      </c>
      <c r="J229" s="11">
        <f t="shared" si="13"/>
        <v>544180</v>
      </c>
      <c r="K229" s="1">
        <f t="shared" si="14"/>
        <v>910.00002289999998</v>
      </c>
      <c r="L229" s="15">
        <f t="shared" si="15"/>
        <v>0.88002290000000005</v>
      </c>
    </row>
    <row r="230" spans="1:12" ht="15" customHeight="1" x14ac:dyDescent="0.25">
      <c r="A230" s="10" t="str">
        <f>Raw_Data!A230</f>
        <v>boAt LTG 500 Apple MFI Certified for iPhone, iPad and iPod 2Mtr Data Cable(Metallic Silver)</v>
      </c>
      <c r="B230" s="10" t="str">
        <f>IFERROR(TRIM(LEFT(Raw_Data!A230,FIND(" ",Raw_Data!A230)-1)),Raw_Data!A230)</f>
        <v>boAt</v>
      </c>
      <c r="C230" s="10" t="str">
        <f>IFERROR(LEFT(Raw_Data!B230,FIND("|",Raw_Data!B230)-1),Raw_Data!B230)</f>
        <v>Computers&amp;Accessories</v>
      </c>
      <c r="D230" s="11">
        <f>IFERROR(VALUE(SUBSTITUTE(SUBSTITUTE(TRIM(Raw_Data!C230),"₹",""),",","")),"")</f>
        <v>799</v>
      </c>
      <c r="E230" s="11">
        <f>IFERROR(VALUE(SUBSTITUTE(SUBSTITUTE(TRIM(Raw_Data!D230),"₹",""),",","")),"")</f>
        <v>1749</v>
      </c>
      <c r="F230" s="12">
        <f>IFERROR(VALUE(SUBSTITUTE(Raw_Data!E230,"%",""))/100,"")</f>
        <v>0.54</v>
      </c>
      <c r="G230" s="13">
        <f>IFERROR(VALUE(Raw_Data!F230),"")</f>
        <v>4.0999999999999996</v>
      </c>
      <c r="H230" s="14">
        <f>IFERROR(VALUE(SUBSTITUTE(Raw_Data!G230,",","")),"")</f>
        <v>5626</v>
      </c>
      <c r="I230" s="11">
        <f t="shared" si="12"/>
        <v>950</v>
      </c>
      <c r="J230" s="11">
        <f t="shared" si="13"/>
        <v>4495174</v>
      </c>
      <c r="K230" s="1">
        <f t="shared" si="14"/>
        <v>5626.0000229999996</v>
      </c>
      <c r="L230" s="15">
        <f t="shared" si="15"/>
        <v>0.54002300000000003</v>
      </c>
    </row>
    <row r="231" spans="1:12" ht="15" customHeight="1" x14ac:dyDescent="0.25">
      <c r="A231" s="10" t="str">
        <f>Raw_Data!A231</f>
        <v>Agaro Blaze USBA to micro +Type C 2in1 Braided 1.2M Cable</v>
      </c>
      <c r="B231" s="10" t="str">
        <f>IFERROR(TRIM(LEFT(Raw_Data!A231,FIND(" ",Raw_Data!A231)-1)),Raw_Data!A231)</f>
        <v>Agaro</v>
      </c>
      <c r="C231" s="10" t="str">
        <f>IFERROR(LEFT(Raw_Data!B231,FIND("|",Raw_Data!B231)-1),Raw_Data!B231)</f>
        <v>Computers&amp;Accessories</v>
      </c>
      <c r="D231" s="11">
        <f>IFERROR(VALUE(SUBSTITUTE(SUBSTITUTE(TRIM(Raw_Data!C231),"₹",""),",","")),"")</f>
        <v>159</v>
      </c>
      <c r="E231" s="11">
        <f>IFERROR(VALUE(SUBSTITUTE(SUBSTITUTE(TRIM(Raw_Data!D231),"₹",""),",","")),"")</f>
        <v>595</v>
      </c>
      <c r="F231" s="12">
        <f>IFERROR(VALUE(SUBSTITUTE(Raw_Data!E231,"%",""))/100,"")</f>
        <v>0.73</v>
      </c>
      <c r="G231" s="13">
        <f>IFERROR(VALUE(Raw_Data!F231),"")</f>
        <v>4.3</v>
      </c>
      <c r="H231" s="14">
        <f>IFERROR(VALUE(SUBSTITUTE(Raw_Data!G231,",","")),"")</f>
        <v>14184</v>
      </c>
      <c r="I231" s="11">
        <f t="shared" si="12"/>
        <v>436</v>
      </c>
      <c r="J231" s="11">
        <f t="shared" si="13"/>
        <v>2255256</v>
      </c>
      <c r="K231" s="1">
        <f t="shared" si="14"/>
        <v>14184.000023099999</v>
      </c>
      <c r="L231" s="15">
        <f t="shared" si="15"/>
        <v>0.73002310000000004</v>
      </c>
    </row>
    <row r="232" spans="1:12" ht="15" customHeight="1" x14ac:dyDescent="0.25">
      <c r="A232" s="10" t="str">
        <f>Raw_Data!A232</f>
        <v>AmazonBasics 6 Feet DisplayPort to DisplayPort Cable - (Not HDMI Cable) (Gold)</v>
      </c>
      <c r="B232" s="10" t="str">
        <f>IFERROR(TRIM(LEFT(Raw_Data!A232,FIND(" ",Raw_Data!A232)-1)),Raw_Data!A232)</f>
        <v>AmazonBasics</v>
      </c>
      <c r="C232" s="10" t="str">
        <f>IFERROR(LEFT(Raw_Data!B232,FIND("|",Raw_Data!B232)-1),Raw_Data!B232)</f>
        <v>Computers&amp;Accessories</v>
      </c>
      <c r="D232" s="11">
        <f>IFERROR(VALUE(SUBSTITUTE(SUBSTITUTE(TRIM(Raw_Data!C232),"₹",""),",","")),"")</f>
        <v>499</v>
      </c>
      <c r="E232" s="11">
        <f>IFERROR(VALUE(SUBSTITUTE(SUBSTITUTE(TRIM(Raw_Data!D232),"₹",""),",","")),"")</f>
        <v>1100</v>
      </c>
      <c r="F232" s="12">
        <f>IFERROR(VALUE(SUBSTITUTE(Raw_Data!E232,"%",""))/100,"")</f>
        <v>0.55000000000000004</v>
      </c>
      <c r="G232" s="13">
        <f>IFERROR(VALUE(Raw_Data!F232),"")</f>
        <v>4.4000000000000004</v>
      </c>
      <c r="H232" s="14">
        <f>IFERROR(VALUE(SUBSTITUTE(Raw_Data!G232,",","")),"")</f>
        <v>25177</v>
      </c>
      <c r="I232" s="11">
        <f t="shared" si="12"/>
        <v>601</v>
      </c>
      <c r="J232" s="11">
        <f t="shared" si="13"/>
        <v>12563323</v>
      </c>
      <c r="K232" s="1">
        <f t="shared" si="14"/>
        <v>25177.000023199998</v>
      </c>
      <c r="L232" s="15">
        <f t="shared" si="15"/>
        <v>0.55002320000000005</v>
      </c>
    </row>
    <row r="233" spans="1:12" ht="15" customHeight="1" x14ac:dyDescent="0.25">
      <c r="A233" s="10" t="str">
        <f>Raw_Data!A233</f>
        <v>MI 108 cm (43 inches) 5X Series 4K Ultra HD LED Smart Android TV L43M6-ES (Grey)</v>
      </c>
      <c r="B233" s="10" t="str">
        <f>IFERROR(TRIM(LEFT(Raw_Data!A233,FIND(" ",Raw_Data!A233)-1)),Raw_Data!A233)</f>
        <v>MI</v>
      </c>
      <c r="C233" s="10" t="str">
        <f>IFERROR(LEFT(Raw_Data!B233,FIND("|",Raw_Data!B233)-1),Raw_Data!B233)</f>
        <v>Electronics</v>
      </c>
      <c r="D233" s="11">
        <f>IFERROR(VALUE(SUBSTITUTE(SUBSTITUTE(TRIM(Raw_Data!C233),"₹",""),",","")),"")</f>
        <v>31999</v>
      </c>
      <c r="E233" s="11">
        <f>IFERROR(VALUE(SUBSTITUTE(SUBSTITUTE(TRIM(Raw_Data!D233),"₹",""),",","")),"")</f>
        <v>49999</v>
      </c>
      <c r="F233" s="12">
        <f>IFERROR(VALUE(SUBSTITUTE(Raw_Data!E233,"%",""))/100,"")</f>
        <v>0.36</v>
      </c>
      <c r="G233" s="13">
        <f>IFERROR(VALUE(Raw_Data!F233),"")</f>
        <v>4.3</v>
      </c>
      <c r="H233" s="14">
        <f>IFERROR(VALUE(SUBSTITUTE(Raw_Data!G233,",","")),"")</f>
        <v>21252</v>
      </c>
      <c r="I233" s="11">
        <f t="shared" si="12"/>
        <v>18000</v>
      </c>
      <c r="J233" s="11">
        <f t="shared" si="13"/>
        <v>680042748</v>
      </c>
      <c r="K233" s="1">
        <f t="shared" si="14"/>
        <v>21252.000023299999</v>
      </c>
      <c r="L233" s="15">
        <f t="shared" si="15"/>
        <v>0.36002329999999999</v>
      </c>
    </row>
    <row r="234" spans="1:12" ht="15" customHeight="1" x14ac:dyDescent="0.25">
      <c r="A234" s="10" t="str">
        <f>Raw_Data!A234</f>
        <v>Sansui 140cm (55 inches) 4K Ultra HD Certified Android LED TV with Dolby Audio &amp; Dolby Vision JSW55ASUHD (Mystique Black)</v>
      </c>
      <c r="B234" s="10" t="str">
        <f>IFERROR(TRIM(LEFT(Raw_Data!A234,FIND(" ",Raw_Data!A234)-1)),Raw_Data!A234)</f>
        <v>Sansui</v>
      </c>
      <c r="C234" s="10" t="str">
        <f>IFERROR(LEFT(Raw_Data!B234,FIND("|",Raw_Data!B234)-1),Raw_Data!B234)</f>
        <v>Electronics</v>
      </c>
      <c r="D234" s="11">
        <f>IFERROR(VALUE(SUBSTITUTE(SUBSTITUTE(TRIM(Raw_Data!C234),"₹",""),",","")),"")</f>
        <v>32990</v>
      </c>
      <c r="E234" s="11">
        <f>IFERROR(VALUE(SUBSTITUTE(SUBSTITUTE(TRIM(Raw_Data!D234),"₹",""),",","")),"")</f>
        <v>56790</v>
      </c>
      <c r="F234" s="12">
        <f>IFERROR(VALUE(SUBSTITUTE(Raw_Data!E234,"%",""))/100,"")</f>
        <v>0.42</v>
      </c>
      <c r="G234" s="13">
        <f>IFERROR(VALUE(Raw_Data!F234),"")</f>
        <v>4.3</v>
      </c>
      <c r="H234" s="14">
        <f>IFERROR(VALUE(SUBSTITUTE(Raw_Data!G234,",","")),"")</f>
        <v>567</v>
      </c>
      <c r="I234" s="11">
        <f t="shared" si="12"/>
        <v>23800</v>
      </c>
      <c r="J234" s="11">
        <f t="shared" si="13"/>
        <v>18705330</v>
      </c>
      <c r="K234" s="1">
        <f t="shared" si="14"/>
        <v>567.00002340000003</v>
      </c>
      <c r="L234" s="15">
        <f t="shared" si="15"/>
        <v>0.42002339999999999</v>
      </c>
    </row>
    <row r="235" spans="1:12" ht="15" customHeight="1" x14ac:dyDescent="0.25">
      <c r="A235" s="10" t="str">
        <f>Raw_Data!A235</f>
        <v>LOHAYA LCD/LED Remote Compatible for Sony Bravia Smart LCD LED UHD OLED QLED 4K Ultra HD TV Remote Control with YouTube &amp; Netflix Function [ Compatible for Sony Tv Remote Control ]</v>
      </c>
      <c r="B235" s="10" t="str">
        <f>IFERROR(TRIM(LEFT(Raw_Data!A235,FIND(" ",Raw_Data!A235)-1)),Raw_Data!A235)</f>
        <v>LOHAYA</v>
      </c>
      <c r="C235" s="10" t="str">
        <f>IFERROR(LEFT(Raw_Data!B235,FIND("|",Raw_Data!B235)-1),Raw_Data!B235)</f>
        <v>Electronics</v>
      </c>
      <c r="D235" s="11">
        <f>IFERROR(VALUE(SUBSTITUTE(SUBSTITUTE(TRIM(Raw_Data!C235),"₹",""),",","")),"")</f>
        <v>299</v>
      </c>
      <c r="E235" s="11">
        <f>IFERROR(VALUE(SUBSTITUTE(SUBSTITUTE(TRIM(Raw_Data!D235),"₹",""),",","")),"")</f>
        <v>1199</v>
      </c>
      <c r="F235" s="12">
        <f>IFERROR(VALUE(SUBSTITUTE(Raw_Data!E235,"%",""))/100,"")</f>
        <v>0.75</v>
      </c>
      <c r="G235" s="13">
        <f>IFERROR(VALUE(Raw_Data!F235),"")</f>
        <v>3.5</v>
      </c>
      <c r="H235" s="14">
        <f>IFERROR(VALUE(SUBSTITUTE(Raw_Data!G235,",","")),"")</f>
        <v>466</v>
      </c>
      <c r="I235" s="11">
        <f t="shared" si="12"/>
        <v>900</v>
      </c>
      <c r="J235" s="11">
        <f t="shared" si="13"/>
        <v>139334</v>
      </c>
      <c r="K235" s="1">
        <f t="shared" si="14"/>
        <v>466.0000235</v>
      </c>
      <c r="L235" s="15">
        <f t="shared" si="15"/>
        <v>0.75002349999999995</v>
      </c>
    </row>
    <row r="236" spans="1:12" ht="15" customHeight="1" x14ac:dyDescent="0.25">
      <c r="A236" s="10" t="str">
        <f>Raw_Data!A236</f>
        <v>Zebronics CU3100V Fast charging Type C cable with QC 18W support, 3A max capacity, 1 meter braided cable, Data transfer and Superior durability (Braided Black )</v>
      </c>
      <c r="B236" s="10" t="str">
        <f>IFERROR(TRIM(LEFT(Raw_Data!A236,FIND(" ",Raw_Data!A236)-1)),Raw_Data!A236)</f>
        <v>Zebronics</v>
      </c>
      <c r="C236" s="10" t="str">
        <f>IFERROR(LEFT(Raw_Data!B236,FIND("|",Raw_Data!B236)-1),Raw_Data!B236)</f>
        <v>Computers&amp;Accessories</v>
      </c>
      <c r="D236" s="11">
        <f>IFERROR(VALUE(SUBSTITUTE(SUBSTITUTE(TRIM(Raw_Data!C236),"₹",""),",","")),"")</f>
        <v>128.31</v>
      </c>
      <c r="E236" s="11">
        <f>IFERROR(VALUE(SUBSTITUTE(SUBSTITUTE(TRIM(Raw_Data!D236),"₹",""),",","")),"")</f>
        <v>549</v>
      </c>
      <c r="F236" s="12">
        <f>IFERROR(VALUE(SUBSTITUTE(Raw_Data!E236,"%",""))/100,"")</f>
        <v>0.77</v>
      </c>
      <c r="G236" s="13">
        <f>IFERROR(VALUE(Raw_Data!F236),"")</f>
        <v>3.9</v>
      </c>
      <c r="H236" s="14">
        <f>IFERROR(VALUE(SUBSTITUTE(Raw_Data!G236,",","")),"")</f>
        <v>61</v>
      </c>
      <c r="I236" s="11">
        <f t="shared" si="12"/>
        <v>420.69</v>
      </c>
      <c r="J236" s="11">
        <f t="shared" si="13"/>
        <v>7826.91</v>
      </c>
      <c r="K236" s="1">
        <f t="shared" si="14"/>
        <v>61.000023599999999</v>
      </c>
      <c r="L236" s="15">
        <f t="shared" si="15"/>
        <v>0.77002360000000003</v>
      </c>
    </row>
    <row r="237" spans="1:12" ht="15" customHeight="1" x14ac:dyDescent="0.25">
      <c r="A237" s="10" t="str">
        <f>Raw_Data!A237</f>
        <v>Belkin USB C to USB-C Fast Charging Type C Cable, 60W PD, 3.3 feet (1 meter) for Laptop, Personal Computer, Tablet, Smartphone - White, USB-IF Certified</v>
      </c>
      <c r="B237" s="10" t="str">
        <f>IFERROR(TRIM(LEFT(Raw_Data!A237,FIND(" ",Raw_Data!A237)-1)),Raw_Data!A237)</f>
        <v>Belkin</v>
      </c>
      <c r="C237" s="10" t="str">
        <f>IFERROR(LEFT(Raw_Data!B237,FIND("|",Raw_Data!B237)-1),Raw_Data!B237)</f>
        <v>Computers&amp;Accessories</v>
      </c>
      <c r="D237" s="11">
        <f>IFERROR(VALUE(SUBSTITUTE(SUBSTITUTE(TRIM(Raw_Data!C237),"₹",""),",","")),"")</f>
        <v>599</v>
      </c>
      <c r="E237" s="11">
        <f>IFERROR(VALUE(SUBSTITUTE(SUBSTITUTE(TRIM(Raw_Data!D237),"₹",""),",","")),"")</f>
        <v>849</v>
      </c>
      <c r="F237" s="12">
        <f>IFERROR(VALUE(SUBSTITUTE(Raw_Data!E237,"%",""))/100,"")</f>
        <v>0.28999999999999998</v>
      </c>
      <c r="G237" s="13">
        <f>IFERROR(VALUE(Raw_Data!F237),"")</f>
        <v>4.5</v>
      </c>
      <c r="H237" s="14">
        <f>IFERROR(VALUE(SUBSTITUTE(Raw_Data!G237,",","")),"")</f>
        <v>474</v>
      </c>
      <c r="I237" s="11">
        <f t="shared" si="12"/>
        <v>250</v>
      </c>
      <c r="J237" s="11">
        <f t="shared" si="13"/>
        <v>283926</v>
      </c>
      <c r="K237" s="1">
        <f t="shared" si="14"/>
        <v>474.00002369999999</v>
      </c>
      <c r="L237" s="15">
        <f t="shared" si="15"/>
        <v>0.2900237</v>
      </c>
    </row>
    <row r="238" spans="1:12" ht="15" customHeight="1" x14ac:dyDescent="0.25">
      <c r="A238" s="10" t="str">
        <f>Raw_Data!A238</f>
        <v>7SEVEN® TCL Remote Control Smart TV RC802V Remote Compatible for TCL TV Remote Original 55EP680 40A325 49S6500 55P8S 55P8 50P8 65P8 40S6500 43S6500FS 49S6800FS 49S6800 49S6510FS(Without Voice Function/Google Assistant and Non-Bluetooth remote)</v>
      </c>
      <c r="B238" s="10" t="str">
        <f>IFERROR(TRIM(LEFT(Raw_Data!A238,FIND(" ",Raw_Data!A238)-1)),Raw_Data!A238)</f>
        <v>7SEVEN®</v>
      </c>
      <c r="C238" s="10" t="str">
        <f>IFERROR(LEFT(Raw_Data!B238,FIND("|",Raw_Data!B238)-1),Raw_Data!B238)</f>
        <v>Electronics</v>
      </c>
      <c r="D238" s="11">
        <f>IFERROR(VALUE(SUBSTITUTE(SUBSTITUTE(TRIM(Raw_Data!C238),"₹",""),",","")),"")</f>
        <v>399</v>
      </c>
      <c r="E238" s="11">
        <f>IFERROR(VALUE(SUBSTITUTE(SUBSTITUTE(TRIM(Raw_Data!D238),"₹",""),",","")),"")</f>
        <v>899</v>
      </c>
      <c r="F238" s="12">
        <f>IFERROR(VALUE(SUBSTITUTE(Raw_Data!E238,"%",""))/100,"")</f>
        <v>0.56000000000000005</v>
      </c>
      <c r="G238" s="13">
        <f>IFERROR(VALUE(Raw_Data!F238),"")</f>
        <v>3.4</v>
      </c>
      <c r="H238" s="14">
        <f>IFERROR(VALUE(SUBSTITUTE(Raw_Data!G238,",","")),"")</f>
        <v>431</v>
      </c>
      <c r="I238" s="11">
        <f t="shared" si="12"/>
        <v>500</v>
      </c>
      <c r="J238" s="11">
        <f t="shared" si="13"/>
        <v>171969</v>
      </c>
      <c r="K238" s="1">
        <f t="shared" si="14"/>
        <v>431.00002380000001</v>
      </c>
      <c r="L238" s="15">
        <f t="shared" si="15"/>
        <v>0.56002380000000007</v>
      </c>
    </row>
    <row r="239" spans="1:12" ht="15" customHeight="1" x14ac:dyDescent="0.25">
      <c r="A239" s="10" t="str">
        <f>Raw_Data!A239</f>
        <v>Wayona 3in1 Nylon Braided 66W USB Fast Charging Cable with Type C, Lightening and Micro USB Port, Compatible with iPhone, iPad, Samsung Galaxy, OnePlus, Mi, Oppo, Vivo, iQOO, Xiaomi (1M, Black)</v>
      </c>
      <c r="B239" s="10" t="str">
        <f>IFERROR(TRIM(LEFT(Raw_Data!A239,FIND(" ",Raw_Data!A239)-1)),Raw_Data!A239)</f>
        <v>Wayona</v>
      </c>
      <c r="C239" s="10" t="str">
        <f>IFERROR(LEFT(Raw_Data!B239,FIND("|",Raw_Data!B239)-1),Raw_Data!B239)</f>
        <v>Computers&amp;Accessories</v>
      </c>
      <c r="D239" s="11">
        <f>IFERROR(VALUE(SUBSTITUTE(SUBSTITUTE(TRIM(Raw_Data!C239),"₹",""),",","")),"")</f>
        <v>449</v>
      </c>
      <c r="E239" s="11">
        <f>IFERROR(VALUE(SUBSTITUTE(SUBSTITUTE(TRIM(Raw_Data!D239),"₹",""),",","")),"")</f>
        <v>1099</v>
      </c>
      <c r="F239" s="12">
        <f>IFERROR(VALUE(SUBSTITUTE(Raw_Data!E239,"%",""))/100,"")</f>
        <v>0.59</v>
      </c>
      <c r="G239" s="13">
        <f>IFERROR(VALUE(Raw_Data!F239),"")</f>
        <v>4</v>
      </c>
      <c r="H239" s="14">
        <f>IFERROR(VALUE(SUBSTITUTE(Raw_Data!G239,",","")),"")</f>
        <v>242</v>
      </c>
      <c r="I239" s="11">
        <f t="shared" si="12"/>
        <v>650</v>
      </c>
      <c r="J239" s="11">
        <f t="shared" si="13"/>
        <v>108658</v>
      </c>
      <c r="K239" s="1">
        <f t="shared" si="14"/>
        <v>242.0000239</v>
      </c>
      <c r="L239" s="15">
        <f t="shared" si="15"/>
        <v>0.59002389999999993</v>
      </c>
    </row>
    <row r="240" spans="1:12" ht="15" customHeight="1" x14ac:dyDescent="0.25">
      <c r="A240" s="10" t="str">
        <f>Raw_Data!A240</f>
        <v>Hi-Mobiler iPhone Charger Lightning Cable,2 Pack Apple MFi Certified USB iPhone Fast Chargering Cord,Data Sync Transfer for 13/12/11 Pro Max Xs X XR 8 7 6 5 5s iPad iPod More Model Cell Phone Cables</v>
      </c>
      <c r="B240" s="10" t="str">
        <f>IFERROR(TRIM(LEFT(Raw_Data!A240,FIND(" ",Raw_Data!A240)-1)),Raw_Data!A240)</f>
        <v>Hi-Mobiler</v>
      </c>
      <c r="C240" s="10" t="str">
        <f>IFERROR(LEFT(Raw_Data!B240,FIND("|",Raw_Data!B240)-1),Raw_Data!B240)</f>
        <v>Computers&amp;Accessories</v>
      </c>
      <c r="D240" s="11">
        <f>IFERROR(VALUE(SUBSTITUTE(SUBSTITUTE(TRIM(Raw_Data!C240),"₹",""),",","")),"")</f>
        <v>254</v>
      </c>
      <c r="E240" s="11">
        <f>IFERROR(VALUE(SUBSTITUTE(SUBSTITUTE(TRIM(Raw_Data!D240),"₹",""),",","")),"")</f>
        <v>799</v>
      </c>
      <c r="F240" s="12">
        <f>IFERROR(VALUE(SUBSTITUTE(Raw_Data!E240,"%",""))/100,"")</f>
        <v>0.68</v>
      </c>
      <c r="G240" s="13">
        <f>IFERROR(VALUE(Raw_Data!F240),"")</f>
        <v>4</v>
      </c>
      <c r="H240" s="14">
        <f>IFERROR(VALUE(SUBSTITUTE(Raw_Data!G240,",","")),"")</f>
        <v>2905</v>
      </c>
      <c r="I240" s="11">
        <f t="shared" si="12"/>
        <v>545</v>
      </c>
      <c r="J240" s="11">
        <f t="shared" si="13"/>
        <v>737870</v>
      </c>
      <c r="K240" s="1">
        <f t="shared" si="14"/>
        <v>2905.0000239999999</v>
      </c>
      <c r="L240" s="15">
        <f t="shared" si="15"/>
        <v>0.68002400000000007</v>
      </c>
    </row>
    <row r="241" spans="1:12" ht="15" customHeight="1" x14ac:dyDescent="0.25">
      <c r="A241" s="10" t="str">
        <f>Raw_Data!A241</f>
        <v>Amazon Basics 16-Gauge Speaker Wire - 50 Feet</v>
      </c>
      <c r="B241" s="10" t="str">
        <f>IFERROR(TRIM(LEFT(Raw_Data!A241,FIND(" ",Raw_Data!A241)-1)),Raw_Data!A241)</f>
        <v>Amazon</v>
      </c>
      <c r="C241" s="10" t="str">
        <f>IFERROR(LEFT(Raw_Data!B241,FIND("|",Raw_Data!B241)-1),Raw_Data!B241)</f>
        <v>Electronics</v>
      </c>
      <c r="D241" s="11">
        <f>IFERROR(VALUE(SUBSTITUTE(SUBSTITUTE(TRIM(Raw_Data!C241),"₹",""),",","")),"")</f>
        <v>399</v>
      </c>
      <c r="E241" s="11">
        <f>IFERROR(VALUE(SUBSTITUTE(SUBSTITUTE(TRIM(Raw_Data!D241),"₹",""),",","")),"")</f>
        <v>795</v>
      </c>
      <c r="F241" s="12">
        <f>IFERROR(VALUE(SUBSTITUTE(Raw_Data!E241,"%",""))/100,"")</f>
        <v>0.5</v>
      </c>
      <c r="G241" s="13">
        <f>IFERROR(VALUE(Raw_Data!F241),"")</f>
        <v>4.4000000000000004</v>
      </c>
      <c r="H241" s="14">
        <f>IFERROR(VALUE(SUBSTITUTE(Raw_Data!G241,",","")),"")</f>
        <v>12091</v>
      </c>
      <c r="I241" s="11">
        <f t="shared" si="12"/>
        <v>396</v>
      </c>
      <c r="J241" s="11">
        <f t="shared" si="13"/>
        <v>4824309</v>
      </c>
      <c r="K241" s="1">
        <f t="shared" si="14"/>
        <v>12091.0000241</v>
      </c>
      <c r="L241" s="15">
        <f t="shared" si="15"/>
        <v>0.50002409999999997</v>
      </c>
    </row>
    <row r="242" spans="1:12" ht="15" customHeight="1" x14ac:dyDescent="0.25">
      <c r="A242" s="10" t="str">
        <f>Raw_Data!A242</f>
        <v>Ambrane 60W / 3A Fast Charging Output Cable with Type-C to USB for Mobile, Neckband, True Wireless Earphone Charging, 480mbps Data Sync Speed, 1m Length (ACT - AZ10, White)</v>
      </c>
      <c r="B242" s="10" t="str">
        <f>IFERROR(TRIM(LEFT(Raw_Data!A242,FIND(" ",Raw_Data!A242)-1)),Raw_Data!A242)</f>
        <v>Ambrane</v>
      </c>
      <c r="C242" s="10" t="str">
        <f>IFERROR(LEFT(Raw_Data!B242,FIND("|",Raw_Data!B242)-1),Raw_Data!B242)</f>
        <v>Computers&amp;Accessories</v>
      </c>
      <c r="D242" s="11">
        <f>IFERROR(VALUE(SUBSTITUTE(SUBSTITUTE(TRIM(Raw_Data!C242),"₹",""),",","")),"")</f>
        <v>179</v>
      </c>
      <c r="E242" s="11">
        <f>IFERROR(VALUE(SUBSTITUTE(SUBSTITUTE(TRIM(Raw_Data!D242),"₹",""),",","")),"")</f>
        <v>399</v>
      </c>
      <c r="F242" s="12">
        <f>IFERROR(VALUE(SUBSTITUTE(Raw_Data!E242,"%",""))/100,"")</f>
        <v>0.55000000000000004</v>
      </c>
      <c r="G242" s="13">
        <f>IFERROR(VALUE(Raw_Data!F242),"")</f>
        <v>4</v>
      </c>
      <c r="H242" s="14">
        <f>IFERROR(VALUE(SUBSTITUTE(Raw_Data!G242,",","")),"")</f>
        <v>1423</v>
      </c>
      <c r="I242" s="11">
        <f t="shared" si="12"/>
        <v>220</v>
      </c>
      <c r="J242" s="11">
        <f t="shared" si="13"/>
        <v>254717</v>
      </c>
      <c r="K242" s="1">
        <f t="shared" si="14"/>
        <v>1423.0000242000001</v>
      </c>
      <c r="L242" s="15">
        <f t="shared" si="15"/>
        <v>0.55002420000000007</v>
      </c>
    </row>
    <row r="243" spans="1:12" ht="15" customHeight="1" x14ac:dyDescent="0.25">
      <c r="A243" s="10" t="str">
        <f>Raw_Data!A243</f>
        <v>Wayona Usb Type C To Usb Nylon Braided Quick Charger Fast Charging Short Cable For Smartphone (Samsung Galaxy S21/S20/S10/S9/S9+/Note 9/S8/Note 8, Lg G7 G5 G6, Moto G6 G7) (0.25M,Grey)</v>
      </c>
      <c r="B243" s="10" t="str">
        <f>IFERROR(TRIM(LEFT(Raw_Data!A243,FIND(" ",Raw_Data!A243)-1)),Raw_Data!A243)</f>
        <v>Wayona</v>
      </c>
      <c r="C243" s="10" t="str">
        <f>IFERROR(LEFT(Raw_Data!B243,FIND("|",Raw_Data!B243)-1),Raw_Data!B243)</f>
        <v>Computers&amp;Accessories</v>
      </c>
      <c r="D243" s="11">
        <f>IFERROR(VALUE(SUBSTITUTE(SUBSTITUTE(TRIM(Raw_Data!C243),"₹",""),",","")),"")</f>
        <v>339</v>
      </c>
      <c r="E243" s="11">
        <f>IFERROR(VALUE(SUBSTITUTE(SUBSTITUTE(TRIM(Raw_Data!D243),"₹",""),",","")),"")</f>
        <v>999</v>
      </c>
      <c r="F243" s="12">
        <f>IFERROR(VALUE(SUBSTITUTE(Raw_Data!E243,"%",""))/100,"")</f>
        <v>0.66</v>
      </c>
      <c r="G243" s="13">
        <f>IFERROR(VALUE(Raw_Data!F243),"")</f>
        <v>4.3</v>
      </c>
      <c r="H243" s="14">
        <f>IFERROR(VALUE(SUBSTITUTE(Raw_Data!G243,",","")),"")</f>
        <v>6255</v>
      </c>
      <c r="I243" s="11">
        <f t="shared" si="12"/>
        <v>660</v>
      </c>
      <c r="J243" s="11">
        <f t="shared" si="13"/>
        <v>2120445</v>
      </c>
      <c r="K243" s="1">
        <f t="shared" si="14"/>
        <v>6255.0000243000004</v>
      </c>
      <c r="L243" s="15">
        <f t="shared" si="15"/>
        <v>0.66002430000000001</v>
      </c>
    </row>
    <row r="244" spans="1:12" ht="15" customHeight="1" x14ac:dyDescent="0.25">
      <c r="A244" s="10" t="str">
        <f>Raw_Data!A244</f>
        <v>Caprigo Heavy Duty TV Wall Mount Bracket for 14 to 32 Inch LED/HD/Smart TV’s, Universal Fixed TV Wall Mount Stand (M452)</v>
      </c>
      <c r="B244" s="10" t="str">
        <f>IFERROR(TRIM(LEFT(Raw_Data!A244,FIND(" ",Raw_Data!A244)-1)),Raw_Data!A244)</f>
        <v>Caprigo</v>
      </c>
      <c r="C244" s="10" t="str">
        <f>IFERROR(LEFT(Raw_Data!B244,FIND("|",Raw_Data!B244)-1),Raw_Data!B244)</f>
        <v>Electronics</v>
      </c>
      <c r="D244" s="11">
        <f>IFERROR(VALUE(SUBSTITUTE(SUBSTITUTE(TRIM(Raw_Data!C244),"₹",""),",","")),"")</f>
        <v>399</v>
      </c>
      <c r="E244" s="11">
        <f>IFERROR(VALUE(SUBSTITUTE(SUBSTITUTE(TRIM(Raw_Data!D244),"₹",""),",","")),"")</f>
        <v>999</v>
      </c>
      <c r="F244" s="12">
        <f>IFERROR(VALUE(SUBSTITUTE(Raw_Data!E244,"%",""))/100,"")</f>
        <v>0.6</v>
      </c>
      <c r="G244" s="13">
        <f>IFERROR(VALUE(Raw_Data!F244),"")</f>
        <v>4</v>
      </c>
      <c r="H244" s="14">
        <f>IFERROR(VALUE(SUBSTITUTE(Raw_Data!G244,",","")),"")</f>
        <v>1236</v>
      </c>
      <c r="I244" s="11">
        <f t="shared" si="12"/>
        <v>600</v>
      </c>
      <c r="J244" s="11">
        <f t="shared" si="13"/>
        <v>493164</v>
      </c>
      <c r="K244" s="1">
        <f t="shared" si="14"/>
        <v>1236.0000244</v>
      </c>
      <c r="L244" s="15">
        <f t="shared" si="15"/>
        <v>0.60002440000000001</v>
      </c>
    </row>
    <row r="245" spans="1:12" ht="15" customHeight="1" x14ac:dyDescent="0.25">
      <c r="A245" s="10" t="str">
        <f>Raw_Data!A245</f>
        <v>Smashtronics® - Case for Firetv Remote, Fire Stick Remote Cover Case, Silicone Cover for TV Firestick 4K/TV 2nd Gen(3rd Gen) Remote Control - Light Weight/Anti Slip/Shockproof (Black)</v>
      </c>
      <c r="B245" s="10" t="str">
        <f>IFERROR(TRIM(LEFT(Raw_Data!A245,FIND(" ",Raw_Data!A245)-1)),Raw_Data!A245)</f>
        <v>Smashtronics®</v>
      </c>
      <c r="C245" s="10" t="str">
        <f>IFERROR(LEFT(Raw_Data!B245,FIND("|",Raw_Data!B245)-1),Raw_Data!B245)</f>
        <v>Electronics</v>
      </c>
      <c r="D245" s="11">
        <f>IFERROR(VALUE(SUBSTITUTE(SUBSTITUTE(TRIM(Raw_Data!C245),"₹",""),",","")),"")</f>
        <v>199</v>
      </c>
      <c r="E245" s="11">
        <f>IFERROR(VALUE(SUBSTITUTE(SUBSTITUTE(TRIM(Raw_Data!D245),"₹",""),",","")),"")</f>
        <v>399</v>
      </c>
      <c r="F245" s="12">
        <f>IFERROR(VALUE(SUBSTITUTE(Raw_Data!E245,"%",""))/100,"")</f>
        <v>0.5</v>
      </c>
      <c r="G245" s="13">
        <f>IFERROR(VALUE(Raw_Data!F245),"")</f>
        <v>4.2</v>
      </c>
      <c r="H245" s="14">
        <f>IFERROR(VALUE(SUBSTITUTE(Raw_Data!G245,",","")),"")</f>
        <v>1335</v>
      </c>
      <c r="I245" s="11">
        <f t="shared" si="12"/>
        <v>200</v>
      </c>
      <c r="J245" s="11">
        <f t="shared" si="13"/>
        <v>265665</v>
      </c>
      <c r="K245" s="1">
        <f t="shared" si="14"/>
        <v>1335.0000245000001</v>
      </c>
      <c r="L245" s="15">
        <f t="shared" si="15"/>
        <v>0.50002449999999998</v>
      </c>
    </row>
    <row r="246" spans="1:12" ht="15" customHeight="1" x14ac:dyDescent="0.25">
      <c r="A246" s="10" t="str">
        <f>Raw_Data!A246</f>
        <v>Electvision Remote Control for led Smart tv Compatible with VU Smart Led (Without Voice)</v>
      </c>
      <c r="B246" s="10" t="str">
        <f>IFERROR(TRIM(LEFT(Raw_Data!A246,FIND(" ",Raw_Data!A246)-1)),Raw_Data!A246)</f>
        <v>Electvision</v>
      </c>
      <c r="C246" s="10" t="str">
        <f>IFERROR(LEFT(Raw_Data!B246,FIND("|",Raw_Data!B246)-1),Raw_Data!B246)</f>
        <v>Electronics</v>
      </c>
      <c r="D246" s="11">
        <f>IFERROR(VALUE(SUBSTITUTE(SUBSTITUTE(TRIM(Raw_Data!C246),"₹",""),",","")),"")</f>
        <v>349</v>
      </c>
      <c r="E246" s="11">
        <f>IFERROR(VALUE(SUBSTITUTE(SUBSTITUTE(TRIM(Raw_Data!D246),"₹",""),",","")),"")</f>
        <v>1999</v>
      </c>
      <c r="F246" s="12">
        <f>IFERROR(VALUE(SUBSTITUTE(Raw_Data!E246,"%",""))/100,"")</f>
        <v>0.83</v>
      </c>
      <c r="G246" s="13">
        <f>IFERROR(VALUE(Raw_Data!F246),"")</f>
        <v>3.8</v>
      </c>
      <c r="H246" s="14">
        <f>IFERROR(VALUE(SUBSTITUTE(Raw_Data!G246,",","")),"")</f>
        <v>197</v>
      </c>
      <c r="I246" s="11">
        <f t="shared" si="12"/>
        <v>1650</v>
      </c>
      <c r="J246" s="11">
        <f t="shared" si="13"/>
        <v>68753</v>
      </c>
      <c r="K246" s="1">
        <f t="shared" si="14"/>
        <v>197.00002459999999</v>
      </c>
      <c r="L246" s="15">
        <f t="shared" si="15"/>
        <v>0.8300246</v>
      </c>
    </row>
    <row r="247" spans="1:12" ht="15" customHeight="1" x14ac:dyDescent="0.25">
      <c r="A247" s="10" t="str">
        <f>Raw_Data!A247</f>
        <v>Boat A 350 Type C Cable 1.5m(Jet Black)</v>
      </c>
      <c r="B247" s="10" t="str">
        <f>IFERROR(TRIM(LEFT(Raw_Data!A247,FIND(" ",Raw_Data!A247)-1)),Raw_Data!A247)</f>
        <v>Boat</v>
      </c>
      <c r="C247" s="10" t="str">
        <f>IFERROR(LEFT(Raw_Data!B247,FIND("|",Raw_Data!B247)-1),Raw_Data!B247)</f>
        <v>Computers&amp;Accessories</v>
      </c>
      <c r="D247" s="11">
        <f>IFERROR(VALUE(SUBSTITUTE(SUBSTITUTE(TRIM(Raw_Data!C247),"₹",""),",","")),"")</f>
        <v>299</v>
      </c>
      <c r="E247" s="11">
        <f>IFERROR(VALUE(SUBSTITUTE(SUBSTITUTE(TRIM(Raw_Data!D247),"₹",""),",","")),"")</f>
        <v>798</v>
      </c>
      <c r="F247" s="12">
        <f>IFERROR(VALUE(SUBSTITUTE(Raw_Data!E247,"%",""))/100,"")</f>
        <v>0.63</v>
      </c>
      <c r="G247" s="13">
        <f>IFERROR(VALUE(Raw_Data!F247),"")</f>
        <v>4.4000000000000004</v>
      </c>
      <c r="H247" s="14">
        <f>IFERROR(VALUE(SUBSTITUTE(Raw_Data!G247,",","")),"")</f>
        <v>28791</v>
      </c>
      <c r="I247" s="11">
        <f t="shared" si="12"/>
        <v>499</v>
      </c>
      <c r="J247" s="11">
        <f t="shared" si="13"/>
        <v>8608509</v>
      </c>
      <c r="K247" s="1">
        <f t="shared" si="14"/>
        <v>28791.000024699999</v>
      </c>
      <c r="L247" s="15">
        <f t="shared" si="15"/>
        <v>0.63002469999999999</v>
      </c>
    </row>
    <row r="248" spans="1:12" ht="15" customHeight="1" x14ac:dyDescent="0.25">
      <c r="A248" s="10" t="str">
        <f>Raw_Data!A248</f>
        <v>pTron Solero M241 2.4A Micro USB Data &amp; Charging Cable, Made in India, 480Mbps Data Sync, Durable 1-Meter Long USB Cable for Micro USB Devices (White)</v>
      </c>
      <c r="B248" s="10" t="str">
        <f>IFERROR(TRIM(LEFT(Raw_Data!A248,FIND(" ",Raw_Data!A248)-1)),Raw_Data!A248)</f>
        <v>pTron</v>
      </c>
      <c r="C248" s="10" t="str">
        <f>IFERROR(LEFT(Raw_Data!B248,FIND("|",Raw_Data!B248)-1),Raw_Data!B248)</f>
        <v>Computers&amp;Accessories</v>
      </c>
      <c r="D248" s="11">
        <f>IFERROR(VALUE(SUBSTITUTE(SUBSTITUTE(TRIM(Raw_Data!C248),"₹",""),",","")),"")</f>
        <v>89</v>
      </c>
      <c r="E248" s="11">
        <f>IFERROR(VALUE(SUBSTITUTE(SUBSTITUTE(TRIM(Raw_Data!D248),"₹",""),",","")),"")</f>
        <v>800</v>
      </c>
      <c r="F248" s="12">
        <f>IFERROR(VALUE(SUBSTITUTE(Raw_Data!E248,"%",""))/100,"")</f>
        <v>0.89</v>
      </c>
      <c r="G248" s="13">
        <f>IFERROR(VALUE(Raw_Data!F248),"")</f>
        <v>3.9</v>
      </c>
      <c r="H248" s="14">
        <f>IFERROR(VALUE(SUBSTITUTE(Raw_Data!G248,",","")),"")</f>
        <v>1075</v>
      </c>
      <c r="I248" s="11">
        <f t="shared" si="12"/>
        <v>711</v>
      </c>
      <c r="J248" s="11">
        <f t="shared" si="13"/>
        <v>95675</v>
      </c>
      <c r="K248" s="1">
        <f t="shared" si="14"/>
        <v>1075.0000247999999</v>
      </c>
      <c r="L248" s="15">
        <f t="shared" si="15"/>
        <v>0.89002480000000006</v>
      </c>
    </row>
    <row r="249" spans="1:12" ht="15" customHeight="1" x14ac:dyDescent="0.25">
      <c r="A249" s="10" t="str">
        <f>Raw_Data!A249</f>
        <v>AmazonBasics USB Type-C to USB Type-C 2.0 Cable for Charging Adapter, Smartphone - 9 Feet (2.7 Meters) - White</v>
      </c>
      <c r="B249" s="10" t="str">
        <f>IFERROR(TRIM(LEFT(Raw_Data!A249,FIND(" ",Raw_Data!A249)-1)),Raw_Data!A249)</f>
        <v>AmazonBasics</v>
      </c>
      <c r="C249" s="10" t="str">
        <f>IFERROR(LEFT(Raw_Data!B249,FIND("|",Raw_Data!B249)-1),Raw_Data!B249)</f>
        <v>Computers&amp;Accessories</v>
      </c>
      <c r="D249" s="11">
        <f>IFERROR(VALUE(SUBSTITUTE(SUBSTITUTE(TRIM(Raw_Data!C249),"₹",""),",","")),"")</f>
        <v>549</v>
      </c>
      <c r="E249" s="11">
        <f>IFERROR(VALUE(SUBSTITUTE(SUBSTITUTE(TRIM(Raw_Data!D249),"₹",""),",","")),"")</f>
        <v>995</v>
      </c>
      <c r="F249" s="12">
        <f>IFERROR(VALUE(SUBSTITUTE(Raw_Data!E249,"%",""))/100,"")</f>
        <v>0.45</v>
      </c>
      <c r="G249" s="13">
        <f>IFERROR(VALUE(Raw_Data!F249),"")</f>
        <v>4.2</v>
      </c>
      <c r="H249" s="14">
        <f>IFERROR(VALUE(SUBSTITUTE(Raw_Data!G249,",","")),"")</f>
        <v>29746</v>
      </c>
      <c r="I249" s="11">
        <f t="shared" si="12"/>
        <v>446</v>
      </c>
      <c r="J249" s="11">
        <f t="shared" si="13"/>
        <v>16330554</v>
      </c>
      <c r="K249" s="1">
        <f t="shared" si="14"/>
        <v>29746.0000249</v>
      </c>
      <c r="L249" s="15">
        <f t="shared" si="15"/>
        <v>0.45002490000000001</v>
      </c>
    </row>
    <row r="250" spans="1:12" ht="15" customHeight="1" x14ac:dyDescent="0.25">
      <c r="A250" s="10" t="str">
        <f>Raw_Data!A250</f>
        <v>Croma 3A Fast charge 1m Type-C to All Type-C Phones sync and charge cable, Made in India, 480Mbps Data transfer rate, Tested Durability with 8000+ bends (12 months warranty) - CRCMA0106sTC10, Black</v>
      </c>
      <c r="B250" s="10" t="str">
        <f>IFERROR(TRIM(LEFT(Raw_Data!A250,FIND(" ",Raw_Data!A250)-1)),Raw_Data!A250)</f>
        <v>Croma</v>
      </c>
      <c r="C250" s="10" t="str">
        <f>IFERROR(LEFT(Raw_Data!B250,FIND("|",Raw_Data!B250)-1),Raw_Data!B250)</f>
        <v>Computers&amp;Accessories</v>
      </c>
      <c r="D250" s="11">
        <f>IFERROR(VALUE(SUBSTITUTE(SUBSTITUTE(TRIM(Raw_Data!C250),"₹",""),",","")),"")</f>
        <v>129</v>
      </c>
      <c r="E250" s="11">
        <f>IFERROR(VALUE(SUBSTITUTE(SUBSTITUTE(TRIM(Raw_Data!D250),"₹",""),",","")),"")</f>
        <v>1000</v>
      </c>
      <c r="F250" s="12">
        <f>IFERROR(VALUE(SUBSTITUTE(Raw_Data!E250,"%",""))/100,"")</f>
        <v>0.87</v>
      </c>
      <c r="G250" s="13">
        <f>IFERROR(VALUE(Raw_Data!F250),"")</f>
        <v>3.9</v>
      </c>
      <c r="H250" s="14">
        <f>IFERROR(VALUE(SUBSTITUTE(Raw_Data!G250,",","")),"")</f>
        <v>295</v>
      </c>
      <c r="I250" s="11">
        <f t="shared" si="12"/>
        <v>871</v>
      </c>
      <c r="J250" s="11">
        <f t="shared" si="13"/>
        <v>38055</v>
      </c>
      <c r="K250" s="1">
        <f t="shared" si="14"/>
        <v>295.00002499999999</v>
      </c>
      <c r="L250" s="15">
        <f t="shared" si="15"/>
        <v>0.87002500000000005</v>
      </c>
    </row>
    <row r="251" spans="1:12" ht="15" customHeight="1" x14ac:dyDescent="0.25">
      <c r="A251" s="10" t="str">
        <f>Raw_Data!A251</f>
        <v>Sony Bravia 164 cm (65 inches) 4K Ultra HD Smart LED Google TV KD-65X74K (Black)</v>
      </c>
      <c r="B251" s="10" t="str">
        <f>IFERROR(TRIM(LEFT(Raw_Data!A251,FIND(" ",Raw_Data!A251)-1)),Raw_Data!A251)</f>
        <v>Sony</v>
      </c>
      <c r="C251" s="10" t="str">
        <f>IFERROR(LEFT(Raw_Data!B251,FIND("|",Raw_Data!B251)-1),Raw_Data!B251)</f>
        <v>Electronics</v>
      </c>
      <c r="D251" s="11">
        <f>IFERROR(VALUE(SUBSTITUTE(SUBSTITUTE(TRIM(Raw_Data!C251),"₹",""),",","")),"")</f>
        <v>77990</v>
      </c>
      <c r="E251" s="11">
        <f>IFERROR(VALUE(SUBSTITUTE(SUBSTITUTE(TRIM(Raw_Data!D251),"₹",""),",","")),"")</f>
        <v>139900</v>
      </c>
      <c r="F251" s="12">
        <f>IFERROR(VALUE(SUBSTITUTE(Raw_Data!E251,"%",""))/100,"")</f>
        <v>0.44</v>
      </c>
      <c r="G251" s="13">
        <f>IFERROR(VALUE(Raw_Data!F251),"")</f>
        <v>4.7</v>
      </c>
      <c r="H251" s="14">
        <f>IFERROR(VALUE(SUBSTITUTE(Raw_Data!G251,",","")),"")</f>
        <v>5935</v>
      </c>
      <c r="I251" s="11">
        <f t="shared" si="12"/>
        <v>61910</v>
      </c>
      <c r="J251" s="11">
        <f t="shared" si="13"/>
        <v>462870650</v>
      </c>
      <c r="K251" s="1">
        <f t="shared" si="14"/>
        <v>5935.0000251000001</v>
      </c>
      <c r="L251" s="15">
        <f t="shared" si="15"/>
        <v>0.4400251</v>
      </c>
    </row>
    <row r="252" spans="1:12" ht="15" customHeight="1" x14ac:dyDescent="0.25">
      <c r="A252" s="10" t="str">
        <f>Raw_Data!A252</f>
        <v>7SEVEN® Compatible for Mi tv Remote Control Original Suitable with Smart Android 4K LED Non Voice Command Xiaomi Redmi Remote of 4A Model 32 43 55 65 inches</v>
      </c>
      <c r="B252" s="10" t="str">
        <f>IFERROR(TRIM(LEFT(Raw_Data!A252,FIND(" ",Raw_Data!A252)-1)),Raw_Data!A252)</f>
        <v>7SEVEN®</v>
      </c>
      <c r="C252" s="10" t="str">
        <f>IFERROR(LEFT(Raw_Data!B252,FIND("|",Raw_Data!B252)-1),Raw_Data!B252)</f>
        <v>Electronics</v>
      </c>
      <c r="D252" s="11">
        <f>IFERROR(VALUE(SUBSTITUTE(SUBSTITUTE(TRIM(Raw_Data!C252),"₹",""),",","")),"")</f>
        <v>349</v>
      </c>
      <c r="E252" s="11">
        <f>IFERROR(VALUE(SUBSTITUTE(SUBSTITUTE(TRIM(Raw_Data!D252),"₹",""),",","")),"")</f>
        <v>799</v>
      </c>
      <c r="F252" s="12">
        <f>IFERROR(VALUE(SUBSTITUTE(Raw_Data!E252,"%",""))/100,"")</f>
        <v>0.56000000000000005</v>
      </c>
      <c r="G252" s="13">
        <f>IFERROR(VALUE(Raw_Data!F252),"")</f>
        <v>3.6</v>
      </c>
      <c r="H252" s="14">
        <f>IFERROR(VALUE(SUBSTITUTE(Raw_Data!G252,",","")),"")</f>
        <v>323</v>
      </c>
      <c r="I252" s="11">
        <f t="shared" si="12"/>
        <v>450</v>
      </c>
      <c r="J252" s="11">
        <f t="shared" si="13"/>
        <v>112727</v>
      </c>
      <c r="K252" s="1">
        <f t="shared" si="14"/>
        <v>323.00002519999998</v>
      </c>
      <c r="L252" s="15">
        <f t="shared" si="15"/>
        <v>0.5600252</v>
      </c>
    </row>
    <row r="253" spans="1:12" ht="15" customHeight="1" x14ac:dyDescent="0.25">
      <c r="A253" s="10" t="str">
        <f>Raw_Data!A253</f>
        <v>7SEVEN® Compatible Vu Smart Tv Remote Control Suitable for Original 4K Android LED Ultra HD UHD Vu Tv Remote with Non Voice Feature without google assistant</v>
      </c>
      <c r="B253" s="10" t="str">
        <f>IFERROR(TRIM(LEFT(Raw_Data!A253,FIND(" ",Raw_Data!A253)-1)),Raw_Data!A253)</f>
        <v>7SEVEN®</v>
      </c>
      <c r="C253" s="10" t="str">
        <f>IFERROR(LEFT(Raw_Data!B253,FIND("|",Raw_Data!B253)-1),Raw_Data!B253)</f>
        <v>Electronics</v>
      </c>
      <c r="D253" s="11">
        <f>IFERROR(VALUE(SUBSTITUTE(SUBSTITUTE(TRIM(Raw_Data!C253),"₹",""),",","")),"")</f>
        <v>499</v>
      </c>
      <c r="E253" s="11">
        <f>IFERROR(VALUE(SUBSTITUTE(SUBSTITUTE(TRIM(Raw_Data!D253),"₹",""),",","")),"")</f>
        <v>899</v>
      </c>
      <c r="F253" s="12">
        <f>IFERROR(VALUE(SUBSTITUTE(Raw_Data!E253,"%",""))/100,"")</f>
        <v>0.44</v>
      </c>
      <c r="G253" s="13">
        <f>IFERROR(VALUE(Raw_Data!F253),"")</f>
        <v>3.7</v>
      </c>
      <c r="H253" s="14">
        <f>IFERROR(VALUE(SUBSTITUTE(Raw_Data!G253,",","")),"")</f>
        <v>185</v>
      </c>
      <c r="I253" s="11">
        <f t="shared" si="12"/>
        <v>400</v>
      </c>
      <c r="J253" s="11">
        <f t="shared" si="13"/>
        <v>92315</v>
      </c>
      <c r="K253" s="1">
        <f t="shared" si="14"/>
        <v>185.0000253</v>
      </c>
      <c r="L253" s="15">
        <f t="shared" si="15"/>
        <v>0.44002530000000001</v>
      </c>
    </row>
    <row r="254" spans="1:12" ht="15" customHeight="1" x14ac:dyDescent="0.25">
      <c r="A254" s="10" t="str">
        <f>Raw_Data!A254</f>
        <v>Storite High Speed Micro USB 3.0 Cable A to Micro B for External &amp; Desktop Hard Drives 45cm</v>
      </c>
      <c r="B254" s="10" t="str">
        <f>IFERROR(TRIM(LEFT(Raw_Data!A254,FIND(" ",Raw_Data!A254)-1)),Raw_Data!A254)</f>
        <v>Storite</v>
      </c>
      <c r="C254" s="10" t="str">
        <f>IFERROR(LEFT(Raw_Data!B254,FIND("|",Raw_Data!B254)-1),Raw_Data!B254)</f>
        <v>Computers&amp;Accessories</v>
      </c>
      <c r="D254" s="11">
        <f>IFERROR(VALUE(SUBSTITUTE(SUBSTITUTE(TRIM(Raw_Data!C254),"₹",""),",","")),"")</f>
        <v>299</v>
      </c>
      <c r="E254" s="11">
        <f>IFERROR(VALUE(SUBSTITUTE(SUBSTITUTE(TRIM(Raw_Data!D254),"₹",""),",","")),"")</f>
        <v>799</v>
      </c>
      <c r="F254" s="12">
        <f>IFERROR(VALUE(SUBSTITUTE(Raw_Data!E254,"%",""))/100,"")</f>
        <v>0.63</v>
      </c>
      <c r="G254" s="13">
        <f>IFERROR(VALUE(Raw_Data!F254),"")</f>
        <v>4.2</v>
      </c>
      <c r="H254" s="14">
        <f>IFERROR(VALUE(SUBSTITUTE(Raw_Data!G254,",","")),"")</f>
        <v>2117</v>
      </c>
      <c r="I254" s="11">
        <f t="shared" si="12"/>
        <v>500</v>
      </c>
      <c r="J254" s="11">
        <f t="shared" si="13"/>
        <v>632983</v>
      </c>
      <c r="K254" s="1">
        <f t="shared" si="14"/>
        <v>2117.0000254000001</v>
      </c>
      <c r="L254" s="15">
        <f t="shared" si="15"/>
        <v>0.63002539999999996</v>
      </c>
    </row>
    <row r="255" spans="1:12" ht="15" customHeight="1" x14ac:dyDescent="0.25">
      <c r="A255" s="10" t="str">
        <f>Raw_Data!A255</f>
        <v>FLiX (Beetel) 3in1 (Type C|Micro|Iphone Lightening) Textured Pattern 3A Fast Charging Cable with QC &amp; PD Support for Type C,Micro USB &amp; Lightning Iphone Cable,Made in India,1.5 Meter Long Cable(T101)</v>
      </c>
      <c r="B255" s="10" t="str">
        <f>IFERROR(TRIM(LEFT(Raw_Data!A255,FIND(" ",Raw_Data!A255)-1)),Raw_Data!A255)</f>
        <v>FLiX</v>
      </c>
      <c r="C255" s="10" t="str">
        <f>IFERROR(LEFT(Raw_Data!B255,FIND("|",Raw_Data!B255)-1),Raw_Data!B255)</f>
        <v>Computers&amp;Accessories</v>
      </c>
      <c r="D255" s="11">
        <f>IFERROR(VALUE(SUBSTITUTE(SUBSTITUTE(TRIM(Raw_Data!C255),"₹",""),",","")),"")</f>
        <v>182</v>
      </c>
      <c r="E255" s="11">
        <f>IFERROR(VALUE(SUBSTITUTE(SUBSTITUTE(TRIM(Raw_Data!D255),"₹",""),",","")),"")</f>
        <v>599</v>
      </c>
      <c r="F255" s="12">
        <f>IFERROR(VALUE(SUBSTITUTE(Raw_Data!E255,"%",""))/100,"")</f>
        <v>0.7</v>
      </c>
      <c r="G255" s="13">
        <f>IFERROR(VALUE(Raw_Data!F255),"")</f>
        <v>4</v>
      </c>
      <c r="H255" s="14">
        <f>IFERROR(VALUE(SUBSTITUTE(Raw_Data!G255,",","")),"")</f>
        <v>9378</v>
      </c>
      <c r="I255" s="11">
        <f t="shared" si="12"/>
        <v>417</v>
      </c>
      <c r="J255" s="11">
        <f t="shared" si="13"/>
        <v>1706796</v>
      </c>
      <c r="K255" s="1">
        <f t="shared" si="14"/>
        <v>9378.0000254999995</v>
      </c>
      <c r="L255" s="15">
        <f t="shared" si="15"/>
        <v>0.70002549999999997</v>
      </c>
    </row>
    <row r="256" spans="1:12" ht="15" customHeight="1" x14ac:dyDescent="0.25">
      <c r="A256" s="10" t="str">
        <f>Raw_Data!A256</f>
        <v>SVM Products Unbreakable Set Top Box Stand with Dual Remote Holder (Black)</v>
      </c>
      <c r="B256" s="10" t="str">
        <f>IFERROR(TRIM(LEFT(Raw_Data!A256,FIND(" ",Raw_Data!A256)-1)),Raw_Data!A256)</f>
        <v>SVM</v>
      </c>
      <c r="C256" s="10" t="str">
        <f>IFERROR(LEFT(Raw_Data!B256,FIND("|",Raw_Data!B256)-1),Raw_Data!B256)</f>
        <v>Electronics</v>
      </c>
      <c r="D256" s="11">
        <f>IFERROR(VALUE(SUBSTITUTE(SUBSTITUTE(TRIM(Raw_Data!C256),"₹",""),",","")),"")</f>
        <v>96</v>
      </c>
      <c r="E256" s="11">
        <f>IFERROR(VALUE(SUBSTITUTE(SUBSTITUTE(TRIM(Raw_Data!D256),"₹",""),",","")),"")</f>
        <v>399</v>
      </c>
      <c r="F256" s="12">
        <f>IFERROR(VALUE(SUBSTITUTE(Raw_Data!E256,"%",""))/100,"")</f>
        <v>0.76</v>
      </c>
      <c r="G256" s="13">
        <f>IFERROR(VALUE(Raw_Data!F256),"")</f>
        <v>3.6</v>
      </c>
      <c r="H256" s="14">
        <f>IFERROR(VALUE(SUBSTITUTE(Raw_Data!G256,",","")),"")</f>
        <v>1796</v>
      </c>
      <c r="I256" s="11">
        <f t="shared" si="12"/>
        <v>303</v>
      </c>
      <c r="J256" s="11">
        <f t="shared" si="13"/>
        <v>172416</v>
      </c>
      <c r="K256" s="1">
        <f t="shared" si="14"/>
        <v>1796.0000256000001</v>
      </c>
      <c r="L256" s="15">
        <f t="shared" si="15"/>
        <v>0.76002559999999997</v>
      </c>
    </row>
    <row r="257" spans="1:12" ht="15" customHeight="1" x14ac:dyDescent="0.25">
      <c r="A257" s="10" t="str">
        <f>Raw_Data!A257</f>
        <v>VU 164 cm (65 inches) The GloLED Series 4K Smart LED Google TV 65GloLED (Grey)</v>
      </c>
      <c r="B257" s="10" t="str">
        <f>IFERROR(TRIM(LEFT(Raw_Data!A257,FIND(" ",Raw_Data!A257)-1)),Raw_Data!A257)</f>
        <v>VU</v>
      </c>
      <c r="C257" s="10" t="str">
        <f>IFERROR(LEFT(Raw_Data!B257,FIND("|",Raw_Data!B257)-1),Raw_Data!B257)</f>
        <v>Electronics</v>
      </c>
      <c r="D257" s="11">
        <f>IFERROR(VALUE(SUBSTITUTE(SUBSTITUTE(TRIM(Raw_Data!C257),"₹",""),",","")),"")</f>
        <v>54990</v>
      </c>
      <c r="E257" s="11">
        <f>IFERROR(VALUE(SUBSTITUTE(SUBSTITUTE(TRIM(Raw_Data!D257),"₹",""),",","")),"")</f>
        <v>85000</v>
      </c>
      <c r="F257" s="12">
        <f>IFERROR(VALUE(SUBSTITUTE(Raw_Data!E257,"%",""))/100,"")</f>
        <v>0.35</v>
      </c>
      <c r="G257" s="13">
        <f>IFERROR(VALUE(Raw_Data!F257),"")</f>
        <v>4.3</v>
      </c>
      <c r="H257" s="14">
        <f>IFERROR(VALUE(SUBSTITUTE(Raw_Data!G257,",","")),"")</f>
        <v>3587</v>
      </c>
      <c r="I257" s="11">
        <f t="shared" si="12"/>
        <v>30010</v>
      </c>
      <c r="J257" s="11">
        <f t="shared" si="13"/>
        <v>197249130</v>
      </c>
      <c r="K257" s="1">
        <f t="shared" si="14"/>
        <v>3587.0000257000002</v>
      </c>
      <c r="L257" s="15">
        <f t="shared" si="15"/>
        <v>0.3500257</v>
      </c>
    </row>
    <row r="258" spans="1:12" ht="15" customHeight="1" x14ac:dyDescent="0.25">
      <c r="A258" s="10" t="str">
        <f>Raw_Data!A258</f>
        <v>CableCreation RCA to 3.5mm Male Audio Cable, 3.5mm to 2RCA Cable Male RCA Cable,Y Splitter Stereo Jack Cable for Home Theater,Subwoofer, Receiver, Speakers and More (3Feet/0.9Meter,Black)</v>
      </c>
      <c r="B258" s="10" t="str">
        <f>IFERROR(TRIM(LEFT(Raw_Data!A258,FIND(" ",Raw_Data!A258)-1)),Raw_Data!A258)</f>
        <v>CableCreation</v>
      </c>
      <c r="C258" s="10" t="str">
        <f>IFERROR(LEFT(Raw_Data!B258,FIND("|",Raw_Data!B258)-1),Raw_Data!B258)</f>
        <v>Electronics</v>
      </c>
      <c r="D258" s="11">
        <f>IFERROR(VALUE(SUBSTITUTE(SUBSTITUTE(TRIM(Raw_Data!C258),"₹",""),",","")),"")</f>
        <v>439</v>
      </c>
      <c r="E258" s="11">
        <f>IFERROR(VALUE(SUBSTITUTE(SUBSTITUTE(TRIM(Raw_Data!D258),"₹",""),",","")),"")</f>
        <v>758</v>
      </c>
      <c r="F258" s="12">
        <f>IFERROR(VALUE(SUBSTITUTE(Raw_Data!E258,"%",""))/100,"")</f>
        <v>0.42</v>
      </c>
      <c r="G258" s="13">
        <f>IFERROR(VALUE(Raw_Data!F258),"")</f>
        <v>4.2</v>
      </c>
      <c r="H258" s="14">
        <f>IFERROR(VALUE(SUBSTITUTE(Raw_Data!G258,",","")),"")</f>
        <v>4296</v>
      </c>
      <c r="I258" s="11">
        <f t="shared" ref="I258:I321" si="16">IFERROR(E258-D258,"")</f>
        <v>319</v>
      </c>
      <c r="J258" s="11">
        <f t="shared" ref="J258:J321" si="17">IFERROR(D258*H258,"")</f>
        <v>1885944</v>
      </c>
      <c r="K258" s="1">
        <f t="shared" ref="K258:K321" si="18">IF(ISNUMBER(H258),H258+ROW()/10000000,"")</f>
        <v>4296.0000258</v>
      </c>
      <c r="L258" s="15">
        <f t="shared" ref="L258:L321" si="19">IF(ISNUMBER(F258),F258+ROW()/10000000,"")</f>
        <v>0.4200258</v>
      </c>
    </row>
    <row r="259" spans="1:12" ht="15" customHeight="1" x14ac:dyDescent="0.25">
      <c r="A259" s="10" t="str">
        <f>Raw_Data!A259</f>
        <v>Wayona USB Type C Fast Charging Cable Charger Cord 3A QC 3.0 Data Cable Compatible with Samsung Galaxy S10e S10 S9 S8 S20 Plus, Note 10 9 8, M51 A40 A50 A70, Moto G7 G8 (1M, Grey)</v>
      </c>
      <c r="B259" s="10" t="str">
        <f>IFERROR(TRIM(LEFT(Raw_Data!A259,FIND(" ",Raw_Data!A259)-1)),Raw_Data!A259)</f>
        <v>Wayona</v>
      </c>
      <c r="C259" s="10" t="str">
        <f>IFERROR(LEFT(Raw_Data!B259,FIND("|",Raw_Data!B259)-1),Raw_Data!B259)</f>
        <v>Computers&amp;Accessories</v>
      </c>
      <c r="D259" s="11">
        <f>IFERROR(VALUE(SUBSTITUTE(SUBSTITUTE(TRIM(Raw_Data!C259),"₹",""),",","")),"")</f>
        <v>299</v>
      </c>
      <c r="E259" s="11">
        <f>IFERROR(VALUE(SUBSTITUTE(SUBSTITUTE(TRIM(Raw_Data!D259),"₹",""),",","")),"")</f>
        <v>999</v>
      </c>
      <c r="F259" s="12">
        <f>IFERROR(VALUE(SUBSTITUTE(Raw_Data!E259,"%",""))/100,"")</f>
        <v>0.7</v>
      </c>
      <c r="G259" s="13">
        <f>IFERROR(VALUE(Raw_Data!F259),"")</f>
        <v>4.3</v>
      </c>
      <c r="H259" s="14">
        <f>IFERROR(VALUE(SUBSTITUTE(Raw_Data!G259,",","")),"")</f>
        <v>2651</v>
      </c>
      <c r="I259" s="11">
        <f t="shared" si="16"/>
        <v>700</v>
      </c>
      <c r="J259" s="11">
        <f t="shared" si="17"/>
        <v>792649</v>
      </c>
      <c r="K259" s="1">
        <f t="shared" si="18"/>
        <v>2651.0000258999999</v>
      </c>
      <c r="L259" s="15">
        <f t="shared" si="19"/>
        <v>0.70002589999999998</v>
      </c>
    </row>
    <row r="260" spans="1:12" ht="15" customHeight="1" x14ac:dyDescent="0.25">
      <c r="A260" s="10" t="str">
        <f>Raw_Data!A260</f>
        <v>boAt Rugged V3 Braided Micro USB Cable (Pearl White)</v>
      </c>
      <c r="B260" s="10" t="str">
        <f>IFERROR(TRIM(LEFT(Raw_Data!A260,FIND(" ",Raw_Data!A260)-1)),Raw_Data!A260)</f>
        <v>boAt</v>
      </c>
      <c r="C260" s="10" t="str">
        <f>IFERROR(LEFT(Raw_Data!B260,FIND("|",Raw_Data!B260)-1),Raw_Data!B260)</f>
        <v>Computers&amp;Accessories</v>
      </c>
      <c r="D260" s="11">
        <f>IFERROR(VALUE(SUBSTITUTE(SUBSTITUTE(TRIM(Raw_Data!C260),"₹",""),",","")),"")</f>
        <v>299</v>
      </c>
      <c r="E260" s="11">
        <f>IFERROR(VALUE(SUBSTITUTE(SUBSTITUTE(TRIM(Raw_Data!D260),"₹",""),",","")),"")</f>
        <v>799</v>
      </c>
      <c r="F260" s="12">
        <f>IFERROR(VALUE(SUBSTITUTE(Raw_Data!E260,"%",""))/100,"")</f>
        <v>0.63</v>
      </c>
      <c r="G260" s="13">
        <f>IFERROR(VALUE(Raw_Data!F260),"")</f>
        <v>4.2</v>
      </c>
      <c r="H260" s="14">
        <f>IFERROR(VALUE(SUBSTITUTE(Raw_Data!G260,",","")),"")</f>
        <v>94363</v>
      </c>
      <c r="I260" s="11">
        <f t="shared" si="16"/>
        <v>500</v>
      </c>
      <c r="J260" s="11">
        <f t="shared" si="17"/>
        <v>28214537</v>
      </c>
      <c r="K260" s="1">
        <f t="shared" si="18"/>
        <v>94363.000025999994</v>
      </c>
      <c r="L260" s="15">
        <f t="shared" si="19"/>
        <v>0.63002599999999997</v>
      </c>
    </row>
    <row r="261" spans="1:12" ht="15" customHeight="1" x14ac:dyDescent="0.25">
      <c r="A261" s="10" t="str">
        <f>Raw_Data!A261</f>
        <v>Amazon Basics USB A to Lightning PVC Molded Nylon MFi Certified Charging Cable (Black, 1.2 meter)</v>
      </c>
      <c r="B261" s="10" t="str">
        <f>IFERROR(TRIM(LEFT(Raw_Data!A261,FIND(" ",Raw_Data!A261)-1)),Raw_Data!A261)</f>
        <v>Amazon</v>
      </c>
      <c r="C261" s="10" t="str">
        <f>IFERROR(LEFT(Raw_Data!B261,FIND("|",Raw_Data!B261)-1),Raw_Data!B261)</f>
        <v>Computers&amp;Accessories</v>
      </c>
      <c r="D261" s="11">
        <f>IFERROR(VALUE(SUBSTITUTE(SUBSTITUTE(TRIM(Raw_Data!C261),"₹",""),",","")),"")</f>
        <v>789</v>
      </c>
      <c r="E261" s="11">
        <f>IFERROR(VALUE(SUBSTITUTE(SUBSTITUTE(TRIM(Raw_Data!D261),"₹",""),",","")),"")</f>
        <v>1999</v>
      </c>
      <c r="F261" s="12">
        <f>IFERROR(VALUE(SUBSTITUTE(Raw_Data!E261,"%",""))/100,"")</f>
        <v>0.61</v>
      </c>
      <c r="G261" s="13">
        <f>IFERROR(VALUE(Raw_Data!F261),"")</f>
        <v>4.2</v>
      </c>
      <c r="H261" s="14">
        <f>IFERROR(VALUE(SUBSTITUTE(Raw_Data!G261,",","")),"")</f>
        <v>34540</v>
      </c>
      <c r="I261" s="11">
        <f t="shared" si="16"/>
        <v>1210</v>
      </c>
      <c r="J261" s="11">
        <f t="shared" si="17"/>
        <v>27252060</v>
      </c>
      <c r="K261" s="1">
        <f t="shared" si="18"/>
        <v>34540.000026100002</v>
      </c>
      <c r="L261" s="15">
        <f t="shared" si="19"/>
        <v>0.61002610000000002</v>
      </c>
    </row>
    <row r="262" spans="1:12" ht="15" customHeight="1" x14ac:dyDescent="0.25">
      <c r="A262" s="10" t="str">
        <f>Raw_Data!A262</f>
        <v>AmazonBasics - High-Speed Male to Female HDMI Extension Cable - 6 Feet</v>
      </c>
      <c r="B262" s="10" t="str">
        <f>IFERROR(TRIM(LEFT(Raw_Data!A262,FIND(" ",Raw_Data!A262)-1)),Raw_Data!A262)</f>
        <v>AmazonBasics</v>
      </c>
      <c r="C262" s="10" t="str">
        <f>IFERROR(LEFT(Raw_Data!B262,FIND("|",Raw_Data!B262)-1),Raw_Data!B262)</f>
        <v>Electronics</v>
      </c>
      <c r="D262" s="11">
        <f>IFERROR(VALUE(SUBSTITUTE(SUBSTITUTE(TRIM(Raw_Data!C262),"₹",""),",","")),"")</f>
        <v>299</v>
      </c>
      <c r="E262" s="11">
        <f>IFERROR(VALUE(SUBSTITUTE(SUBSTITUTE(TRIM(Raw_Data!D262),"₹",""),",","")),"")</f>
        <v>700</v>
      </c>
      <c r="F262" s="12">
        <f>IFERROR(VALUE(SUBSTITUTE(Raw_Data!E262,"%",""))/100,"")</f>
        <v>0.56999999999999995</v>
      </c>
      <c r="G262" s="13">
        <f>IFERROR(VALUE(Raw_Data!F262),"")</f>
        <v>4.4000000000000004</v>
      </c>
      <c r="H262" s="14">
        <f>IFERROR(VALUE(SUBSTITUTE(Raw_Data!G262,",","")),"")</f>
        <v>8714</v>
      </c>
      <c r="I262" s="11">
        <f t="shared" si="16"/>
        <v>401</v>
      </c>
      <c r="J262" s="11">
        <f t="shared" si="17"/>
        <v>2605486</v>
      </c>
      <c r="K262" s="1">
        <f t="shared" si="18"/>
        <v>8714.0000261999994</v>
      </c>
      <c r="L262" s="15">
        <f t="shared" si="19"/>
        <v>0.57002619999999993</v>
      </c>
    </row>
    <row r="263" spans="1:12" ht="15" customHeight="1" x14ac:dyDescent="0.25">
      <c r="A263" s="10" t="str">
        <f>Raw_Data!A263</f>
        <v>Wayona Nylon Braided Usb Type C 3Ft 1M 3A Fast Charger Cable For Samsung Galaxy S9 S8 (Wc3Cb1, Black)</v>
      </c>
      <c r="B263" s="10" t="str">
        <f>IFERROR(TRIM(LEFT(Raw_Data!A263,FIND(" ",Raw_Data!A263)-1)),Raw_Data!A263)</f>
        <v>Wayona</v>
      </c>
      <c r="C263" s="10" t="str">
        <f>IFERROR(LEFT(Raw_Data!B263,FIND("|",Raw_Data!B263)-1),Raw_Data!B263)</f>
        <v>Computers&amp;Accessories</v>
      </c>
      <c r="D263" s="11">
        <f>IFERROR(VALUE(SUBSTITUTE(SUBSTITUTE(TRIM(Raw_Data!C263),"₹",""),",","")),"")</f>
        <v>325</v>
      </c>
      <c r="E263" s="11">
        <f>IFERROR(VALUE(SUBSTITUTE(SUBSTITUTE(TRIM(Raw_Data!D263),"₹",""),",","")),"")</f>
        <v>1099</v>
      </c>
      <c r="F263" s="12">
        <f>IFERROR(VALUE(SUBSTITUTE(Raw_Data!E263,"%",""))/100,"")</f>
        <v>0.7</v>
      </c>
      <c r="G263" s="13">
        <f>IFERROR(VALUE(Raw_Data!F263),"")</f>
        <v>4.2</v>
      </c>
      <c r="H263" s="14">
        <f>IFERROR(VALUE(SUBSTITUTE(Raw_Data!G263,",","")),"")</f>
        <v>10576</v>
      </c>
      <c r="I263" s="11">
        <f t="shared" si="16"/>
        <v>774</v>
      </c>
      <c r="J263" s="11">
        <f t="shared" si="17"/>
        <v>3437200</v>
      </c>
      <c r="K263" s="1">
        <f t="shared" si="18"/>
        <v>10576.0000263</v>
      </c>
      <c r="L263" s="15">
        <f t="shared" si="19"/>
        <v>0.70002629999999999</v>
      </c>
    </row>
    <row r="264" spans="1:12" ht="15" customHeight="1" x14ac:dyDescent="0.25">
      <c r="A264" s="10" t="str">
        <f>Raw_Data!A264</f>
        <v>Belkin Apple Certified Lightning to USB Charge and Sync Tough Braided Cable for iPhone, iPad, Air Pods, 3.3 feet (1 meters) – Black</v>
      </c>
      <c r="B264" s="10" t="str">
        <f>IFERROR(TRIM(LEFT(Raw_Data!A264,FIND(" ",Raw_Data!A264)-1)),Raw_Data!A264)</f>
        <v>Belkin</v>
      </c>
      <c r="C264" s="10" t="str">
        <f>IFERROR(LEFT(Raw_Data!B264,FIND("|",Raw_Data!B264)-1),Raw_Data!B264)</f>
        <v>Computers&amp;Accessories</v>
      </c>
      <c r="D264" s="11">
        <f>IFERROR(VALUE(SUBSTITUTE(SUBSTITUTE(TRIM(Raw_Data!C264),"₹",""),",","")),"")</f>
        <v>1299</v>
      </c>
      <c r="E264" s="11">
        <f>IFERROR(VALUE(SUBSTITUTE(SUBSTITUTE(TRIM(Raw_Data!D264),"₹",""),",","")),"")</f>
        <v>1999</v>
      </c>
      <c r="F264" s="12">
        <f>IFERROR(VALUE(SUBSTITUTE(Raw_Data!E264,"%",""))/100,"")</f>
        <v>0.35</v>
      </c>
      <c r="G264" s="13">
        <f>IFERROR(VALUE(Raw_Data!F264),"")</f>
        <v>4.4000000000000004</v>
      </c>
      <c r="H264" s="14">
        <f>IFERROR(VALUE(SUBSTITUTE(Raw_Data!G264,",","")),"")</f>
        <v>7318</v>
      </c>
      <c r="I264" s="11">
        <f t="shared" si="16"/>
        <v>700</v>
      </c>
      <c r="J264" s="11">
        <f t="shared" si="17"/>
        <v>9506082</v>
      </c>
      <c r="K264" s="1">
        <f t="shared" si="18"/>
        <v>7318.0000264</v>
      </c>
      <c r="L264" s="15">
        <f t="shared" si="19"/>
        <v>0.35002639999999996</v>
      </c>
    </row>
    <row r="265" spans="1:12" ht="15" customHeight="1" x14ac:dyDescent="0.25">
      <c r="A265" s="10" t="str">
        <f>Raw_Data!A265</f>
        <v>7SEVEN Compatible LG TV Remote Suitable for LG Non Magic Smart tv Remote Control (Mouse &amp; Voice Non-Support) MR20GA Prime Video and Netflix Hotkeys</v>
      </c>
      <c r="B265" s="10" t="str">
        <f>IFERROR(TRIM(LEFT(Raw_Data!A265,FIND(" ",Raw_Data!A265)-1)),Raw_Data!A265)</f>
        <v>7SEVEN</v>
      </c>
      <c r="C265" s="10" t="str">
        <f>IFERROR(LEFT(Raw_Data!B265,FIND("|",Raw_Data!B265)-1),Raw_Data!B265)</f>
        <v>Electronics</v>
      </c>
      <c r="D265" s="11">
        <f>IFERROR(VALUE(SUBSTITUTE(SUBSTITUTE(TRIM(Raw_Data!C265),"₹",""),",","")),"")</f>
        <v>790</v>
      </c>
      <c r="E265" s="11">
        <f>IFERROR(VALUE(SUBSTITUTE(SUBSTITUTE(TRIM(Raw_Data!D265),"₹",""),",","")),"")</f>
        <v>1999</v>
      </c>
      <c r="F265" s="12">
        <f>IFERROR(VALUE(SUBSTITUTE(Raw_Data!E265,"%",""))/100,"")</f>
        <v>0.6</v>
      </c>
      <c r="G265" s="13">
        <f>IFERROR(VALUE(Raw_Data!F265),"")</f>
        <v>3</v>
      </c>
      <c r="H265" s="14">
        <f>IFERROR(VALUE(SUBSTITUTE(Raw_Data!G265,",","")),"")</f>
        <v>103</v>
      </c>
      <c r="I265" s="11">
        <f t="shared" si="16"/>
        <v>1209</v>
      </c>
      <c r="J265" s="11">
        <f t="shared" si="17"/>
        <v>81370</v>
      </c>
      <c r="K265" s="1">
        <f t="shared" si="18"/>
        <v>103.0000265</v>
      </c>
      <c r="L265" s="15">
        <f t="shared" si="19"/>
        <v>0.60002650000000002</v>
      </c>
    </row>
    <row r="266" spans="1:12" ht="15" customHeight="1" x14ac:dyDescent="0.25">
      <c r="A266" s="10" t="str">
        <f>Raw_Data!A266</f>
        <v>Realme Smart TV Stick 4K</v>
      </c>
      <c r="B266" s="10" t="str">
        <f>IFERROR(TRIM(LEFT(Raw_Data!A266,FIND(" ",Raw_Data!A266)-1)),Raw_Data!A266)</f>
        <v>Realme</v>
      </c>
      <c r="C266" s="10" t="str">
        <f>IFERROR(LEFT(Raw_Data!B266,FIND("|",Raw_Data!B266)-1),Raw_Data!B266)</f>
        <v>Electronics</v>
      </c>
      <c r="D266" s="11">
        <f>IFERROR(VALUE(SUBSTITUTE(SUBSTITUTE(TRIM(Raw_Data!C266),"₹",""),",","")),"")</f>
        <v>4699</v>
      </c>
      <c r="E266" s="11">
        <f>IFERROR(VALUE(SUBSTITUTE(SUBSTITUTE(TRIM(Raw_Data!D266),"₹",""),",","")),"")</f>
        <v>4699</v>
      </c>
      <c r="F266" s="12">
        <f>IFERROR(VALUE(SUBSTITUTE(Raw_Data!E266,"%",""))/100,"")</f>
        <v>0</v>
      </c>
      <c r="G266" s="13">
        <f>IFERROR(VALUE(Raw_Data!F266),"")</f>
        <v>4.5</v>
      </c>
      <c r="H266" s="14">
        <f>IFERROR(VALUE(SUBSTITUTE(Raw_Data!G266,",","")),"")</f>
        <v>224</v>
      </c>
      <c r="I266" s="11">
        <f t="shared" si="16"/>
        <v>0</v>
      </c>
      <c r="J266" s="11">
        <f t="shared" si="17"/>
        <v>1052576</v>
      </c>
      <c r="K266" s="1">
        <f t="shared" si="18"/>
        <v>224.00002660000001</v>
      </c>
      <c r="L266" s="15">
        <f t="shared" si="19"/>
        <v>2.6599999999999999E-5</v>
      </c>
    </row>
    <row r="267" spans="1:12" ht="15" customHeight="1" x14ac:dyDescent="0.25">
      <c r="A267" s="10" t="str">
        <f>Raw_Data!A267</f>
        <v>Acer 100 cm (40 inches) P Series Full HD Android Smart LED TV AR40AR2841FDFL (Black)</v>
      </c>
      <c r="B267" s="10" t="str">
        <f>IFERROR(TRIM(LEFT(Raw_Data!A267,FIND(" ",Raw_Data!A267)-1)),Raw_Data!A267)</f>
        <v>Acer</v>
      </c>
      <c r="C267" s="10" t="str">
        <f>IFERROR(LEFT(Raw_Data!B267,FIND("|",Raw_Data!B267)-1),Raw_Data!B267)</f>
        <v>Electronics</v>
      </c>
      <c r="D267" s="11">
        <f>IFERROR(VALUE(SUBSTITUTE(SUBSTITUTE(TRIM(Raw_Data!C267),"₹",""),",","")),"")</f>
        <v>18999</v>
      </c>
      <c r="E267" s="11">
        <f>IFERROR(VALUE(SUBSTITUTE(SUBSTITUTE(TRIM(Raw_Data!D267),"₹",""),",","")),"")</f>
        <v>24990</v>
      </c>
      <c r="F267" s="12">
        <f>IFERROR(VALUE(SUBSTITUTE(Raw_Data!E267,"%",""))/100,"")</f>
        <v>0.24</v>
      </c>
      <c r="G267" s="13">
        <f>IFERROR(VALUE(Raw_Data!F267),"")</f>
        <v>4.3</v>
      </c>
      <c r="H267" s="14">
        <f>IFERROR(VALUE(SUBSTITUTE(Raw_Data!G267,",","")),"")</f>
        <v>4702</v>
      </c>
      <c r="I267" s="11">
        <f t="shared" si="16"/>
        <v>5991</v>
      </c>
      <c r="J267" s="11">
        <f t="shared" si="17"/>
        <v>89333298</v>
      </c>
      <c r="K267" s="1">
        <f t="shared" si="18"/>
        <v>4702.0000266999996</v>
      </c>
      <c r="L267" s="15">
        <f t="shared" si="19"/>
        <v>0.24002669999999998</v>
      </c>
    </row>
    <row r="268" spans="1:12" ht="15" customHeight="1" x14ac:dyDescent="0.25">
      <c r="A268" s="10" t="str">
        <f>Raw_Data!A268</f>
        <v>Lapster usb 2.0 mantra cable, mantra mfs 100 data cable (black)</v>
      </c>
      <c r="B268" s="10" t="str">
        <f>IFERROR(TRIM(LEFT(Raw_Data!A268,FIND(" ",Raw_Data!A268)-1)),Raw_Data!A268)</f>
        <v>Lapster</v>
      </c>
      <c r="C268" s="10" t="str">
        <f>IFERROR(LEFT(Raw_Data!B268,FIND("|",Raw_Data!B268)-1),Raw_Data!B268)</f>
        <v>Computers&amp;Accessories</v>
      </c>
      <c r="D268" s="11">
        <f>IFERROR(VALUE(SUBSTITUTE(SUBSTITUTE(TRIM(Raw_Data!C268),"₹",""),",","")),"")</f>
        <v>199</v>
      </c>
      <c r="E268" s="11">
        <f>IFERROR(VALUE(SUBSTITUTE(SUBSTITUTE(TRIM(Raw_Data!D268),"₹",""),",","")),"")</f>
        <v>999</v>
      </c>
      <c r="F268" s="12">
        <f>IFERROR(VALUE(SUBSTITUTE(Raw_Data!E268,"%",""))/100,"")</f>
        <v>0.8</v>
      </c>
      <c r="G268" s="13">
        <f>IFERROR(VALUE(Raw_Data!F268),"")</f>
        <v>4.2</v>
      </c>
      <c r="H268" s="14">
        <f>IFERROR(VALUE(SUBSTITUTE(Raw_Data!G268,",","")),"")</f>
        <v>85</v>
      </c>
      <c r="I268" s="11">
        <f t="shared" si="16"/>
        <v>800</v>
      </c>
      <c r="J268" s="11">
        <f t="shared" si="17"/>
        <v>16915</v>
      </c>
      <c r="K268" s="1">
        <f t="shared" si="18"/>
        <v>85.000026800000001</v>
      </c>
      <c r="L268" s="15">
        <f t="shared" si="19"/>
        <v>0.80002680000000004</v>
      </c>
    </row>
    <row r="269" spans="1:12" ht="15" customHeight="1" x14ac:dyDescent="0.25">
      <c r="A269" s="10" t="str">
        <f>Raw_Data!A269</f>
        <v>AmazonBasics High-Speed Braided HDMI Cable - 3 Feet - Supports Ethernet, 3D, 4K and Audio Return (Black)</v>
      </c>
      <c r="B269" s="10" t="str">
        <f>IFERROR(TRIM(LEFT(Raw_Data!A269,FIND(" ",Raw_Data!A269)-1)),Raw_Data!A269)</f>
        <v>AmazonBasics</v>
      </c>
      <c r="C269" s="10" t="str">
        <f>IFERROR(LEFT(Raw_Data!B269,FIND("|",Raw_Data!B269)-1),Raw_Data!B269)</f>
        <v>Electronics</v>
      </c>
      <c r="D269" s="11">
        <f>IFERROR(VALUE(SUBSTITUTE(SUBSTITUTE(TRIM(Raw_Data!C269),"₹",""),",","")),"")</f>
        <v>269</v>
      </c>
      <c r="E269" s="11">
        <f>IFERROR(VALUE(SUBSTITUTE(SUBSTITUTE(TRIM(Raw_Data!D269),"₹",""),",","")),"")</f>
        <v>650</v>
      </c>
      <c r="F269" s="12">
        <f>IFERROR(VALUE(SUBSTITUTE(Raw_Data!E269,"%",""))/100,"")</f>
        <v>0.59</v>
      </c>
      <c r="G269" s="13">
        <f>IFERROR(VALUE(Raw_Data!F269),"")</f>
        <v>4.4000000000000004</v>
      </c>
      <c r="H269" s="14">
        <f>IFERROR(VALUE(SUBSTITUTE(Raw_Data!G269,",","")),"")</f>
        <v>35877</v>
      </c>
      <c r="I269" s="11">
        <f t="shared" si="16"/>
        <v>381</v>
      </c>
      <c r="J269" s="11">
        <f t="shared" si="17"/>
        <v>9650913</v>
      </c>
      <c r="K269" s="1">
        <f t="shared" si="18"/>
        <v>35877.000026900001</v>
      </c>
      <c r="L269" s="15">
        <f t="shared" si="19"/>
        <v>0.59002690000000002</v>
      </c>
    </row>
    <row r="270" spans="1:12" ht="15" customHeight="1" x14ac:dyDescent="0.25">
      <c r="A270" s="10" t="str">
        <f>Raw_Data!A270</f>
        <v>Cubetek 3 in 1 LCD Display V5.0 Bluetooth Transmitter Receiver, Bypass Audio Adapter with Aux, Optical, Dual Link Support for TV, Home Stereo, PC, Headphones, Speakers, Model: CB-BT27</v>
      </c>
      <c r="B270" s="10" t="str">
        <f>IFERROR(TRIM(LEFT(Raw_Data!A270,FIND(" ",Raw_Data!A270)-1)),Raw_Data!A270)</f>
        <v>Cubetek</v>
      </c>
      <c r="C270" s="10" t="str">
        <f>IFERROR(LEFT(Raw_Data!B270,FIND("|",Raw_Data!B270)-1),Raw_Data!B270)</f>
        <v>Electronics</v>
      </c>
      <c r="D270" s="11">
        <f>IFERROR(VALUE(SUBSTITUTE(SUBSTITUTE(TRIM(Raw_Data!C270),"₹",""),",","")),"")</f>
        <v>1990</v>
      </c>
      <c r="E270" s="11">
        <f>IFERROR(VALUE(SUBSTITUTE(SUBSTITUTE(TRIM(Raw_Data!D270),"₹",""),",","")),"")</f>
        <v>3100</v>
      </c>
      <c r="F270" s="12">
        <f>IFERROR(VALUE(SUBSTITUTE(Raw_Data!E270,"%",""))/100,"")</f>
        <v>0.36</v>
      </c>
      <c r="G270" s="13">
        <f>IFERROR(VALUE(Raw_Data!F270),"")</f>
        <v>4</v>
      </c>
      <c r="H270" s="14">
        <f>IFERROR(VALUE(SUBSTITUTE(Raw_Data!G270,",","")),"")</f>
        <v>897</v>
      </c>
      <c r="I270" s="11">
        <f t="shared" si="16"/>
        <v>1110</v>
      </c>
      <c r="J270" s="11">
        <f t="shared" si="17"/>
        <v>1785030</v>
      </c>
      <c r="K270" s="1">
        <f t="shared" si="18"/>
        <v>897.00002700000005</v>
      </c>
      <c r="L270" s="15">
        <f t="shared" si="19"/>
        <v>0.36002699999999999</v>
      </c>
    </row>
    <row r="271" spans="1:12" ht="15" customHeight="1" x14ac:dyDescent="0.25">
      <c r="A271" s="10" t="str">
        <f>Raw_Data!A271</f>
        <v>KRISONS Thunder Speaker, Multimedia Home Theatre, Floor Standing Speaker, LED Display with Bluetooth, FM, USB, Micro SD Card, AUX Connectivity</v>
      </c>
      <c r="B271" s="10" t="str">
        <f>IFERROR(TRIM(LEFT(Raw_Data!A271,FIND(" ",Raw_Data!A271)-1)),Raw_Data!A271)</f>
        <v>KRISONS</v>
      </c>
      <c r="C271" s="10" t="str">
        <f>IFERROR(LEFT(Raw_Data!B271,FIND("|",Raw_Data!B271)-1),Raw_Data!B271)</f>
        <v>Electronics</v>
      </c>
      <c r="D271" s="11">
        <f>IFERROR(VALUE(SUBSTITUTE(SUBSTITUTE(TRIM(Raw_Data!C271),"₹",""),",","")),"")</f>
        <v>2299</v>
      </c>
      <c r="E271" s="11">
        <f>IFERROR(VALUE(SUBSTITUTE(SUBSTITUTE(TRIM(Raw_Data!D271),"₹",""),",","")),"")</f>
        <v>3999</v>
      </c>
      <c r="F271" s="12">
        <f>IFERROR(VALUE(SUBSTITUTE(Raw_Data!E271,"%",""))/100,"")</f>
        <v>0.43</v>
      </c>
      <c r="G271" s="13">
        <f>IFERROR(VALUE(Raw_Data!F271),"")</f>
        <v>3.8</v>
      </c>
      <c r="H271" s="14">
        <f>IFERROR(VALUE(SUBSTITUTE(Raw_Data!G271,",","")),"")</f>
        <v>282</v>
      </c>
      <c r="I271" s="11">
        <f t="shared" si="16"/>
        <v>1700</v>
      </c>
      <c r="J271" s="11">
        <f t="shared" si="17"/>
        <v>648318</v>
      </c>
      <c r="K271" s="1">
        <f t="shared" si="18"/>
        <v>282.00002710000001</v>
      </c>
      <c r="L271" s="15">
        <f t="shared" si="19"/>
        <v>0.4300271</v>
      </c>
    </row>
    <row r="272" spans="1:12" ht="15" customHeight="1" x14ac:dyDescent="0.25">
      <c r="A272" s="10" t="str">
        <f>Raw_Data!A272</f>
        <v>Acer 139 cm (55 inches) H Series 4K Ultra HD Android Smart LED TV AR55AR2851UDPRO (Black)</v>
      </c>
      <c r="B272" s="10" t="str">
        <f>IFERROR(TRIM(LEFT(Raw_Data!A272,FIND(" ",Raw_Data!A272)-1)),Raw_Data!A272)</f>
        <v>Acer</v>
      </c>
      <c r="C272" s="10" t="str">
        <f>IFERROR(LEFT(Raw_Data!B272,FIND("|",Raw_Data!B272)-1),Raw_Data!B272)</f>
        <v>Electronics</v>
      </c>
      <c r="D272" s="11">
        <f>IFERROR(VALUE(SUBSTITUTE(SUBSTITUTE(TRIM(Raw_Data!C272),"₹",""),",","")),"")</f>
        <v>35999</v>
      </c>
      <c r="E272" s="11">
        <f>IFERROR(VALUE(SUBSTITUTE(SUBSTITUTE(TRIM(Raw_Data!D272),"₹",""),",","")),"")</f>
        <v>49990</v>
      </c>
      <c r="F272" s="12">
        <f>IFERROR(VALUE(SUBSTITUTE(Raw_Data!E272,"%",""))/100,"")</f>
        <v>0.28000000000000003</v>
      </c>
      <c r="G272" s="13">
        <f>IFERROR(VALUE(Raw_Data!F272),"")</f>
        <v>4.3</v>
      </c>
      <c r="H272" s="14">
        <f>IFERROR(VALUE(SUBSTITUTE(Raw_Data!G272,",","")),"")</f>
        <v>1611</v>
      </c>
      <c r="I272" s="11">
        <f t="shared" si="16"/>
        <v>13991</v>
      </c>
      <c r="J272" s="11">
        <f t="shared" si="17"/>
        <v>57994389</v>
      </c>
      <c r="K272" s="1">
        <f t="shared" si="18"/>
        <v>1611.0000272</v>
      </c>
      <c r="L272" s="15">
        <f t="shared" si="19"/>
        <v>0.28002720000000003</v>
      </c>
    </row>
    <row r="273" spans="1:12" ht="15" customHeight="1" x14ac:dyDescent="0.25">
      <c r="A273" s="10" t="str">
        <f>Raw_Data!A273</f>
        <v>Dealfreez Case Compatible for Fire TV Stick 4K All Alexa Voice Remote Shockproof Silicone Anti-Lost Cover with Loop (C-Black)</v>
      </c>
      <c r="B273" s="10" t="str">
        <f>IFERROR(TRIM(LEFT(Raw_Data!A273,FIND(" ",Raw_Data!A273)-1)),Raw_Data!A273)</f>
        <v>Dealfreez</v>
      </c>
      <c r="C273" s="10" t="str">
        <f>IFERROR(LEFT(Raw_Data!B273,FIND("|",Raw_Data!B273)-1),Raw_Data!B273)</f>
        <v>Electronics</v>
      </c>
      <c r="D273" s="11">
        <f>IFERROR(VALUE(SUBSTITUTE(SUBSTITUTE(TRIM(Raw_Data!C273),"₹",""),",","")),"")</f>
        <v>349</v>
      </c>
      <c r="E273" s="11">
        <f>IFERROR(VALUE(SUBSTITUTE(SUBSTITUTE(TRIM(Raw_Data!D273),"₹",""),",","")),"")</f>
        <v>999</v>
      </c>
      <c r="F273" s="12">
        <f>IFERROR(VALUE(SUBSTITUTE(Raw_Data!E273,"%",""))/100,"")</f>
        <v>0.65</v>
      </c>
      <c r="G273" s="13">
        <f>IFERROR(VALUE(Raw_Data!F273),"")</f>
        <v>4.2</v>
      </c>
      <c r="H273" s="14">
        <f>IFERROR(VALUE(SUBSTITUTE(Raw_Data!G273,",","")),"")</f>
        <v>513</v>
      </c>
      <c r="I273" s="11">
        <f t="shared" si="16"/>
        <v>650</v>
      </c>
      <c r="J273" s="11">
        <f t="shared" si="17"/>
        <v>179037</v>
      </c>
      <c r="K273" s="1">
        <f t="shared" si="18"/>
        <v>513.00002730000006</v>
      </c>
      <c r="L273" s="15">
        <f t="shared" si="19"/>
        <v>0.65002729999999997</v>
      </c>
    </row>
    <row r="274" spans="1:12" ht="15" customHeight="1" x14ac:dyDescent="0.25">
      <c r="A274" s="10" t="str">
        <f>Raw_Data!A274</f>
        <v>Wayona Type C to Lightning MFI Certified 20W Fast charging Nylon Braided USB C Cable for iPhone 14 Pro, 14 Pro Max, 14, 14 Plus, 13, 13 Pro, 13 Pro Max, 13 Mini, 12, 12 Pro, 11, 11 Pro Max, iPhone 12 Mini (2M, Black)</v>
      </c>
      <c r="B274" s="10" t="str">
        <f>IFERROR(TRIM(LEFT(Raw_Data!A274,FIND(" ",Raw_Data!A274)-1)),Raw_Data!A274)</f>
        <v>Wayona</v>
      </c>
      <c r="C274" s="10" t="str">
        <f>IFERROR(LEFT(Raw_Data!B274,FIND("|",Raw_Data!B274)-1),Raw_Data!B274)</f>
        <v>Computers&amp;Accessories</v>
      </c>
      <c r="D274" s="11">
        <f>IFERROR(VALUE(SUBSTITUTE(SUBSTITUTE(TRIM(Raw_Data!C274),"₹",""),",","")),"")</f>
        <v>719</v>
      </c>
      <c r="E274" s="11">
        <f>IFERROR(VALUE(SUBSTITUTE(SUBSTITUTE(TRIM(Raw_Data!D274),"₹",""),",","")),"")</f>
        <v>1499</v>
      </c>
      <c r="F274" s="12">
        <f>IFERROR(VALUE(SUBSTITUTE(Raw_Data!E274,"%",""))/100,"")</f>
        <v>0.52</v>
      </c>
      <c r="G274" s="13">
        <f>IFERROR(VALUE(Raw_Data!F274),"")</f>
        <v>4.0999999999999996</v>
      </c>
      <c r="H274" s="14">
        <f>IFERROR(VALUE(SUBSTITUTE(Raw_Data!G274,",","")),"")</f>
        <v>1045</v>
      </c>
      <c r="I274" s="11">
        <f t="shared" si="16"/>
        <v>780</v>
      </c>
      <c r="J274" s="11">
        <f t="shared" si="17"/>
        <v>751355</v>
      </c>
      <c r="K274" s="1">
        <f t="shared" si="18"/>
        <v>1045.0000273999999</v>
      </c>
      <c r="L274" s="15">
        <f t="shared" si="19"/>
        <v>0.52002740000000003</v>
      </c>
    </row>
    <row r="275" spans="1:12" ht="15" customHeight="1" x14ac:dyDescent="0.25">
      <c r="A275" s="10" t="str">
        <f>Raw_Data!A275</f>
        <v>VW 80 cm (32 inches) HD Ready Android Smart LED TV VW32PRO (Black)</v>
      </c>
      <c r="B275" s="10" t="str">
        <f>IFERROR(TRIM(LEFT(Raw_Data!A275,FIND(" ",Raw_Data!A275)-1)),Raw_Data!A275)</f>
        <v>VW</v>
      </c>
      <c r="C275" s="10" t="str">
        <f>IFERROR(LEFT(Raw_Data!B275,FIND("|",Raw_Data!B275)-1),Raw_Data!B275)</f>
        <v>Electronics</v>
      </c>
      <c r="D275" s="11">
        <f>IFERROR(VALUE(SUBSTITUTE(SUBSTITUTE(TRIM(Raw_Data!C275),"₹",""),",","")),"")</f>
        <v>8999</v>
      </c>
      <c r="E275" s="11">
        <f>IFERROR(VALUE(SUBSTITUTE(SUBSTITUTE(TRIM(Raw_Data!D275),"₹",""),",","")),"")</f>
        <v>18999</v>
      </c>
      <c r="F275" s="12">
        <f>IFERROR(VALUE(SUBSTITUTE(Raw_Data!E275,"%",""))/100,"")</f>
        <v>0.53</v>
      </c>
      <c r="G275" s="13">
        <f>IFERROR(VALUE(Raw_Data!F275),"")</f>
        <v>4</v>
      </c>
      <c r="H275" s="14">
        <f>IFERROR(VALUE(SUBSTITUTE(Raw_Data!G275,",","")),"")</f>
        <v>6347</v>
      </c>
      <c r="I275" s="11">
        <f t="shared" si="16"/>
        <v>10000</v>
      </c>
      <c r="J275" s="11">
        <f t="shared" si="17"/>
        <v>57116653</v>
      </c>
      <c r="K275" s="1">
        <f t="shared" si="18"/>
        <v>6347.0000275000002</v>
      </c>
      <c r="L275" s="15">
        <f t="shared" si="19"/>
        <v>0.53002749999999998</v>
      </c>
    </row>
    <row r="276" spans="1:12" ht="15" customHeight="1" x14ac:dyDescent="0.25">
      <c r="A276" s="10" t="str">
        <f>Raw_Data!A276</f>
        <v>Airtel Digital TV HD Set Top Box with 1 Month Basic Pack with Recording + Free Standard Installation</v>
      </c>
      <c r="B276" s="10" t="str">
        <f>IFERROR(TRIM(LEFT(Raw_Data!A276,FIND(" ",Raw_Data!A276)-1)),Raw_Data!A276)</f>
        <v>Airtel</v>
      </c>
      <c r="C276" s="10" t="str">
        <f>IFERROR(LEFT(Raw_Data!B276,FIND("|",Raw_Data!B276)-1),Raw_Data!B276)</f>
        <v>Electronics</v>
      </c>
      <c r="D276" s="11">
        <f>IFERROR(VALUE(SUBSTITUTE(SUBSTITUTE(TRIM(Raw_Data!C276),"₹",""),",","")),"")</f>
        <v>917</v>
      </c>
      <c r="E276" s="11">
        <f>IFERROR(VALUE(SUBSTITUTE(SUBSTITUTE(TRIM(Raw_Data!D276),"₹",""),",","")),"")</f>
        <v>2299</v>
      </c>
      <c r="F276" s="12">
        <f>IFERROR(VALUE(SUBSTITUTE(Raw_Data!E276,"%",""))/100,"")</f>
        <v>0.6</v>
      </c>
      <c r="G276" s="13">
        <f>IFERROR(VALUE(Raw_Data!F276),"")</f>
        <v>4.2</v>
      </c>
      <c r="H276" s="14">
        <f>IFERROR(VALUE(SUBSTITUTE(Raw_Data!G276,",","")),"")</f>
        <v>3300</v>
      </c>
      <c r="I276" s="11">
        <f t="shared" si="16"/>
        <v>1382</v>
      </c>
      <c r="J276" s="11">
        <f t="shared" si="17"/>
        <v>3026100</v>
      </c>
      <c r="K276" s="1">
        <f t="shared" si="18"/>
        <v>3300.0000276000001</v>
      </c>
      <c r="L276" s="15">
        <f t="shared" si="19"/>
        <v>0.60002759999999999</v>
      </c>
    </row>
    <row r="277" spans="1:12" ht="15" customHeight="1" x14ac:dyDescent="0.25">
      <c r="A277" s="10" t="str">
        <f>Raw_Data!A277</f>
        <v>LOHAYA Voice Assistant Remote Compatible for Airtel Xstream Set-Top Box Remote Control with Netflix Function (Black) (Non - Voice)</v>
      </c>
      <c r="B277" s="10" t="str">
        <f>IFERROR(TRIM(LEFT(Raw_Data!A277,FIND(" ",Raw_Data!A277)-1)),Raw_Data!A277)</f>
        <v>LOHAYA</v>
      </c>
      <c r="C277" s="10" t="str">
        <f>IFERROR(LEFT(Raw_Data!B277,FIND("|",Raw_Data!B277)-1),Raw_Data!B277)</f>
        <v>Electronics</v>
      </c>
      <c r="D277" s="11">
        <f>IFERROR(VALUE(SUBSTITUTE(SUBSTITUTE(TRIM(Raw_Data!C277),"₹",""),",","")),"")</f>
        <v>399</v>
      </c>
      <c r="E277" s="11">
        <f>IFERROR(VALUE(SUBSTITUTE(SUBSTITUTE(TRIM(Raw_Data!D277),"₹",""),",","")),"")</f>
        <v>999</v>
      </c>
      <c r="F277" s="12">
        <f>IFERROR(VALUE(SUBSTITUTE(Raw_Data!E277,"%",""))/100,"")</f>
        <v>0.6</v>
      </c>
      <c r="G277" s="13">
        <f>IFERROR(VALUE(Raw_Data!F277),"")</f>
        <v>3.3</v>
      </c>
      <c r="H277" s="14">
        <f>IFERROR(VALUE(SUBSTITUTE(Raw_Data!G277,",","")),"")</f>
        <v>23</v>
      </c>
      <c r="I277" s="11">
        <f t="shared" si="16"/>
        <v>600</v>
      </c>
      <c r="J277" s="11">
        <f t="shared" si="17"/>
        <v>9177</v>
      </c>
      <c r="K277" s="1">
        <f t="shared" si="18"/>
        <v>23.0000277</v>
      </c>
      <c r="L277" s="15">
        <f t="shared" si="19"/>
        <v>0.60002769999999994</v>
      </c>
    </row>
    <row r="278" spans="1:12" ht="15" customHeight="1" x14ac:dyDescent="0.25">
      <c r="A278" s="10" t="str">
        <f>Raw_Data!A278</f>
        <v>Samsung 138 cm (55 inches) Crystal 4K Series Ultra HD Smart LED TV UA55AUE60AKLXL (Black)</v>
      </c>
      <c r="B278" s="10" t="str">
        <f>IFERROR(TRIM(LEFT(Raw_Data!A278,FIND(" ",Raw_Data!A278)-1)),Raw_Data!A278)</f>
        <v>Samsung</v>
      </c>
      <c r="C278" s="10" t="str">
        <f>IFERROR(LEFT(Raw_Data!B278,FIND("|",Raw_Data!B278)-1),Raw_Data!B278)</f>
        <v>Electronics</v>
      </c>
      <c r="D278" s="11">
        <f>IFERROR(VALUE(SUBSTITUTE(SUBSTITUTE(TRIM(Raw_Data!C278),"₹",""),",","")),"")</f>
        <v>45999</v>
      </c>
      <c r="E278" s="11">
        <f>IFERROR(VALUE(SUBSTITUTE(SUBSTITUTE(TRIM(Raw_Data!D278),"₹",""),",","")),"")</f>
        <v>69900</v>
      </c>
      <c r="F278" s="12">
        <f>IFERROR(VALUE(SUBSTITUTE(Raw_Data!E278,"%",""))/100,"")</f>
        <v>0.34</v>
      </c>
      <c r="G278" s="13">
        <f>IFERROR(VALUE(Raw_Data!F278),"")</f>
        <v>4.3</v>
      </c>
      <c r="H278" s="14">
        <f>IFERROR(VALUE(SUBSTITUTE(Raw_Data!G278,",","")),"")</f>
        <v>7109</v>
      </c>
      <c r="I278" s="11">
        <f t="shared" si="16"/>
        <v>23901</v>
      </c>
      <c r="J278" s="11">
        <f t="shared" si="17"/>
        <v>327006891</v>
      </c>
      <c r="K278" s="1">
        <f t="shared" si="18"/>
        <v>7109.0000277999998</v>
      </c>
      <c r="L278" s="15">
        <f t="shared" si="19"/>
        <v>0.34002780000000005</v>
      </c>
    </row>
    <row r="279" spans="1:12" ht="15" customHeight="1" x14ac:dyDescent="0.25">
      <c r="A279" s="10" t="str">
        <f>Raw_Data!A279</f>
        <v>Amazon Brand - Solimo 3A Fast Charging Tough Type C USB Data Cable  – 1 Meter</v>
      </c>
      <c r="B279" s="10" t="str">
        <f>IFERROR(TRIM(LEFT(Raw_Data!A279,FIND(" ",Raw_Data!A279)-1)),Raw_Data!A279)</f>
        <v>Amazon</v>
      </c>
      <c r="C279" s="10" t="str">
        <f>IFERROR(LEFT(Raw_Data!B279,FIND("|",Raw_Data!B279)-1),Raw_Data!B279)</f>
        <v>Computers&amp;Accessories</v>
      </c>
      <c r="D279" s="11">
        <f>IFERROR(VALUE(SUBSTITUTE(SUBSTITUTE(TRIM(Raw_Data!C279),"₹",""),",","")),"")</f>
        <v>119</v>
      </c>
      <c r="E279" s="11">
        <f>IFERROR(VALUE(SUBSTITUTE(SUBSTITUTE(TRIM(Raw_Data!D279),"₹",""),",","")),"")</f>
        <v>299</v>
      </c>
      <c r="F279" s="12">
        <f>IFERROR(VALUE(SUBSTITUTE(Raw_Data!E279,"%",""))/100,"")</f>
        <v>0.6</v>
      </c>
      <c r="G279" s="13">
        <f>IFERROR(VALUE(Raw_Data!F279),"")</f>
        <v>3.8</v>
      </c>
      <c r="H279" s="14">
        <f>IFERROR(VALUE(SUBSTITUTE(Raw_Data!G279,",","")),"")</f>
        <v>51</v>
      </c>
      <c r="I279" s="11">
        <f t="shared" si="16"/>
        <v>180</v>
      </c>
      <c r="J279" s="11">
        <f t="shared" si="17"/>
        <v>6069</v>
      </c>
      <c r="K279" s="1">
        <f t="shared" si="18"/>
        <v>51.000027899999999</v>
      </c>
      <c r="L279" s="15">
        <f t="shared" si="19"/>
        <v>0.60002789999999995</v>
      </c>
    </row>
    <row r="280" spans="1:12" ht="15" customHeight="1" x14ac:dyDescent="0.25">
      <c r="A280" s="10" t="str">
        <f>Raw_Data!A280</f>
        <v>Mi 100 cm (40 inches) Horizon Edition Full HD Android LED TV 4A | L40M6-EI (Black)</v>
      </c>
      <c r="B280" s="10" t="str">
        <f>IFERROR(TRIM(LEFT(Raw_Data!A280,FIND(" ",Raw_Data!A280)-1)),Raw_Data!A280)</f>
        <v>Mi</v>
      </c>
      <c r="C280" s="10" t="str">
        <f>IFERROR(LEFT(Raw_Data!B280,FIND("|",Raw_Data!B280)-1),Raw_Data!B280)</f>
        <v>Electronics</v>
      </c>
      <c r="D280" s="11">
        <f>IFERROR(VALUE(SUBSTITUTE(SUBSTITUTE(TRIM(Raw_Data!C280),"₹",""),",","")),"")</f>
        <v>21999</v>
      </c>
      <c r="E280" s="11">
        <f>IFERROR(VALUE(SUBSTITUTE(SUBSTITUTE(TRIM(Raw_Data!D280),"₹",""),",","")),"")</f>
        <v>29999</v>
      </c>
      <c r="F280" s="12">
        <f>IFERROR(VALUE(SUBSTITUTE(Raw_Data!E280,"%",""))/100,"")</f>
        <v>0.27</v>
      </c>
      <c r="G280" s="13">
        <f>IFERROR(VALUE(Raw_Data!F280),"")</f>
        <v>4.2</v>
      </c>
      <c r="H280" s="14">
        <f>IFERROR(VALUE(SUBSTITUTE(Raw_Data!G280,",","")),"")</f>
        <v>32840</v>
      </c>
      <c r="I280" s="11">
        <f t="shared" si="16"/>
        <v>8000</v>
      </c>
      <c r="J280" s="11">
        <f t="shared" si="17"/>
        <v>722447160</v>
      </c>
      <c r="K280" s="1">
        <f t="shared" si="18"/>
        <v>32840.000028000002</v>
      </c>
      <c r="L280" s="15">
        <f t="shared" si="19"/>
        <v>0.27002799999999999</v>
      </c>
    </row>
    <row r="281" spans="1:12" ht="15" customHeight="1" x14ac:dyDescent="0.25">
      <c r="A281" s="10" t="str">
        <f>Raw_Data!A281</f>
        <v>Astigo Compatible Remote Control for Mi Smart LED 4A (43"/32")</v>
      </c>
      <c r="B281" s="10" t="str">
        <f>IFERROR(TRIM(LEFT(Raw_Data!A281,FIND(" ",Raw_Data!A281)-1)),Raw_Data!A281)</f>
        <v>Astigo</v>
      </c>
      <c r="C281" s="10" t="str">
        <f>IFERROR(LEFT(Raw_Data!B281,FIND("|",Raw_Data!B281)-1),Raw_Data!B281)</f>
        <v>Electronics</v>
      </c>
      <c r="D281" s="11">
        <f>IFERROR(VALUE(SUBSTITUTE(SUBSTITUTE(TRIM(Raw_Data!C281),"₹",""),",","")),"")</f>
        <v>299</v>
      </c>
      <c r="E281" s="11">
        <f>IFERROR(VALUE(SUBSTITUTE(SUBSTITUTE(TRIM(Raw_Data!D281),"₹",""),",","")),"")</f>
        <v>599</v>
      </c>
      <c r="F281" s="12">
        <f>IFERROR(VALUE(SUBSTITUTE(Raw_Data!E281,"%",""))/100,"")</f>
        <v>0.5</v>
      </c>
      <c r="G281" s="13">
        <f>IFERROR(VALUE(Raw_Data!F281),"")</f>
        <v>3.7</v>
      </c>
      <c r="H281" s="14">
        <f>IFERROR(VALUE(SUBSTITUTE(Raw_Data!G281,",","")),"")</f>
        <v>708</v>
      </c>
      <c r="I281" s="11">
        <f t="shared" si="16"/>
        <v>300</v>
      </c>
      <c r="J281" s="11">
        <f t="shared" si="17"/>
        <v>211692</v>
      </c>
      <c r="K281" s="1">
        <f t="shared" si="18"/>
        <v>708.00002810000001</v>
      </c>
      <c r="L281" s="15">
        <f t="shared" si="19"/>
        <v>0.50002809999999998</v>
      </c>
    </row>
    <row r="282" spans="1:12" ht="15" customHeight="1" x14ac:dyDescent="0.25">
      <c r="A282" s="10" t="str">
        <f>Raw_Data!A282</f>
        <v>Toshiba 108 cm (43 inches) V Series Full HD Smart Android LED TV 43V35KP (Silver)</v>
      </c>
      <c r="B282" s="10" t="str">
        <f>IFERROR(TRIM(LEFT(Raw_Data!A282,FIND(" ",Raw_Data!A282)-1)),Raw_Data!A282)</f>
        <v>Toshiba</v>
      </c>
      <c r="C282" s="10" t="str">
        <f>IFERROR(LEFT(Raw_Data!B282,FIND("|",Raw_Data!B282)-1),Raw_Data!B282)</f>
        <v>Electronics</v>
      </c>
      <c r="D282" s="11">
        <f>IFERROR(VALUE(SUBSTITUTE(SUBSTITUTE(TRIM(Raw_Data!C282),"₹",""),",","")),"")</f>
        <v>21990</v>
      </c>
      <c r="E282" s="11">
        <f>IFERROR(VALUE(SUBSTITUTE(SUBSTITUTE(TRIM(Raw_Data!D282),"₹",""),",","")),"")</f>
        <v>34990</v>
      </c>
      <c r="F282" s="12">
        <f>IFERROR(VALUE(SUBSTITUTE(Raw_Data!E282,"%",""))/100,"")</f>
        <v>0.37</v>
      </c>
      <c r="G282" s="13">
        <f>IFERROR(VALUE(Raw_Data!F282),"")</f>
        <v>4.3</v>
      </c>
      <c r="H282" s="14">
        <f>IFERROR(VALUE(SUBSTITUTE(Raw_Data!G282,",","")),"")</f>
        <v>1657</v>
      </c>
      <c r="I282" s="11">
        <f t="shared" si="16"/>
        <v>13000</v>
      </c>
      <c r="J282" s="11">
        <f t="shared" si="17"/>
        <v>36437430</v>
      </c>
      <c r="K282" s="1">
        <f t="shared" si="18"/>
        <v>1657.0000282000001</v>
      </c>
      <c r="L282" s="15">
        <f t="shared" si="19"/>
        <v>0.37002819999999997</v>
      </c>
    </row>
    <row r="283" spans="1:12" ht="15" customHeight="1" x14ac:dyDescent="0.25">
      <c r="A283" s="10" t="str">
        <f>Raw_Data!A283</f>
        <v>Lenovo USB A to Type-C Tangle-free  Aramid fiber braided 1.2m cable with 4A Fast charging &amp; 480 MBPS data transmission, certified 10000+ bend lifespan, Metallic Grey</v>
      </c>
      <c r="B283" s="10" t="str">
        <f>IFERROR(TRIM(LEFT(Raw_Data!A283,FIND(" ",Raw_Data!A283)-1)),Raw_Data!A283)</f>
        <v>Lenovo</v>
      </c>
      <c r="C283" s="10" t="str">
        <f>IFERROR(LEFT(Raw_Data!B283,FIND("|",Raw_Data!B283)-1),Raw_Data!B283)</f>
        <v>Computers&amp;Accessories</v>
      </c>
      <c r="D283" s="11">
        <f>IFERROR(VALUE(SUBSTITUTE(SUBSTITUTE(TRIM(Raw_Data!C283),"₹",""),",","")),"")</f>
        <v>417.44</v>
      </c>
      <c r="E283" s="11">
        <f>IFERROR(VALUE(SUBSTITUTE(SUBSTITUTE(TRIM(Raw_Data!D283),"₹",""),",","")),"")</f>
        <v>670</v>
      </c>
      <c r="F283" s="12">
        <f>IFERROR(VALUE(SUBSTITUTE(Raw_Data!E283,"%",""))/100,"")</f>
        <v>0.38</v>
      </c>
      <c r="G283" s="13">
        <f>IFERROR(VALUE(Raw_Data!F283),"")</f>
        <v>3.9</v>
      </c>
      <c r="H283" s="14">
        <f>IFERROR(VALUE(SUBSTITUTE(Raw_Data!G283,",","")),"")</f>
        <v>523</v>
      </c>
      <c r="I283" s="11">
        <f t="shared" si="16"/>
        <v>252.56</v>
      </c>
      <c r="J283" s="11">
        <f t="shared" si="17"/>
        <v>218321.12</v>
      </c>
      <c r="K283" s="1">
        <f t="shared" si="18"/>
        <v>523.00002830000005</v>
      </c>
      <c r="L283" s="15">
        <f t="shared" si="19"/>
        <v>0.38002829999999999</v>
      </c>
    </row>
    <row r="284" spans="1:12" ht="15" customHeight="1" x14ac:dyDescent="0.25">
      <c r="A284" s="10" t="str">
        <f>Raw_Data!A284</f>
        <v>Amazon Brand - Solimo 65W Fast Charging Braided Type C to C Data Cable | Suitable For All Supported Mobile Phones (1 Meter, Black)</v>
      </c>
      <c r="B284" s="10" t="str">
        <f>IFERROR(TRIM(LEFT(Raw_Data!A284,FIND(" ",Raw_Data!A284)-1)),Raw_Data!A284)</f>
        <v>Amazon</v>
      </c>
      <c r="C284" s="10" t="str">
        <f>IFERROR(LEFT(Raw_Data!B284,FIND("|",Raw_Data!B284)-1),Raw_Data!B284)</f>
        <v>Computers&amp;Accessories</v>
      </c>
      <c r="D284" s="11">
        <f>IFERROR(VALUE(SUBSTITUTE(SUBSTITUTE(TRIM(Raw_Data!C284),"₹",""),",","")),"")</f>
        <v>199</v>
      </c>
      <c r="E284" s="11">
        <f>IFERROR(VALUE(SUBSTITUTE(SUBSTITUTE(TRIM(Raw_Data!D284),"₹",""),",","")),"")</f>
        <v>999</v>
      </c>
      <c r="F284" s="12">
        <f>IFERROR(VALUE(SUBSTITUTE(Raw_Data!E284,"%",""))/100,"")</f>
        <v>0.8</v>
      </c>
      <c r="G284" s="13">
        <f>IFERROR(VALUE(Raw_Data!F284),"")</f>
        <v>3</v>
      </c>
      <c r="H284" s="14" t="str">
        <f>IFERROR(VALUE(SUBSTITUTE(Raw_Data!G284,",","")),"")</f>
        <v/>
      </c>
      <c r="I284" s="11">
        <f t="shared" si="16"/>
        <v>800</v>
      </c>
      <c r="J284" s="11" t="str">
        <f t="shared" si="17"/>
        <v/>
      </c>
      <c r="K284" s="1" t="str">
        <f t="shared" si="18"/>
        <v/>
      </c>
      <c r="L284" s="15">
        <f t="shared" si="19"/>
        <v>0.80002840000000008</v>
      </c>
    </row>
    <row r="285" spans="1:12" ht="15" customHeight="1" x14ac:dyDescent="0.25">
      <c r="A285" s="10" t="str">
        <f>Raw_Data!A285</f>
        <v>LG 139 cm (55 inches) 4K Ultra HD Smart LED TV 55UQ7500PSF (Ceramic Black)</v>
      </c>
      <c r="B285" s="10" t="str">
        <f>IFERROR(TRIM(LEFT(Raw_Data!A285,FIND(" ",Raw_Data!A285)-1)),Raw_Data!A285)</f>
        <v>LG</v>
      </c>
      <c r="C285" s="10" t="str">
        <f>IFERROR(LEFT(Raw_Data!B285,FIND("|",Raw_Data!B285)-1),Raw_Data!B285)</f>
        <v>Electronics</v>
      </c>
      <c r="D285" s="11">
        <f>IFERROR(VALUE(SUBSTITUTE(SUBSTITUTE(TRIM(Raw_Data!C285),"₹",""),",","")),"")</f>
        <v>47990</v>
      </c>
      <c r="E285" s="11">
        <f>IFERROR(VALUE(SUBSTITUTE(SUBSTITUTE(TRIM(Raw_Data!D285),"₹",""),",","")),"")</f>
        <v>79990</v>
      </c>
      <c r="F285" s="12">
        <f>IFERROR(VALUE(SUBSTITUTE(Raw_Data!E285,"%",""))/100,"")</f>
        <v>0.4</v>
      </c>
      <c r="G285" s="13">
        <f>IFERROR(VALUE(Raw_Data!F285),"")</f>
        <v>4.3</v>
      </c>
      <c r="H285" s="14">
        <f>IFERROR(VALUE(SUBSTITUTE(Raw_Data!G285,",","")),"")</f>
        <v>1376</v>
      </c>
      <c r="I285" s="11">
        <f t="shared" si="16"/>
        <v>32000</v>
      </c>
      <c r="J285" s="11">
        <f t="shared" si="17"/>
        <v>66034240</v>
      </c>
      <c r="K285" s="1">
        <f t="shared" si="18"/>
        <v>1376.0000285000001</v>
      </c>
      <c r="L285" s="15">
        <f t="shared" si="19"/>
        <v>0.40002850000000001</v>
      </c>
    </row>
    <row r="286" spans="1:12" ht="15" customHeight="1" x14ac:dyDescent="0.25">
      <c r="A286" s="10" t="str">
        <f>Raw_Data!A286</f>
        <v>Tata Sky Digital TV HD Setup Box Remote</v>
      </c>
      <c r="B286" s="10" t="str">
        <f>IFERROR(TRIM(LEFT(Raw_Data!A286,FIND(" ",Raw_Data!A286)-1)),Raw_Data!A286)</f>
        <v>Tata</v>
      </c>
      <c r="C286" s="10" t="str">
        <f>IFERROR(LEFT(Raw_Data!B286,FIND("|",Raw_Data!B286)-1),Raw_Data!B286)</f>
        <v>Electronics</v>
      </c>
      <c r="D286" s="11">
        <f>IFERROR(VALUE(SUBSTITUTE(SUBSTITUTE(TRIM(Raw_Data!C286),"₹",""),",","")),"")</f>
        <v>215</v>
      </c>
      <c r="E286" s="11">
        <f>IFERROR(VALUE(SUBSTITUTE(SUBSTITUTE(TRIM(Raw_Data!D286),"₹",""),",","")),"")</f>
        <v>499</v>
      </c>
      <c r="F286" s="12">
        <f>IFERROR(VALUE(SUBSTITUTE(Raw_Data!E286,"%",""))/100,"")</f>
        <v>0.56999999999999995</v>
      </c>
      <c r="G286" s="13">
        <f>IFERROR(VALUE(Raw_Data!F286),"")</f>
        <v>3.5</v>
      </c>
      <c r="H286" s="14">
        <f>IFERROR(VALUE(SUBSTITUTE(Raw_Data!G286,",","")),"")</f>
        <v>121</v>
      </c>
      <c r="I286" s="11">
        <f t="shared" si="16"/>
        <v>284</v>
      </c>
      <c r="J286" s="11">
        <f t="shared" si="17"/>
        <v>26015</v>
      </c>
      <c r="K286" s="1">
        <f t="shared" si="18"/>
        <v>121.00002859999999</v>
      </c>
      <c r="L286" s="15">
        <f t="shared" si="19"/>
        <v>0.5700286</v>
      </c>
    </row>
    <row r="287" spans="1:12" ht="15" customHeight="1" x14ac:dyDescent="0.25">
      <c r="A287" s="10" t="str">
        <f>Raw_Data!A287</f>
        <v>pTron Solero T241 2.4A Type-C Data &amp; Charging USB Cable, Made in India, 480Mbps Data Sync, Durable 1-Meter Long USB Cable for Smartphone, Type-C USB Devices (White)</v>
      </c>
      <c r="B287" s="10" t="str">
        <f>IFERROR(TRIM(LEFT(Raw_Data!A287,FIND(" ",Raw_Data!A287)-1)),Raw_Data!A287)</f>
        <v>pTron</v>
      </c>
      <c r="C287" s="10" t="str">
        <f>IFERROR(LEFT(Raw_Data!B287,FIND("|",Raw_Data!B287)-1),Raw_Data!B287)</f>
        <v>Computers&amp;Accessories</v>
      </c>
      <c r="D287" s="11">
        <f>IFERROR(VALUE(SUBSTITUTE(SUBSTITUTE(TRIM(Raw_Data!C287),"₹",""),",","")),"")</f>
        <v>99</v>
      </c>
      <c r="E287" s="11">
        <f>IFERROR(VALUE(SUBSTITUTE(SUBSTITUTE(TRIM(Raw_Data!D287),"₹",""),",","")),"")</f>
        <v>800</v>
      </c>
      <c r="F287" s="12">
        <f>IFERROR(VALUE(SUBSTITUTE(Raw_Data!E287,"%",""))/100,"")</f>
        <v>0.88</v>
      </c>
      <c r="G287" s="13">
        <f>IFERROR(VALUE(Raw_Data!F287),"")</f>
        <v>3.9</v>
      </c>
      <c r="H287" s="14">
        <f>IFERROR(VALUE(SUBSTITUTE(Raw_Data!G287,",","")),"")</f>
        <v>1075</v>
      </c>
      <c r="I287" s="11">
        <f t="shared" si="16"/>
        <v>701</v>
      </c>
      <c r="J287" s="11">
        <f t="shared" si="17"/>
        <v>106425</v>
      </c>
      <c r="K287" s="1">
        <f t="shared" si="18"/>
        <v>1075.0000287</v>
      </c>
      <c r="L287" s="15">
        <f t="shared" si="19"/>
        <v>0.8800287</v>
      </c>
    </row>
    <row r="288" spans="1:12" ht="15" customHeight="1" x14ac:dyDescent="0.25">
      <c r="A288" s="10" t="str">
        <f>Raw_Data!A288</f>
        <v>VU 108 cm (43 inches) Premium Series Full HD Smart LED TV 43GA (Black)</v>
      </c>
      <c r="B288" s="10" t="str">
        <f>IFERROR(TRIM(LEFT(Raw_Data!A288,FIND(" ",Raw_Data!A288)-1)),Raw_Data!A288)</f>
        <v>VU</v>
      </c>
      <c r="C288" s="10" t="str">
        <f>IFERROR(LEFT(Raw_Data!B288,FIND("|",Raw_Data!B288)-1),Raw_Data!B288)</f>
        <v>Electronics</v>
      </c>
      <c r="D288" s="11">
        <f>IFERROR(VALUE(SUBSTITUTE(SUBSTITUTE(TRIM(Raw_Data!C288),"₹",""),",","")),"")</f>
        <v>18999</v>
      </c>
      <c r="E288" s="11">
        <f>IFERROR(VALUE(SUBSTITUTE(SUBSTITUTE(TRIM(Raw_Data!D288),"₹",""),",","")),"")</f>
        <v>35000</v>
      </c>
      <c r="F288" s="12">
        <f>IFERROR(VALUE(SUBSTITUTE(Raw_Data!E288,"%",""))/100,"")</f>
        <v>0.46</v>
      </c>
      <c r="G288" s="13">
        <f>IFERROR(VALUE(Raw_Data!F288),"")</f>
        <v>4</v>
      </c>
      <c r="H288" s="14">
        <f>IFERROR(VALUE(SUBSTITUTE(Raw_Data!G288,",","")),"")</f>
        <v>1001</v>
      </c>
      <c r="I288" s="11">
        <f t="shared" si="16"/>
        <v>16001</v>
      </c>
      <c r="J288" s="11">
        <f t="shared" si="17"/>
        <v>19017999</v>
      </c>
      <c r="K288" s="1">
        <f t="shared" si="18"/>
        <v>1001.0000288</v>
      </c>
      <c r="L288" s="15">
        <f t="shared" si="19"/>
        <v>0.46002880000000002</v>
      </c>
    </row>
    <row r="289" spans="1:12" ht="15" customHeight="1" x14ac:dyDescent="0.25">
      <c r="A289" s="10" t="str">
        <f>Raw_Data!A289</f>
        <v>Storite Super Speed USB 3.0 Male to Male Cable for Hard Drive Enclosures, Laptop Cooling Pad, DVD Players(60cm,Black)</v>
      </c>
      <c r="B289" s="10" t="str">
        <f>IFERROR(TRIM(LEFT(Raw_Data!A289,FIND(" ",Raw_Data!A289)-1)),Raw_Data!A289)</f>
        <v>Storite</v>
      </c>
      <c r="C289" s="10" t="str">
        <f>IFERROR(LEFT(Raw_Data!B289,FIND("|",Raw_Data!B289)-1),Raw_Data!B289)</f>
        <v>Computers&amp;Accessories</v>
      </c>
      <c r="D289" s="11">
        <f>IFERROR(VALUE(SUBSTITUTE(SUBSTITUTE(TRIM(Raw_Data!C289),"₹",""),",","")),"")</f>
        <v>249</v>
      </c>
      <c r="E289" s="11">
        <f>IFERROR(VALUE(SUBSTITUTE(SUBSTITUTE(TRIM(Raw_Data!D289),"₹",""),",","")),"")</f>
        <v>999</v>
      </c>
      <c r="F289" s="12">
        <f>IFERROR(VALUE(SUBSTITUTE(Raw_Data!E289,"%",""))/100,"")</f>
        <v>0.75</v>
      </c>
      <c r="G289" s="13">
        <f>IFERROR(VALUE(Raw_Data!F289),"")</f>
        <v>4.3</v>
      </c>
      <c r="H289" s="14">
        <f>IFERROR(VALUE(SUBSTITUTE(Raw_Data!G289,",","")),"")</f>
        <v>112</v>
      </c>
      <c r="I289" s="11">
        <f t="shared" si="16"/>
        <v>750</v>
      </c>
      <c r="J289" s="11">
        <f t="shared" si="17"/>
        <v>27888</v>
      </c>
      <c r="K289" s="1">
        <f t="shared" si="18"/>
        <v>112.0000289</v>
      </c>
      <c r="L289" s="15">
        <f t="shared" si="19"/>
        <v>0.7500289</v>
      </c>
    </row>
    <row r="290" spans="1:12" ht="15" customHeight="1" x14ac:dyDescent="0.25">
      <c r="A290" s="10" t="str">
        <f>Raw_Data!A290</f>
        <v>Kodak 80 cm (32 Inches) HD Ready LED TV Kodak 32HDX900S (Black)</v>
      </c>
      <c r="B290" s="10" t="str">
        <f>IFERROR(TRIM(LEFT(Raw_Data!A290,FIND(" ",Raw_Data!A290)-1)),Raw_Data!A290)</f>
        <v>Kodak</v>
      </c>
      <c r="C290" s="10" t="str">
        <f>IFERROR(LEFT(Raw_Data!B290,FIND("|",Raw_Data!B290)-1),Raw_Data!B290)</f>
        <v>Electronics</v>
      </c>
      <c r="D290" s="11">
        <f>IFERROR(VALUE(SUBSTITUTE(SUBSTITUTE(TRIM(Raw_Data!C290),"₹",""),",","")),"")</f>
        <v>7999</v>
      </c>
      <c r="E290" s="11">
        <f>IFERROR(VALUE(SUBSTITUTE(SUBSTITUTE(TRIM(Raw_Data!D290),"₹",""),",","")),"")</f>
        <v>15999</v>
      </c>
      <c r="F290" s="12">
        <f>IFERROR(VALUE(SUBSTITUTE(Raw_Data!E290,"%",""))/100,"")</f>
        <v>0.5</v>
      </c>
      <c r="G290" s="13">
        <f>IFERROR(VALUE(Raw_Data!F290),"")</f>
        <v>3.8</v>
      </c>
      <c r="H290" s="14">
        <f>IFERROR(VALUE(SUBSTITUTE(Raw_Data!G290,",","")),"")</f>
        <v>3022</v>
      </c>
      <c r="I290" s="11">
        <f t="shared" si="16"/>
        <v>8000</v>
      </c>
      <c r="J290" s="11">
        <f t="shared" si="17"/>
        <v>24172978</v>
      </c>
      <c r="K290" s="1">
        <f t="shared" si="18"/>
        <v>3022.0000289999998</v>
      </c>
      <c r="L290" s="15">
        <f t="shared" si="19"/>
        <v>0.50002899999999995</v>
      </c>
    </row>
    <row r="291" spans="1:12" ht="15" customHeight="1" x14ac:dyDescent="0.25">
      <c r="A291" s="10" t="str">
        <f>Raw_Data!A291</f>
        <v>AmazonBasics Double Braided Nylon USB Type-C to Type-C 2.0 Cable, Charging Adapter, Smartphone 6 feet, Dark Grey</v>
      </c>
      <c r="B291" s="10" t="str">
        <f>IFERROR(TRIM(LEFT(Raw_Data!A291,FIND(" ",Raw_Data!A291)-1)),Raw_Data!A291)</f>
        <v>AmazonBasics</v>
      </c>
      <c r="C291" s="10" t="str">
        <f>IFERROR(LEFT(Raw_Data!B291,FIND("|",Raw_Data!B291)-1),Raw_Data!B291)</f>
        <v>Computers&amp;Accessories</v>
      </c>
      <c r="D291" s="11">
        <f>IFERROR(VALUE(SUBSTITUTE(SUBSTITUTE(TRIM(Raw_Data!C291),"₹",""),",","")),"")</f>
        <v>649</v>
      </c>
      <c r="E291" s="11">
        <f>IFERROR(VALUE(SUBSTITUTE(SUBSTITUTE(TRIM(Raw_Data!D291),"₹",""),",","")),"")</f>
        <v>1600</v>
      </c>
      <c r="F291" s="12">
        <f>IFERROR(VALUE(SUBSTITUTE(Raw_Data!E291,"%",""))/100,"")</f>
        <v>0.59</v>
      </c>
      <c r="G291" s="13">
        <f>IFERROR(VALUE(Raw_Data!F291),"")</f>
        <v>4.3</v>
      </c>
      <c r="H291" s="14">
        <f>IFERROR(VALUE(SUBSTITUTE(Raw_Data!G291,",","")),"")</f>
        <v>5451</v>
      </c>
      <c r="I291" s="11">
        <f t="shared" si="16"/>
        <v>951</v>
      </c>
      <c r="J291" s="11">
        <f t="shared" si="17"/>
        <v>3537699</v>
      </c>
      <c r="K291" s="1">
        <f t="shared" si="18"/>
        <v>5451.0000290999997</v>
      </c>
      <c r="L291" s="15">
        <f t="shared" si="19"/>
        <v>0.59002909999999997</v>
      </c>
    </row>
    <row r="292" spans="1:12" ht="15" customHeight="1" x14ac:dyDescent="0.25">
      <c r="A292" s="10" t="str">
        <f>Raw_Data!A292</f>
        <v>Firestick Remote</v>
      </c>
      <c r="B292" s="10" t="str">
        <f>IFERROR(TRIM(LEFT(Raw_Data!A292,FIND(" ",Raw_Data!A292)-1)),Raw_Data!A292)</f>
        <v>Firestick</v>
      </c>
      <c r="C292" s="10" t="str">
        <f>IFERROR(LEFT(Raw_Data!B292,FIND("|",Raw_Data!B292)-1),Raw_Data!B292)</f>
        <v>Electronics</v>
      </c>
      <c r="D292" s="11">
        <f>IFERROR(VALUE(SUBSTITUTE(SUBSTITUTE(TRIM(Raw_Data!C292),"₹",""),",","")),"")</f>
        <v>1289</v>
      </c>
      <c r="E292" s="11">
        <f>IFERROR(VALUE(SUBSTITUTE(SUBSTITUTE(TRIM(Raw_Data!D292),"₹",""),",","")),"")</f>
        <v>2499</v>
      </c>
      <c r="F292" s="12">
        <f>IFERROR(VALUE(SUBSTITUTE(Raw_Data!E292,"%",""))/100,"")</f>
        <v>0.48</v>
      </c>
      <c r="G292" s="13">
        <f>IFERROR(VALUE(Raw_Data!F292),"")</f>
        <v>3.3</v>
      </c>
      <c r="H292" s="14">
        <f>IFERROR(VALUE(SUBSTITUTE(Raw_Data!G292,",","")),"")</f>
        <v>73</v>
      </c>
      <c r="I292" s="11">
        <f t="shared" si="16"/>
        <v>1210</v>
      </c>
      <c r="J292" s="11">
        <f t="shared" si="17"/>
        <v>94097</v>
      </c>
      <c r="K292" s="1">
        <f t="shared" si="18"/>
        <v>73.0000292</v>
      </c>
      <c r="L292" s="15">
        <f t="shared" si="19"/>
        <v>0.48002919999999999</v>
      </c>
    </row>
    <row r="293" spans="1:12" ht="15" customHeight="1" x14ac:dyDescent="0.25">
      <c r="A293" s="10" t="str">
        <f>Raw_Data!A293</f>
        <v>AmazonBasics 10.2 Gbps High-Speed 4K HDMI Cable with Braided Cord (10-Foot, Dark Grey)</v>
      </c>
      <c r="B293" s="10" t="str">
        <f>IFERROR(TRIM(LEFT(Raw_Data!A293,FIND(" ",Raw_Data!A293)-1)),Raw_Data!A293)</f>
        <v>AmazonBasics</v>
      </c>
      <c r="C293" s="10" t="str">
        <f>IFERROR(LEFT(Raw_Data!B293,FIND("|",Raw_Data!B293)-1),Raw_Data!B293)</f>
        <v>Electronics</v>
      </c>
      <c r="D293" s="11">
        <f>IFERROR(VALUE(SUBSTITUTE(SUBSTITUTE(TRIM(Raw_Data!C293),"₹",""),",","")),"")</f>
        <v>609</v>
      </c>
      <c r="E293" s="11">
        <f>IFERROR(VALUE(SUBSTITUTE(SUBSTITUTE(TRIM(Raw_Data!D293),"₹",""),",","")),"")</f>
        <v>1500</v>
      </c>
      <c r="F293" s="12">
        <f>IFERROR(VALUE(SUBSTITUTE(Raw_Data!E293,"%",""))/100,"")</f>
        <v>0.59</v>
      </c>
      <c r="G293" s="13">
        <f>IFERROR(VALUE(Raw_Data!F293),"")</f>
        <v>4.5</v>
      </c>
      <c r="H293" s="14">
        <f>IFERROR(VALUE(SUBSTITUTE(Raw_Data!G293,",","")),"")</f>
        <v>1029</v>
      </c>
      <c r="I293" s="11">
        <f t="shared" si="16"/>
        <v>891</v>
      </c>
      <c r="J293" s="11">
        <f t="shared" si="17"/>
        <v>626661</v>
      </c>
      <c r="K293" s="1">
        <f t="shared" si="18"/>
        <v>1029.0000293000001</v>
      </c>
      <c r="L293" s="15">
        <f t="shared" si="19"/>
        <v>0.59002929999999998</v>
      </c>
    </row>
    <row r="294" spans="1:12" ht="15" customHeight="1" x14ac:dyDescent="0.25">
      <c r="A294" s="10" t="str">
        <f>Raw_Data!A294</f>
        <v>Hisense 126 cm (50 inches) Bezelless Series 4K Ultra HD Smart LED Google TV 50A6H (Black)</v>
      </c>
      <c r="B294" s="10" t="str">
        <f>IFERROR(TRIM(LEFT(Raw_Data!A294,FIND(" ",Raw_Data!A294)-1)),Raw_Data!A294)</f>
        <v>Hisense</v>
      </c>
      <c r="C294" s="10" t="str">
        <f>IFERROR(LEFT(Raw_Data!B294,FIND("|",Raw_Data!B294)-1),Raw_Data!B294)</f>
        <v>Electronics</v>
      </c>
      <c r="D294" s="11">
        <f>IFERROR(VALUE(SUBSTITUTE(SUBSTITUTE(TRIM(Raw_Data!C294),"₹",""),",","")),"")</f>
        <v>32990</v>
      </c>
      <c r="E294" s="11">
        <f>IFERROR(VALUE(SUBSTITUTE(SUBSTITUTE(TRIM(Raw_Data!D294),"₹",""),",","")),"")</f>
        <v>54990</v>
      </c>
      <c r="F294" s="12">
        <f>IFERROR(VALUE(SUBSTITUTE(Raw_Data!E294,"%",""))/100,"")</f>
        <v>0.4</v>
      </c>
      <c r="G294" s="13">
        <f>IFERROR(VALUE(Raw_Data!F294),"")</f>
        <v>4.0999999999999996</v>
      </c>
      <c r="H294" s="14">
        <f>IFERROR(VALUE(SUBSTITUTE(Raw_Data!G294,",","")),"")</f>
        <v>1555</v>
      </c>
      <c r="I294" s="11">
        <f t="shared" si="16"/>
        <v>22000</v>
      </c>
      <c r="J294" s="11">
        <f t="shared" si="17"/>
        <v>51299450</v>
      </c>
      <c r="K294" s="1">
        <f t="shared" si="18"/>
        <v>1555.0000293999999</v>
      </c>
      <c r="L294" s="15">
        <f t="shared" si="19"/>
        <v>0.40002940000000003</v>
      </c>
    </row>
    <row r="295" spans="1:12" ht="15" customHeight="1" x14ac:dyDescent="0.25">
      <c r="A295" s="10" t="str">
        <f>Raw_Data!A295</f>
        <v>Tuarso 8K HDMI 2.1 Cable 48Gbps , 1.5 Meter High-Speed Braided HDMI Cable ( 8K@60HZ、4K@120HZ、2K@240HZ ) HDMI 2.1 Cable Compatible with Monitors , Television , Laptops , Projectors , Game Consoles and more with HDMI Ports Device</v>
      </c>
      <c r="B295" s="10" t="str">
        <f>IFERROR(TRIM(LEFT(Raw_Data!A295,FIND(" ",Raw_Data!A295)-1)),Raw_Data!A295)</f>
        <v>Tuarso</v>
      </c>
      <c r="C295" s="10" t="str">
        <f>IFERROR(LEFT(Raw_Data!B295,FIND("|",Raw_Data!B295)-1),Raw_Data!B295)</f>
        <v>Electronics</v>
      </c>
      <c r="D295" s="11">
        <f>IFERROR(VALUE(SUBSTITUTE(SUBSTITUTE(TRIM(Raw_Data!C295),"₹",""),",","")),"")</f>
        <v>599</v>
      </c>
      <c r="E295" s="11">
        <f>IFERROR(VALUE(SUBSTITUTE(SUBSTITUTE(TRIM(Raw_Data!D295),"₹",""),",","")),"")</f>
        <v>1999</v>
      </c>
      <c r="F295" s="12">
        <f>IFERROR(VALUE(SUBSTITUTE(Raw_Data!E295,"%",""))/100,"")</f>
        <v>0.7</v>
      </c>
      <c r="G295" s="13">
        <f>IFERROR(VALUE(Raw_Data!F295),"")</f>
        <v>4.2</v>
      </c>
      <c r="H295" s="14">
        <f>IFERROR(VALUE(SUBSTITUTE(Raw_Data!G295,",","")),"")</f>
        <v>47</v>
      </c>
      <c r="I295" s="11">
        <f t="shared" si="16"/>
        <v>1400</v>
      </c>
      <c r="J295" s="11">
        <f t="shared" si="17"/>
        <v>28153</v>
      </c>
      <c r="K295" s="1">
        <f t="shared" si="18"/>
        <v>47.000029499999997</v>
      </c>
      <c r="L295" s="15">
        <f t="shared" si="19"/>
        <v>0.70002949999999997</v>
      </c>
    </row>
    <row r="296" spans="1:12" ht="15" customHeight="1" x14ac:dyDescent="0.25">
      <c r="A296" s="10" t="str">
        <f>Raw_Data!A296</f>
        <v>AmazonBasics USB Type-C to Micro-B 2.0 Cable - 6 Inches (15.2 Centimeters) - White</v>
      </c>
      <c r="B296" s="10" t="str">
        <f>IFERROR(TRIM(LEFT(Raw_Data!A296,FIND(" ",Raw_Data!A296)-1)),Raw_Data!A296)</f>
        <v>AmazonBasics</v>
      </c>
      <c r="C296" s="10" t="str">
        <f>IFERROR(LEFT(Raw_Data!B296,FIND("|",Raw_Data!B296)-1),Raw_Data!B296)</f>
        <v>Computers&amp;Accessories</v>
      </c>
      <c r="D296" s="11">
        <f>IFERROR(VALUE(SUBSTITUTE(SUBSTITUTE(TRIM(Raw_Data!C296),"₹",""),",","")),"")</f>
        <v>349</v>
      </c>
      <c r="E296" s="11">
        <f>IFERROR(VALUE(SUBSTITUTE(SUBSTITUTE(TRIM(Raw_Data!D296),"₹",""),",","")),"")</f>
        <v>899</v>
      </c>
      <c r="F296" s="12">
        <f>IFERROR(VALUE(SUBSTITUTE(Raw_Data!E296,"%",""))/100,"")</f>
        <v>0.61</v>
      </c>
      <c r="G296" s="13">
        <f>IFERROR(VALUE(Raw_Data!F296),"")</f>
        <v>4.0999999999999996</v>
      </c>
      <c r="H296" s="14">
        <f>IFERROR(VALUE(SUBSTITUTE(Raw_Data!G296,",","")),"")</f>
        <v>14896</v>
      </c>
      <c r="I296" s="11">
        <f t="shared" si="16"/>
        <v>550</v>
      </c>
      <c r="J296" s="11">
        <f t="shared" si="17"/>
        <v>5198704</v>
      </c>
      <c r="K296" s="1">
        <f t="shared" si="18"/>
        <v>14896.0000296</v>
      </c>
      <c r="L296" s="15">
        <f t="shared" si="19"/>
        <v>0.61002959999999995</v>
      </c>
    </row>
    <row r="297" spans="1:12" ht="15" customHeight="1" x14ac:dyDescent="0.25">
      <c r="A297" s="10" t="str">
        <f>Raw_Data!A297</f>
        <v>Kodak 139 cm (55 inches) 4K Ultra HD Smart LED TV 55CA0909 (Black)</v>
      </c>
      <c r="B297" s="10" t="str">
        <f>IFERROR(TRIM(LEFT(Raw_Data!A297,FIND(" ",Raw_Data!A297)-1)),Raw_Data!A297)</f>
        <v>Kodak</v>
      </c>
      <c r="C297" s="10" t="str">
        <f>IFERROR(LEFT(Raw_Data!B297,FIND("|",Raw_Data!B297)-1),Raw_Data!B297)</f>
        <v>Electronics</v>
      </c>
      <c r="D297" s="11">
        <f>IFERROR(VALUE(SUBSTITUTE(SUBSTITUTE(TRIM(Raw_Data!C297),"₹",""),",","")),"")</f>
        <v>29999</v>
      </c>
      <c r="E297" s="11">
        <f>IFERROR(VALUE(SUBSTITUTE(SUBSTITUTE(TRIM(Raw_Data!D297),"₹",""),",","")),"")</f>
        <v>50999</v>
      </c>
      <c r="F297" s="12">
        <f>IFERROR(VALUE(SUBSTITUTE(Raw_Data!E297,"%",""))/100,"")</f>
        <v>0.41</v>
      </c>
      <c r="G297" s="13">
        <f>IFERROR(VALUE(Raw_Data!F297),"")</f>
        <v>4.4000000000000004</v>
      </c>
      <c r="H297" s="14">
        <f>IFERROR(VALUE(SUBSTITUTE(Raw_Data!G297,",","")),"")</f>
        <v>1712</v>
      </c>
      <c r="I297" s="11">
        <f t="shared" si="16"/>
        <v>21000</v>
      </c>
      <c r="J297" s="11">
        <f t="shared" si="17"/>
        <v>51358288</v>
      </c>
      <c r="K297" s="1">
        <f t="shared" si="18"/>
        <v>1712.0000296999999</v>
      </c>
      <c r="L297" s="15">
        <f t="shared" si="19"/>
        <v>0.4100297</v>
      </c>
    </row>
    <row r="298" spans="1:12" ht="15" customHeight="1" x14ac:dyDescent="0.25">
      <c r="A298" s="10" t="str">
        <f>Raw_Data!A298</f>
        <v>Smashtronics® - Case for Firetv Remote, Fire Stick Remote Cover Case, Silicone Cover for TV Firestick 4K/TV 2nd Gen(3rd Gen) Remote Control - Light Weight/Anti Slip/Shockproof (Black)</v>
      </c>
      <c r="B298" s="10" t="str">
        <f>IFERROR(TRIM(LEFT(Raw_Data!A298,FIND(" ",Raw_Data!A298)-1)),Raw_Data!A298)</f>
        <v>Smashtronics®</v>
      </c>
      <c r="C298" s="10" t="str">
        <f>IFERROR(LEFT(Raw_Data!B298,FIND("|",Raw_Data!B298)-1),Raw_Data!B298)</f>
        <v>Electronics</v>
      </c>
      <c r="D298" s="11">
        <f>IFERROR(VALUE(SUBSTITUTE(SUBSTITUTE(TRIM(Raw_Data!C298),"₹",""),",","")),"")</f>
        <v>199</v>
      </c>
      <c r="E298" s="11">
        <f>IFERROR(VALUE(SUBSTITUTE(SUBSTITUTE(TRIM(Raw_Data!D298),"₹",""),",","")),"")</f>
        <v>399</v>
      </c>
      <c r="F298" s="12">
        <f>IFERROR(VALUE(SUBSTITUTE(Raw_Data!E298,"%",""))/100,"")</f>
        <v>0.5</v>
      </c>
      <c r="G298" s="13">
        <f>IFERROR(VALUE(Raw_Data!F298),"")</f>
        <v>4.2</v>
      </c>
      <c r="H298" s="14">
        <f>IFERROR(VALUE(SUBSTITUTE(Raw_Data!G298,",","")),"")</f>
        <v>1335</v>
      </c>
      <c r="I298" s="11">
        <f t="shared" si="16"/>
        <v>200</v>
      </c>
      <c r="J298" s="11">
        <f t="shared" si="17"/>
        <v>265665</v>
      </c>
      <c r="K298" s="1">
        <f t="shared" si="18"/>
        <v>1335.0000298</v>
      </c>
      <c r="L298" s="15">
        <f t="shared" si="19"/>
        <v>0.50002979999999997</v>
      </c>
    </row>
    <row r="299" spans="1:12" ht="15" customHeight="1" x14ac:dyDescent="0.25">
      <c r="A299" s="10" t="str">
        <f>Raw_Data!A299</f>
        <v>7SEVEN® Suitable Sony Tv Remote Original Bravia for Smart Android Television Compatible for Any Model of LCD LED OLED UHD 4K Universal Sony Remote Control</v>
      </c>
      <c r="B299" s="10" t="str">
        <f>IFERROR(TRIM(LEFT(Raw_Data!A299,FIND(" ",Raw_Data!A299)-1)),Raw_Data!A299)</f>
        <v>7SEVEN®</v>
      </c>
      <c r="C299" s="10" t="str">
        <f>IFERROR(LEFT(Raw_Data!B299,FIND("|",Raw_Data!B299)-1),Raw_Data!B299)</f>
        <v>Electronics</v>
      </c>
      <c r="D299" s="11">
        <f>IFERROR(VALUE(SUBSTITUTE(SUBSTITUTE(TRIM(Raw_Data!C299),"₹",""),",","")),"")</f>
        <v>349</v>
      </c>
      <c r="E299" s="11">
        <f>IFERROR(VALUE(SUBSTITUTE(SUBSTITUTE(TRIM(Raw_Data!D299),"₹",""),",","")),"")</f>
        <v>699</v>
      </c>
      <c r="F299" s="12">
        <f>IFERROR(VALUE(SUBSTITUTE(Raw_Data!E299,"%",""))/100,"")</f>
        <v>0.5</v>
      </c>
      <c r="G299" s="13">
        <f>IFERROR(VALUE(Raw_Data!F299),"")</f>
        <v>3.9</v>
      </c>
      <c r="H299" s="14">
        <f>IFERROR(VALUE(SUBSTITUTE(Raw_Data!G299,",","")),"")</f>
        <v>214</v>
      </c>
      <c r="I299" s="11">
        <f t="shared" si="16"/>
        <v>350</v>
      </c>
      <c r="J299" s="11">
        <f t="shared" si="17"/>
        <v>74686</v>
      </c>
      <c r="K299" s="1">
        <f t="shared" si="18"/>
        <v>214.00002989999999</v>
      </c>
      <c r="L299" s="15">
        <f t="shared" si="19"/>
        <v>0.50002990000000003</v>
      </c>
    </row>
    <row r="300" spans="1:12" ht="15" customHeight="1" x14ac:dyDescent="0.25">
      <c r="A300" s="10" t="str">
        <f>Raw_Data!A300</f>
        <v>PROLEGEND® PL-T002 Universal TV Stand Table Top for Most 22 to 65 inch LCD Flat Screen TV, VESA up to 800 by 400mm</v>
      </c>
      <c r="B300" s="10" t="str">
        <f>IFERROR(TRIM(LEFT(Raw_Data!A300,FIND(" ",Raw_Data!A300)-1)),Raw_Data!A300)</f>
        <v>PROLEGEND®</v>
      </c>
      <c r="C300" s="10" t="str">
        <f>IFERROR(LEFT(Raw_Data!B300,FIND("|",Raw_Data!B300)-1),Raw_Data!B300)</f>
        <v>Electronics</v>
      </c>
      <c r="D300" s="11">
        <f>IFERROR(VALUE(SUBSTITUTE(SUBSTITUTE(TRIM(Raw_Data!C300),"₹",""),",","")),"")</f>
        <v>1850</v>
      </c>
      <c r="E300" s="11">
        <f>IFERROR(VALUE(SUBSTITUTE(SUBSTITUTE(TRIM(Raw_Data!D300),"₹",""),",","")),"")</f>
        <v>4500</v>
      </c>
      <c r="F300" s="12">
        <f>IFERROR(VALUE(SUBSTITUTE(Raw_Data!E300,"%",""))/100,"")</f>
        <v>0.59</v>
      </c>
      <c r="G300" s="13">
        <f>IFERROR(VALUE(Raw_Data!F300),"")</f>
        <v>4</v>
      </c>
      <c r="H300" s="14">
        <f>IFERROR(VALUE(SUBSTITUTE(Raw_Data!G300,",","")),"")</f>
        <v>184</v>
      </c>
      <c r="I300" s="11">
        <f t="shared" si="16"/>
        <v>2650</v>
      </c>
      <c r="J300" s="11">
        <f t="shared" si="17"/>
        <v>340400</v>
      </c>
      <c r="K300" s="1">
        <f t="shared" si="18"/>
        <v>184.00003000000001</v>
      </c>
      <c r="L300" s="15">
        <f t="shared" si="19"/>
        <v>0.59002999999999994</v>
      </c>
    </row>
    <row r="301" spans="1:12" ht="15" customHeight="1" x14ac:dyDescent="0.25">
      <c r="A301" s="10" t="str">
        <f>Raw_Data!A301</f>
        <v>WANBO X1 Pro (Upgraded) | Native 1080P Full HD | Android 9 | Projector for Home | LED Cinema | 350ANSI | 3900 lumens | WiFi Bluetooth | HDMI ARC | Dolby DTS | 4D Keystone Correction (Global Version)</v>
      </c>
      <c r="B301" s="10" t="str">
        <f>IFERROR(TRIM(LEFT(Raw_Data!A301,FIND(" ",Raw_Data!A301)-1)),Raw_Data!A301)</f>
        <v>WANBO</v>
      </c>
      <c r="C301" s="10" t="str">
        <f>IFERROR(LEFT(Raw_Data!B301,FIND("|",Raw_Data!B301)-1),Raw_Data!B301)</f>
        <v>Electronics</v>
      </c>
      <c r="D301" s="11">
        <f>IFERROR(VALUE(SUBSTITUTE(SUBSTITUTE(TRIM(Raw_Data!C301),"₹",""),",","")),"")</f>
        <v>13990</v>
      </c>
      <c r="E301" s="11">
        <f>IFERROR(VALUE(SUBSTITUTE(SUBSTITUTE(TRIM(Raw_Data!D301),"₹",""),",","")),"")</f>
        <v>28900</v>
      </c>
      <c r="F301" s="12">
        <f>IFERROR(VALUE(SUBSTITUTE(Raw_Data!E301,"%",""))/100,"")</f>
        <v>0.52</v>
      </c>
      <c r="G301" s="13">
        <f>IFERROR(VALUE(Raw_Data!F301),"")</f>
        <v>4.5</v>
      </c>
      <c r="H301" s="14">
        <f>IFERROR(VALUE(SUBSTITUTE(Raw_Data!G301,",","")),"")</f>
        <v>7</v>
      </c>
      <c r="I301" s="11">
        <f t="shared" si="16"/>
        <v>14910</v>
      </c>
      <c r="J301" s="11">
        <f t="shared" si="17"/>
        <v>97930</v>
      </c>
      <c r="K301" s="1">
        <f t="shared" si="18"/>
        <v>7.0000301</v>
      </c>
      <c r="L301" s="15">
        <f t="shared" si="19"/>
        <v>0.52003010000000005</v>
      </c>
    </row>
    <row r="302" spans="1:12" ht="15" customHeight="1" x14ac:dyDescent="0.25">
      <c r="A302" s="10" t="str">
        <f>Raw_Data!A302</f>
        <v>Lava Charging Adapter Elements D3 2A Fast Charging Speed Usb Type C Data Cable, White</v>
      </c>
      <c r="B302" s="10" t="str">
        <f>IFERROR(TRIM(LEFT(Raw_Data!A302,FIND(" ",Raw_Data!A302)-1)),Raw_Data!A302)</f>
        <v>Lava</v>
      </c>
      <c r="C302" s="10" t="str">
        <f>IFERROR(LEFT(Raw_Data!B302,FIND("|",Raw_Data!B302)-1),Raw_Data!B302)</f>
        <v>Computers&amp;Accessories</v>
      </c>
      <c r="D302" s="11">
        <f>IFERROR(VALUE(SUBSTITUTE(SUBSTITUTE(TRIM(Raw_Data!C302),"₹",""),",","")),"")</f>
        <v>129</v>
      </c>
      <c r="E302" s="11">
        <f>IFERROR(VALUE(SUBSTITUTE(SUBSTITUTE(TRIM(Raw_Data!D302),"₹",""),",","")),"")</f>
        <v>449</v>
      </c>
      <c r="F302" s="12">
        <f>IFERROR(VALUE(SUBSTITUTE(Raw_Data!E302,"%",""))/100,"")</f>
        <v>0.71</v>
      </c>
      <c r="G302" s="13">
        <f>IFERROR(VALUE(Raw_Data!F302),"")</f>
        <v>3.7</v>
      </c>
      <c r="H302" s="14">
        <f>IFERROR(VALUE(SUBSTITUTE(Raw_Data!G302,",","")),"")</f>
        <v>41</v>
      </c>
      <c r="I302" s="11">
        <f t="shared" si="16"/>
        <v>320</v>
      </c>
      <c r="J302" s="11">
        <f t="shared" si="17"/>
        <v>5289</v>
      </c>
      <c r="K302" s="1">
        <f t="shared" si="18"/>
        <v>41.000030199999998</v>
      </c>
      <c r="L302" s="15">
        <f t="shared" si="19"/>
        <v>0.71003019999999994</v>
      </c>
    </row>
    <row r="303" spans="1:12" ht="15" customHeight="1" x14ac:dyDescent="0.25">
      <c r="A303" s="10" t="str">
        <f>Raw_Data!A303</f>
        <v>TIZUM High Speed HDMI Cable Aura -Gold Plated-High Speed Data 10.2Gbps, 3D, 4K, HD 1080P (10 Ft/ 3 M)</v>
      </c>
      <c r="B303" s="10" t="str">
        <f>IFERROR(TRIM(LEFT(Raw_Data!A303,FIND(" ",Raw_Data!A303)-1)),Raw_Data!A303)</f>
        <v>TIZUM</v>
      </c>
      <c r="C303" s="10" t="str">
        <f>IFERROR(LEFT(Raw_Data!B303,FIND("|",Raw_Data!B303)-1),Raw_Data!B303)</f>
        <v>Electronics</v>
      </c>
      <c r="D303" s="11">
        <f>IFERROR(VALUE(SUBSTITUTE(SUBSTITUTE(TRIM(Raw_Data!C303),"₹",""),",","")),"")</f>
        <v>379</v>
      </c>
      <c r="E303" s="11">
        <f>IFERROR(VALUE(SUBSTITUTE(SUBSTITUTE(TRIM(Raw_Data!D303),"₹",""),",","")),"")</f>
        <v>999</v>
      </c>
      <c r="F303" s="12">
        <f>IFERROR(VALUE(SUBSTITUTE(Raw_Data!E303,"%",""))/100,"")</f>
        <v>0.62</v>
      </c>
      <c r="G303" s="13">
        <f>IFERROR(VALUE(Raw_Data!F303),"")</f>
        <v>4.2</v>
      </c>
      <c r="H303" s="14">
        <f>IFERROR(VALUE(SUBSTITUTE(Raw_Data!G303,",","")),"")</f>
        <v>12153</v>
      </c>
      <c r="I303" s="11">
        <f t="shared" si="16"/>
        <v>620</v>
      </c>
      <c r="J303" s="11">
        <f t="shared" si="17"/>
        <v>4605987</v>
      </c>
      <c r="K303" s="1">
        <f t="shared" si="18"/>
        <v>12153.0000303</v>
      </c>
      <c r="L303" s="15">
        <f t="shared" si="19"/>
        <v>0.62003030000000003</v>
      </c>
    </row>
    <row r="304" spans="1:12" ht="15" customHeight="1" x14ac:dyDescent="0.25">
      <c r="A304" s="10" t="str">
        <f>Raw_Data!A304</f>
        <v>Technotech High Speed HDMI Cable 5 Meter V1.4 - Supports Full HD 1080p (Color May Vary)</v>
      </c>
      <c r="B304" s="10" t="str">
        <f>IFERROR(TRIM(LEFT(Raw_Data!A304,FIND(" ",Raw_Data!A304)-1)),Raw_Data!A304)</f>
        <v>Technotech</v>
      </c>
      <c r="C304" s="10" t="str">
        <f>IFERROR(LEFT(Raw_Data!B304,FIND("|",Raw_Data!B304)-1),Raw_Data!B304)</f>
        <v>Electronics</v>
      </c>
      <c r="D304" s="11">
        <f>IFERROR(VALUE(SUBSTITUTE(SUBSTITUTE(TRIM(Raw_Data!C304),"₹",""),",","")),"")</f>
        <v>185</v>
      </c>
      <c r="E304" s="11">
        <f>IFERROR(VALUE(SUBSTITUTE(SUBSTITUTE(TRIM(Raw_Data!D304),"₹",""),",","")),"")</f>
        <v>499</v>
      </c>
      <c r="F304" s="12">
        <f>IFERROR(VALUE(SUBSTITUTE(Raw_Data!E304,"%",""))/100,"")</f>
        <v>0.63</v>
      </c>
      <c r="G304" s="13">
        <f>IFERROR(VALUE(Raw_Data!F304),"")</f>
        <v>4.2</v>
      </c>
      <c r="H304" s="14">
        <f>IFERROR(VALUE(SUBSTITUTE(Raw_Data!G304,",","")),"")</f>
        <v>25</v>
      </c>
      <c r="I304" s="11">
        <f t="shared" si="16"/>
        <v>314</v>
      </c>
      <c r="J304" s="11">
        <f t="shared" si="17"/>
        <v>4625</v>
      </c>
      <c r="K304" s="1">
        <f t="shared" si="18"/>
        <v>25.0000304</v>
      </c>
      <c r="L304" s="15">
        <f t="shared" si="19"/>
        <v>0.63003039999999999</v>
      </c>
    </row>
    <row r="305" spans="1:12" ht="15" customHeight="1" x14ac:dyDescent="0.25">
      <c r="A305" s="10" t="str">
        <f>Raw_Data!A305</f>
        <v>NK STAR 950 Mbps USB WiFi Adapter Wireless Network Receiver Dongle for Desktop Laptop, (Support- Windows XP/7/8/10 &amp; MAC OS) NOt Support to DVR and HDTV</v>
      </c>
      <c r="B305" s="10" t="str">
        <f>IFERROR(TRIM(LEFT(Raw_Data!A305,FIND(" ",Raw_Data!A305)-1)),Raw_Data!A305)</f>
        <v>NK</v>
      </c>
      <c r="C305" s="10" t="str">
        <f>IFERROR(LEFT(Raw_Data!B305,FIND("|",Raw_Data!B305)-1),Raw_Data!B305)</f>
        <v>Computers&amp;Accessories</v>
      </c>
      <c r="D305" s="11">
        <f>IFERROR(VALUE(SUBSTITUTE(SUBSTITUTE(TRIM(Raw_Data!C305),"₹",""),",","")),"")</f>
        <v>218</v>
      </c>
      <c r="E305" s="11">
        <f>IFERROR(VALUE(SUBSTITUTE(SUBSTITUTE(TRIM(Raw_Data!D305),"₹",""),",","")),"")</f>
        <v>999</v>
      </c>
      <c r="F305" s="12">
        <f>IFERROR(VALUE(SUBSTITUTE(Raw_Data!E305,"%",""))/100,"")</f>
        <v>0.78</v>
      </c>
      <c r="G305" s="13">
        <f>IFERROR(VALUE(Raw_Data!F305),"")</f>
        <v>4.2</v>
      </c>
      <c r="H305" s="14">
        <f>IFERROR(VALUE(SUBSTITUTE(Raw_Data!G305,",","")),"")</f>
        <v>163</v>
      </c>
      <c r="I305" s="11">
        <f t="shared" si="16"/>
        <v>781</v>
      </c>
      <c r="J305" s="11">
        <f t="shared" si="17"/>
        <v>35534</v>
      </c>
      <c r="K305" s="1">
        <f t="shared" si="18"/>
        <v>163.00003050000001</v>
      </c>
      <c r="L305" s="15">
        <f t="shared" si="19"/>
        <v>0.78003050000000007</v>
      </c>
    </row>
    <row r="306" spans="1:12" ht="15" customHeight="1" x14ac:dyDescent="0.25">
      <c r="A306" s="10" t="str">
        <f>Raw_Data!A306</f>
        <v>LS LAPSTER Quality Assured USB 2.0 morpho cable, morpho device cable for Mso 1300 E3/E2/E Biometric Finger Print Scanner morpho USB cable (Black)</v>
      </c>
      <c r="B306" s="10" t="str">
        <f>IFERROR(TRIM(LEFT(Raw_Data!A306,FIND(" ",Raw_Data!A306)-1)),Raw_Data!A306)</f>
        <v>LS</v>
      </c>
      <c r="C306" s="10" t="str">
        <f>IFERROR(LEFT(Raw_Data!B306,FIND("|",Raw_Data!B306)-1),Raw_Data!B306)</f>
        <v>Computers&amp;Accessories</v>
      </c>
      <c r="D306" s="11">
        <f>IFERROR(VALUE(SUBSTITUTE(SUBSTITUTE(TRIM(Raw_Data!C306),"₹",""),",","")),"")</f>
        <v>199</v>
      </c>
      <c r="E306" s="11">
        <f>IFERROR(VALUE(SUBSTITUTE(SUBSTITUTE(TRIM(Raw_Data!D306),"₹",""),",","")),"")</f>
        <v>999</v>
      </c>
      <c r="F306" s="12">
        <f>IFERROR(VALUE(SUBSTITUTE(Raw_Data!E306,"%",""))/100,"")</f>
        <v>0.8</v>
      </c>
      <c r="G306" s="13">
        <f>IFERROR(VALUE(Raw_Data!F306),"")</f>
        <v>4.3</v>
      </c>
      <c r="H306" s="14">
        <f>IFERROR(VALUE(SUBSTITUTE(Raw_Data!G306,",","")),"")</f>
        <v>87</v>
      </c>
      <c r="I306" s="11">
        <f t="shared" si="16"/>
        <v>800</v>
      </c>
      <c r="J306" s="11">
        <f t="shared" si="17"/>
        <v>17313</v>
      </c>
      <c r="K306" s="1">
        <f t="shared" si="18"/>
        <v>87.000030600000002</v>
      </c>
      <c r="L306" s="15">
        <f t="shared" si="19"/>
        <v>0.80003060000000004</v>
      </c>
    </row>
    <row r="307" spans="1:12" ht="15" customHeight="1" x14ac:dyDescent="0.25">
      <c r="A307" s="10" t="str">
        <f>Raw_Data!A307</f>
        <v>Amazon Basics 10.2 Gbps High-Speed 4K HDMI Cable with Braided Cord, 1.8 Meter, Dark Grey</v>
      </c>
      <c r="B307" s="10" t="str">
        <f>IFERROR(TRIM(LEFT(Raw_Data!A307,FIND(" ",Raw_Data!A307)-1)),Raw_Data!A307)</f>
        <v>Amazon</v>
      </c>
      <c r="C307" s="10" t="str">
        <f>IFERROR(LEFT(Raw_Data!B307,FIND("|",Raw_Data!B307)-1),Raw_Data!B307)</f>
        <v>Electronics</v>
      </c>
      <c r="D307" s="11">
        <f>IFERROR(VALUE(SUBSTITUTE(SUBSTITUTE(TRIM(Raw_Data!C307),"₹",""),",","")),"")</f>
        <v>499</v>
      </c>
      <c r="E307" s="11">
        <f>IFERROR(VALUE(SUBSTITUTE(SUBSTITUTE(TRIM(Raw_Data!D307),"₹",""),",","")),"")</f>
        <v>900</v>
      </c>
      <c r="F307" s="12">
        <f>IFERROR(VALUE(SUBSTITUTE(Raw_Data!E307,"%",""))/100,"")</f>
        <v>0.45</v>
      </c>
      <c r="G307" s="13">
        <f>IFERROR(VALUE(Raw_Data!F307),"")</f>
        <v>4.4000000000000004</v>
      </c>
      <c r="H307" s="14">
        <f>IFERROR(VALUE(SUBSTITUTE(Raw_Data!G307,",","")),"")</f>
        <v>2165</v>
      </c>
      <c r="I307" s="11">
        <f t="shared" si="16"/>
        <v>401</v>
      </c>
      <c r="J307" s="11">
        <f t="shared" si="17"/>
        <v>1080335</v>
      </c>
      <c r="K307" s="1">
        <f t="shared" si="18"/>
        <v>2165.0000307</v>
      </c>
      <c r="L307" s="15">
        <f t="shared" si="19"/>
        <v>0.45003070000000001</v>
      </c>
    </row>
    <row r="308" spans="1:12" ht="15" customHeight="1" x14ac:dyDescent="0.25">
      <c r="A308" s="10" t="str">
        <f>Raw_Data!A308</f>
        <v>Kodak 126 cm (50 inches) Bezel-Less Design Series 4K Ultra HD Smart Android LED TV 50UHDX7XPROBL (Black)</v>
      </c>
      <c r="B308" s="10" t="str">
        <f>IFERROR(TRIM(LEFT(Raw_Data!A308,FIND(" ",Raw_Data!A308)-1)),Raw_Data!A308)</f>
        <v>Kodak</v>
      </c>
      <c r="C308" s="10" t="str">
        <f>IFERROR(LEFT(Raw_Data!B308,FIND("|",Raw_Data!B308)-1),Raw_Data!B308)</f>
        <v>Electronics</v>
      </c>
      <c r="D308" s="11">
        <f>IFERROR(VALUE(SUBSTITUTE(SUBSTITUTE(TRIM(Raw_Data!C308),"₹",""),",","")),"")</f>
        <v>26999</v>
      </c>
      <c r="E308" s="11">
        <f>IFERROR(VALUE(SUBSTITUTE(SUBSTITUTE(TRIM(Raw_Data!D308),"₹",""),",","")),"")</f>
        <v>42999</v>
      </c>
      <c r="F308" s="12">
        <f>IFERROR(VALUE(SUBSTITUTE(Raw_Data!E308,"%",""))/100,"")</f>
        <v>0.37</v>
      </c>
      <c r="G308" s="13">
        <f>IFERROR(VALUE(Raw_Data!F308),"")</f>
        <v>4.2</v>
      </c>
      <c r="H308" s="14">
        <f>IFERROR(VALUE(SUBSTITUTE(Raw_Data!G308,",","")),"")</f>
        <v>1510</v>
      </c>
      <c r="I308" s="11">
        <f t="shared" si="16"/>
        <v>16000</v>
      </c>
      <c r="J308" s="11">
        <f t="shared" si="17"/>
        <v>40768490</v>
      </c>
      <c r="K308" s="1">
        <f t="shared" si="18"/>
        <v>1510.0000308000001</v>
      </c>
      <c r="L308" s="15">
        <f t="shared" si="19"/>
        <v>0.37003079999999999</v>
      </c>
    </row>
    <row r="309" spans="1:12" ht="15" customHeight="1" x14ac:dyDescent="0.25">
      <c r="A309" s="10" t="str">
        <f>Raw_Data!A309</f>
        <v>ZORBES® Wall Adapter Holder for Alexa Echo Dot 4th Generation,A Space-Saving Solution with Cord Management for Your Smart Home Speakers -White (Holder Only)</v>
      </c>
      <c r="B309" s="10" t="str">
        <f>IFERROR(TRIM(LEFT(Raw_Data!A309,FIND(" ",Raw_Data!A309)-1)),Raw_Data!A309)</f>
        <v>ZORBES®</v>
      </c>
      <c r="C309" s="10" t="str">
        <f>IFERROR(LEFT(Raw_Data!B309,FIND("|",Raw_Data!B309)-1),Raw_Data!B309)</f>
        <v>Electronics</v>
      </c>
      <c r="D309" s="11">
        <f>IFERROR(VALUE(SUBSTITUTE(SUBSTITUTE(TRIM(Raw_Data!C309),"₹",""),",","")),"")</f>
        <v>893</v>
      </c>
      <c r="E309" s="11">
        <f>IFERROR(VALUE(SUBSTITUTE(SUBSTITUTE(TRIM(Raw_Data!D309),"₹",""),",","")),"")</f>
        <v>1052</v>
      </c>
      <c r="F309" s="12">
        <f>IFERROR(VALUE(SUBSTITUTE(Raw_Data!E309,"%",""))/100,"")</f>
        <v>0.15</v>
      </c>
      <c r="G309" s="13">
        <f>IFERROR(VALUE(Raw_Data!F309),"")</f>
        <v>4.3</v>
      </c>
      <c r="H309" s="14">
        <f>IFERROR(VALUE(SUBSTITUTE(Raw_Data!G309,",","")),"")</f>
        <v>106</v>
      </c>
      <c r="I309" s="11">
        <f t="shared" si="16"/>
        <v>159</v>
      </c>
      <c r="J309" s="11">
        <f t="shared" si="17"/>
        <v>94658</v>
      </c>
      <c r="K309" s="1">
        <f t="shared" si="18"/>
        <v>106.0000309</v>
      </c>
      <c r="L309" s="15">
        <f t="shared" si="19"/>
        <v>0.15003089999999999</v>
      </c>
    </row>
    <row r="310" spans="1:12" ht="15" customHeight="1" x14ac:dyDescent="0.25">
      <c r="A310" s="10" t="str">
        <f>Raw_Data!A310</f>
        <v>Sansui 80cm (32 inches) HD Ready Smart LED TV JSY32SKHD (BLACK) With Bezel-less Design</v>
      </c>
      <c r="B310" s="10" t="str">
        <f>IFERROR(TRIM(LEFT(Raw_Data!A310,FIND(" ",Raw_Data!A310)-1)),Raw_Data!A310)</f>
        <v>Sansui</v>
      </c>
      <c r="C310" s="10" t="str">
        <f>IFERROR(LEFT(Raw_Data!B310,FIND("|",Raw_Data!B310)-1),Raw_Data!B310)</f>
        <v>Electronics</v>
      </c>
      <c r="D310" s="11">
        <f>IFERROR(VALUE(SUBSTITUTE(SUBSTITUTE(TRIM(Raw_Data!C310),"₹",""),",","")),"")</f>
        <v>10990</v>
      </c>
      <c r="E310" s="11">
        <f>IFERROR(VALUE(SUBSTITUTE(SUBSTITUTE(TRIM(Raw_Data!D310),"₹",""),",","")),"")</f>
        <v>19990</v>
      </c>
      <c r="F310" s="12">
        <f>IFERROR(VALUE(SUBSTITUTE(Raw_Data!E310,"%",""))/100,"")</f>
        <v>0.45</v>
      </c>
      <c r="G310" s="13">
        <f>IFERROR(VALUE(Raw_Data!F310),"")</f>
        <v>3.7</v>
      </c>
      <c r="H310" s="14">
        <f>IFERROR(VALUE(SUBSTITUTE(Raw_Data!G310,",","")),"")</f>
        <v>129</v>
      </c>
      <c r="I310" s="11">
        <f t="shared" si="16"/>
        <v>9000</v>
      </c>
      <c r="J310" s="11">
        <f t="shared" si="17"/>
        <v>1417710</v>
      </c>
      <c r="K310" s="1">
        <f t="shared" si="18"/>
        <v>129.00003100000001</v>
      </c>
      <c r="L310" s="15">
        <f t="shared" si="19"/>
        <v>0.45003100000000001</v>
      </c>
    </row>
    <row r="311" spans="1:12" ht="15" customHeight="1" x14ac:dyDescent="0.25">
      <c r="A311" s="10" t="str">
        <f>Raw_Data!A311</f>
        <v>Synqe USB Type C Fast Charging Cable 2M Charger Cord Data Cable Compatible with Samsung Galaxy M51,Galaxy M31S, S10e S10 S9 S20 Plus, Note10 9 8,M40 A50 A70, Redmi Note 9, Moto G7, Poco F1 (2M, Grey)</v>
      </c>
      <c r="B311" s="10" t="str">
        <f>IFERROR(TRIM(LEFT(Raw_Data!A311,FIND(" ",Raw_Data!A311)-1)),Raw_Data!A311)</f>
        <v>Synqe</v>
      </c>
      <c r="C311" s="10" t="str">
        <f>IFERROR(LEFT(Raw_Data!B311,FIND("|",Raw_Data!B311)-1),Raw_Data!B311)</f>
        <v>Computers&amp;Accessories</v>
      </c>
      <c r="D311" s="11">
        <f>IFERROR(VALUE(SUBSTITUTE(SUBSTITUTE(TRIM(Raw_Data!C311),"₹",""),",","")),"")</f>
        <v>379</v>
      </c>
      <c r="E311" s="11">
        <f>IFERROR(VALUE(SUBSTITUTE(SUBSTITUTE(TRIM(Raw_Data!D311),"₹",""),",","")),"")</f>
        <v>1099</v>
      </c>
      <c r="F311" s="12">
        <f>IFERROR(VALUE(SUBSTITUTE(Raw_Data!E311,"%",""))/100,"")</f>
        <v>0.66</v>
      </c>
      <c r="G311" s="13">
        <f>IFERROR(VALUE(Raw_Data!F311),"")</f>
        <v>4.3</v>
      </c>
      <c r="H311" s="14">
        <f>IFERROR(VALUE(SUBSTITUTE(Raw_Data!G311,",","")),"")</f>
        <v>3049</v>
      </c>
      <c r="I311" s="11">
        <f t="shared" si="16"/>
        <v>720</v>
      </c>
      <c r="J311" s="11">
        <f t="shared" si="17"/>
        <v>1155571</v>
      </c>
      <c r="K311" s="1">
        <f t="shared" si="18"/>
        <v>3049.0000310999999</v>
      </c>
      <c r="L311" s="15">
        <f t="shared" si="19"/>
        <v>0.66003109999999998</v>
      </c>
    </row>
    <row r="312" spans="1:12" ht="15" customHeight="1" x14ac:dyDescent="0.25">
      <c r="A312" s="10" t="str">
        <f>Raw_Data!A312</f>
        <v>MI 80 cm (32 inches) HD Ready Smart Android LED TV 5A Pro | L32M7-EAIN (Black)</v>
      </c>
      <c r="B312" s="10" t="str">
        <f>IFERROR(TRIM(LEFT(Raw_Data!A312,FIND(" ",Raw_Data!A312)-1)),Raw_Data!A312)</f>
        <v>MI</v>
      </c>
      <c r="C312" s="10" t="str">
        <f>IFERROR(LEFT(Raw_Data!B312,FIND("|",Raw_Data!B312)-1),Raw_Data!B312)</f>
        <v>Electronics</v>
      </c>
      <c r="D312" s="11">
        <f>IFERROR(VALUE(SUBSTITUTE(SUBSTITUTE(TRIM(Raw_Data!C312),"₹",""),",","")),"")</f>
        <v>16999</v>
      </c>
      <c r="E312" s="11">
        <f>IFERROR(VALUE(SUBSTITUTE(SUBSTITUTE(TRIM(Raw_Data!D312),"₹",""),",","")),"")</f>
        <v>25999</v>
      </c>
      <c r="F312" s="12">
        <f>IFERROR(VALUE(SUBSTITUTE(Raw_Data!E312,"%",""))/100,"")</f>
        <v>0.35</v>
      </c>
      <c r="G312" s="13">
        <f>IFERROR(VALUE(Raw_Data!F312),"")</f>
        <v>4.2</v>
      </c>
      <c r="H312" s="14">
        <f>IFERROR(VALUE(SUBSTITUTE(Raw_Data!G312,",","")),"")</f>
        <v>32840</v>
      </c>
      <c r="I312" s="11">
        <f t="shared" si="16"/>
        <v>9000</v>
      </c>
      <c r="J312" s="11">
        <f t="shared" si="17"/>
        <v>558247160</v>
      </c>
      <c r="K312" s="1">
        <f t="shared" si="18"/>
        <v>32840.000031199997</v>
      </c>
      <c r="L312" s="15">
        <f t="shared" si="19"/>
        <v>0.35003119999999999</v>
      </c>
    </row>
    <row r="313" spans="1:12" ht="15" customHeight="1" x14ac:dyDescent="0.25">
      <c r="A313" s="10" t="str">
        <f>Raw_Data!A313</f>
        <v>Bestor ® 8K Hdmi 2.1 Cable 48Gbps 9.80Ft/Ultra High Speed Hdmi Braided Cord For Roku Tv/Ps5/Hdtv/Blu-Ray Projector, Laptop, Television, Personal Computer, Xbox, Ps4, Ps5, Ps4 Pro (1 M, Grey)</v>
      </c>
      <c r="B313" s="10" t="str">
        <f>IFERROR(TRIM(LEFT(Raw_Data!A313,FIND(" ",Raw_Data!A313)-1)),Raw_Data!A313)</f>
        <v>Bestor</v>
      </c>
      <c r="C313" s="10" t="str">
        <f>IFERROR(LEFT(Raw_Data!B313,FIND("|",Raw_Data!B313)-1),Raw_Data!B313)</f>
        <v>Electronics</v>
      </c>
      <c r="D313" s="11">
        <f>IFERROR(VALUE(SUBSTITUTE(SUBSTITUTE(TRIM(Raw_Data!C313),"₹",""),",","")),"")</f>
        <v>699</v>
      </c>
      <c r="E313" s="11">
        <f>IFERROR(VALUE(SUBSTITUTE(SUBSTITUTE(TRIM(Raw_Data!D313),"₹",""),",","")),"")</f>
        <v>1899</v>
      </c>
      <c r="F313" s="12">
        <f>IFERROR(VALUE(SUBSTITUTE(Raw_Data!E313,"%",""))/100,"")</f>
        <v>0.63</v>
      </c>
      <c r="G313" s="13">
        <f>IFERROR(VALUE(Raw_Data!F313),"")</f>
        <v>4.4000000000000004</v>
      </c>
      <c r="H313" s="14">
        <f>IFERROR(VALUE(SUBSTITUTE(Raw_Data!G313,",","")),"")</f>
        <v>390</v>
      </c>
      <c r="I313" s="11">
        <f t="shared" si="16"/>
        <v>1200</v>
      </c>
      <c r="J313" s="11">
        <f t="shared" si="17"/>
        <v>272610</v>
      </c>
      <c r="K313" s="1">
        <f t="shared" si="18"/>
        <v>390.00003129999999</v>
      </c>
      <c r="L313" s="15">
        <f t="shared" si="19"/>
        <v>0.63003129999999996</v>
      </c>
    </row>
    <row r="314" spans="1:12" ht="15" customHeight="1" x14ac:dyDescent="0.25">
      <c r="A314" s="10" t="str">
        <f>Raw_Data!A314</f>
        <v>Irusu Play VR Plus Virtual Reality Headset with Headphones for Gaming (Black)</v>
      </c>
      <c r="B314" s="10" t="str">
        <f>IFERROR(TRIM(LEFT(Raw_Data!A314,FIND(" ",Raw_Data!A314)-1)),Raw_Data!A314)</f>
        <v>Irusu</v>
      </c>
      <c r="C314" s="10" t="str">
        <f>IFERROR(LEFT(Raw_Data!B314,FIND("|",Raw_Data!B314)-1),Raw_Data!B314)</f>
        <v>Electronics</v>
      </c>
      <c r="D314" s="11">
        <f>IFERROR(VALUE(SUBSTITUTE(SUBSTITUTE(TRIM(Raw_Data!C314),"₹",""),",","")),"")</f>
        <v>2699</v>
      </c>
      <c r="E314" s="11">
        <f>IFERROR(VALUE(SUBSTITUTE(SUBSTITUTE(TRIM(Raw_Data!D314),"₹",""),",","")),"")</f>
        <v>3500</v>
      </c>
      <c r="F314" s="12">
        <f>IFERROR(VALUE(SUBSTITUTE(Raw_Data!E314,"%",""))/100,"")</f>
        <v>0.23</v>
      </c>
      <c r="G314" s="13">
        <f>IFERROR(VALUE(Raw_Data!F314),"")</f>
        <v>3.5</v>
      </c>
      <c r="H314" s="14">
        <f>IFERROR(VALUE(SUBSTITUTE(Raw_Data!G314,",","")),"")</f>
        <v>621</v>
      </c>
      <c r="I314" s="11">
        <f t="shared" si="16"/>
        <v>801</v>
      </c>
      <c r="J314" s="11">
        <f t="shared" si="17"/>
        <v>1676079</v>
      </c>
      <c r="K314" s="1">
        <f t="shared" si="18"/>
        <v>621.00003140000001</v>
      </c>
      <c r="L314" s="15">
        <f t="shared" si="19"/>
        <v>0.2300314</v>
      </c>
    </row>
    <row r="315" spans="1:12" ht="15" customHeight="1" x14ac:dyDescent="0.25">
      <c r="A315" s="10" t="str">
        <f>Raw_Data!A315</f>
        <v>Amazon Brand - Solimo Fast Charging Braided Type C Data Cable Seam, Suitable For All Supported Mobile Phones (1 Meter, Black)</v>
      </c>
      <c r="B315" s="10" t="str">
        <f>IFERROR(TRIM(LEFT(Raw_Data!A315,FIND(" ",Raw_Data!A315)-1)),Raw_Data!A315)</f>
        <v>Amazon</v>
      </c>
      <c r="C315" s="10" t="str">
        <f>IFERROR(LEFT(Raw_Data!B315,FIND("|",Raw_Data!B315)-1),Raw_Data!B315)</f>
        <v>Computers&amp;Accessories</v>
      </c>
      <c r="D315" s="11">
        <f>IFERROR(VALUE(SUBSTITUTE(SUBSTITUTE(TRIM(Raw_Data!C315),"₹",""),",","")),"")</f>
        <v>129</v>
      </c>
      <c r="E315" s="11">
        <f>IFERROR(VALUE(SUBSTITUTE(SUBSTITUTE(TRIM(Raw_Data!D315),"₹",""),",","")),"")</f>
        <v>599</v>
      </c>
      <c r="F315" s="12">
        <f>IFERROR(VALUE(SUBSTITUTE(Raw_Data!E315,"%",""))/100,"")</f>
        <v>0.78</v>
      </c>
      <c r="G315" s="13">
        <f>IFERROR(VALUE(Raw_Data!F315),"")</f>
        <v>4.0999999999999996</v>
      </c>
      <c r="H315" s="14">
        <f>IFERROR(VALUE(SUBSTITUTE(Raw_Data!G315,",","")),"")</f>
        <v>265</v>
      </c>
      <c r="I315" s="11">
        <f t="shared" si="16"/>
        <v>470</v>
      </c>
      <c r="J315" s="11">
        <f t="shared" si="17"/>
        <v>34185</v>
      </c>
      <c r="K315" s="1">
        <f t="shared" si="18"/>
        <v>265.00003149999998</v>
      </c>
      <c r="L315" s="15">
        <f t="shared" si="19"/>
        <v>0.78003149999999999</v>
      </c>
    </row>
    <row r="316" spans="1:12" ht="15" customHeight="1" x14ac:dyDescent="0.25">
      <c r="A316" s="10" t="str">
        <f>Raw_Data!A316</f>
        <v>Synqe USB C to USB C 60W Nylon Braided Fast Charging Type C to Type C Cable Compatible with Samsung Galaxy Note 20/Ultra, S20 S22 S21 S20 FE A73 A53 A33 (2M, Black)</v>
      </c>
      <c r="B316" s="10" t="str">
        <f>IFERROR(TRIM(LEFT(Raw_Data!A316,FIND(" ",Raw_Data!A316)-1)),Raw_Data!A316)</f>
        <v>Synqe</v>
      </c>
      <c r="C316" s="10" t="str">
        <f>IFERROR(LEFT(Raw_Data!B316,FIND("|",Raw_Data!B316)-1),Raw_Data!B316)</f>
        <v>Computers&amp;Accessories</v>
      </c>
      <c r="D316" s="11">
        <f>IFERROR(VALUE(SUBSTITUTE(SUBSTITUTE(TRIM(Raw_Data!C316),"₹",""),",","")),"")</f>
        <v>389</v>
      </c>
      <c r="E316" s="11">
        <f>IFERROR(VALUE(SUBSTITUTE(SUBSTITUTE(TRIM(Raw_Data!D316),"₹",""),",","")),"")</f>
        <v>999</v>
      </c>
      <c r="F316" s="12">
        <f>IFERROR(VALUE(SUBSTITUTE(Raw_Data!E316,"%",""))/100,"")</f>
        <v>0.61</v>
      </c>
      <c r="G316" s="13">
        <f>IFERROR(VALUE(Raw_Data!F316),"")</f>
        <v>4.3</v>
      </c>
      <c r="H316" s="14">
        <f>IFERROR(VALUE(SUBSTITUTE(Raw_Data!G316,",","")),"")</f>
        <v>838</v>
      </c>
      <c r="I316" s="11">
        <f t="shared" si="16"/>
        <v>610</v>
      </c>
      <c r="J316" s="11">
        <f t="shared" si="17"/>
        <v>325982</v>
      </c>
      <c r="K316" s="1">
        <f t="shared" si="18"/>
        <v>838.00003160000006</v>
      </c>
      <c r="L316" s="15">
        <f t="shared" si="19"/>
        <v>0.61003160000000001</v>
      </c>
    </row>
    <row r="317" spans="1:12" ht="15" customHeight="1" x14ac:dyDescent="0.25">
      <c r="A317" s="10" t="str">
        <f>Raw_Data!A317</f>
        <v>Shopoflux Silicone Remote Cover for Mi Smart TV and Mi TV Stick/MI Box S / 3S / MI 4X / 4A Smart LED TV (Black)</v>
      </c>
      <c r="B317" s="10" t="str">
        <f>IFERROR(TRIM(LEFT(Raw_Data!A317,FIND(" ",Raw_Data!A317)-1)),Raw_Data!A317)</f>
        <v>Shopoflux</v>
      </c>
      <c r="C317" s="10" t="str">
        <f>IFERROR(LEFT(Raw_Data!B317,FIND("|",Raw_Data!B317)-1),Raw_Data!B317)</f>
        <v>Electronics</v>
      </c>
      <c r="D317" s="11">
        <f>IFERROR(VALUE(SUBSTITUTE(SUBSTITUTE(TRIM(Raw_Data!C317),"₹",""),",","")),"")</f>
        <v>246</v>
      </c>
      <c r="E317" s="11">
        <f>IFERROR(VALUE(SUBSTITUTE(SUBSTITUTE(TRIM(Raw_Data!D317),"₹",""),",","")),"")</f>
        <v>600</v>
      </c>
      <c r="F317" s="12">
        <f>IFERROR(VALUE(SUBSTITUTE(Raw_Data!E317,"%",""))/100,"")</f>
        <v>0.59</v>
      </c>
      <c r="G317" s="13">
        <f>IFERROR(VALUE(Raw_Data!F317),"")</f>
        <v>4.2</v>
      </c>
      <c r="H317" s="14">
        <f>IFERROR(VALUE(SUBSTITUTE(Raw_Data!G317,",","")),"")</f>
        <v>143</v>
      </c>
      <c r="I317" s="11">
        <f t="shared" si="16"/>
        <v>354</v>
      </c>
      <c r="J317" s="11">
        <f t="shared" si="17"/>
        <v>35178</v>
      </c>
      <c r="K317" s="1">
        <f t="shared" si="18"/>
        <v>143.00003169999999</v>
      </c>
      <c r="L317" s="15">
        <f t="shared" si="19"/>
        <v>0.59003169999999994</v>
      </c>
    </row>
    <row r="318" spans="1:12" ht="15" customHeight="1" x14ac:dyDescent="0.25">
      <c r="A318" s="10" t="str">
        <f>Raw_Data!A318</f>
        <v>EYNK Extra Long Micro USB Fast Charging USB Cable | Micro USB Data Cable | Quick Fast Charging Cable | Charger Sync Cable | High Speed Transfer Android Smartphones V8 Cable (2.4 Amp, 3m,) (White)</v>
      </c>
      <c r="B318" s="10" t="str">
        <f>IFERROR(TRIM(LEFT(Raw_Data!A318,FIND(" ",Raw_Data!A318)-1)),Raw_Data!A318)</f>
        <v>EYNK</v>
      </c>
      <c r="C318" s="10" t="str">
        <f>IFERROR(LEFT(Raw_Data!B318,FIND("|",Raw_Data!B318)-1),Raw_Data!B318)</f>
        <v>Computers&amp;Accessories</v>
      </c>
      <c r="D318" s="11">
        <f>IFERROR(VALUE(SUBSTITUTE(SUBSTITUTE(TRIM(Raw_Data!C318),"₹",""),",","")),"")</f>
        <v>299</v>
      </c>
      <c r="E318" s="11">
        <f>IFERROR(VALUE(SUBSTITUTE(SUBSTITUTE(TRIM(Raw_Data!D318),"₹",""),",","")),"")</f>
        <v>799</v>
      </c>
      <c r="F318" s="12">
        <f>IFERROR(VALUE(SUBSTITUTE(Raw_Data!E318,"%",""))/100,"")</f>
        <v>0.63</v>
      </c>
      <c r="G318" s="13">
        <f>IFERROR(VALUE(Raw_Data!F318),"")</f>
        <v>4</v>
      </c>
      <c r="H318" s="14">
        <f>IFERROR(VALUE(SUBSTITUTE(Raw_Data!G318,",","")),"")</f>
        <v>151</v>
      </c>
      <c r="I318" s="11">
        <f t="shared" si="16"/>
        <v>500</v>
      </c>
      <c r="J318" s="11">
        <f t="shared" si="17"/>
        <v>45149</v>
      </c>
      <c r="K318" s="1">
        <f t="shared" si="18"/>
        <v>151.00003179999999</v>
      </c>
      <c r="L318" s="15">
        <f t="shared" si="19"/>
        <v>0.63003180000000003</v>
      </c>
    </row>
    <row r="319" spans="1:12" ht="15" customHeight="1" x14ac:dyDescent="0.25">
      <c r="A319" s="10" t="str">
        <f>Raw_Data!A319</f>
        <v>LUNAGARIYA®, Protective Case Compatible with JIO Settop Box Remote Control,PU Leather Cover Holder (Before Placing Order,Please Compare The Dimensions of The Product with Your Remote)</v>
      </c>
      <c r="B319" s="10" t="str">
        <f>IFERROR(TRIM(LEFT(Raw_Data!A319,FIND(" ",Raw_Data!A319)-1)),Raw_Data!A319)</f>
        <v>LUNAGARIYA®,</v>
      </c>
      <c r="C319" s="10" t="str">
        <f>IFERROR(LEFT(Raw_Data!B319,FIND("|",Raw_Data!B319)-1),Raw_Data!B319)</f>
        <v>Electronics</v>
      </c>
      <c r="D319" s="11">
        <f>IFERROR(VALUE(SUBSTITUTE(SUBSTITUTE(TRIM(Raw_Data!C319),"₹",""),",","")),"")</f>
        <v>247</v>
      </c>
      <c r="E319" s="11">
        <f>IFERROR(VALUE(SUBSTITUTE(SUBSTITUTE(TRIM(Raw_Data!D319),"₹",""),",","")),"")</f>
        <v>399</v>
      </c>
      <c r="F319" s="12">
        <f>IFERROR(VALUE(SUBSTITUTE(Raw_Data!E319,"%",""))/100,"")</f>
        <v>0.38</v>
      </c>
      <c r="G319" s="13">
        <f>IFERROR(VALUE(Raw_Data!F319),"")</f>
        <v>3.9</v>
      </c>
      <c r="H319" s="14">
        <f>IFERROR(VALUE(SUBSTITUTE(Raw_Data!G319,",","")),"")</f>
        <v>200</v>
      </c>
      <c r="I319" s="11">
        <f t="shared" si="16"/>
        <v>152</v>
      </c>
      <c r="J319" s="11">
        <f t="shared" si="17"/>
        <v>49400</v>
      </c>
      <c r="K319" s="1">
        <f t="shared" si="18"/>
        <v>200.00003190000001</v>
      </c>
      <c r="L319" s="15">
        <f t="shared" si="19"/>
        <v>0.38003189999999998</v>
      </c>
    </row>
    <row r="320" spans="1:12" ht="15" customHeight="1" x14ac:dyDescent="0.25">
      <c r="A320" s="10" t="str">
        <f>Raw_Data!A320</f>
        <v>7SEVEN® Compatible with Fire Tv Stick Remote with Voice Command Feature Suitable for Second Generation Amazon Fire Tv Stick Remote Only - Pairing Must</v>
      </c>
      <c r="B320" s="10" t="str">
        <f>IFERROR(TRIM(LEFT(Raw_Data!A320,FIND(" ",Raw_Data!A320)-1)),Raw_Data!A320)</f>
        <v>7SEVEN®</v>
      </c>
      <c r="C320" s="10" t="str">
        <f>IFERROR(LEFT(Raw_Data!B320,FIND("|",Raw_Data!B320)-1),Raw_Data!B320)</f>
        <v>Electronics</v>
      </c>
      <c r="D320" s="11">
        <f>IFERROR(VALUE(SUBSTITUTE(SUBSTITUTE(TRIM(Raw_Data!C320),"₹",""),",","")),"")</f>
        <v>1369</v>
      </c>
      <c r="E320" s="11">
        <f>IFERROR(VALUE(SUBSTITUTE(SUBSTITUTE(TRIM(Raw_Data!D320),"₹",""),",","")),"")</f>
        <v>2999</v>
      </c>
      <c r="F320" s="12">
        <f>IFERROR(VALUE(SUBSTITUTE(Raw_Data!E320,"%",""))/100,"")</f>
        <v>0.54</v>
      </c>
      <c r="G320" s="13">
        <f>IFERROR(VALUE(Raw_Data!F320),"")</f>
        <v>3.3</v>
      </c>
      <c r="H320" s="14">
        <f>IFERROR(VALUE(SUBSTITUTE(Raw_Data!G320,",","")),"")</f>
        <v>227</v>
      </c>
      <c r="I320" s="11">
        <f t="shared" si="16"/>
        <v>1630</v>
      </c>
      <c r="J320" s="11">
        <f t="shared" si="17"/>
        <v>310763</v>
      </c>
      <c r="K320" s="1">
        <f t="shared" si="18"/>
        <v>227.000032</v>
      </c>
      <c r="L320" s="15">
        <f t="shared" si="19"/>
        <v>0.54003200000000007</v>
      </c>
    </row>
    <row r="321" spans="1:12" ht="15" customHeight="1" x14ac:dyDescent="0.25">
      <c r="A321" s="10" t="str">
        <f>Raw_Data!A321</f>
        <v>PRUSHTI COVER AND BAGS, Protective Case for Airtel Xstream settop Box Remote Remote Control Pouch Cover Holder PU Leather Cover Holder(only Cover for Selling Purpose)</v>
      </c>
      <c r="B321" s="10" t="str">
        <f>IFERROR(TRIM(LEFT(Raw_Data!A321,FIND(" ",Raw_Data!A321)-1)),Raw_Data!A321)</f>
        <v>PRUSHTI</v>
      </c>
      <c r="C321" s="10" t="str">
        <f>IFERROR(LEFT(Raw_Data!B321,FIND("|",Raw_Data!B321)-1),Raw_Data!B321)</f>
        <v>Electronics</v>
      </c>
      <c r="D321" s="11">
        <f>IFERROR(VALUE(SUBSTITUTE(SUBSTITUTE(TRIM(Raw_Data!C321),"₹",""),",","")),"")</f>
        <v>199</v>
      </c>
      <c r="E321" s="11">
        <f>IFERROR(VALUE(SUBSTITUTE(SUBSTITUTE(TRIM(Raw_Data!D321),"₹",""),",","")),"")</f>
        <v>499</v>
      </c>
      <c r="F321" s="12">
        <f>IFERROR(VALUE(SUBSTITUTE(Raw_Data!E321,"%",""))/100,"")</f>
        <v>0.6</v>
      </c>
      <c r="G321" s="13">
        <f>IFERROR(VALUE(Raw_Data!F321),"")</f>
        <v>3.8</v>
      </c>
      <c r="H321" s="14">
        <f>IFERROR(VALUE(SUBSTITUTE(Raw_Data!G321,",","")),"")</f>
        <v>538</v>
      </c>
      <c r="I321" s="11">
        <f t="shared" si="16"/>
        <v>300</v>
      </c>
      <c r="J321" s="11">
        <f t="shared" si="17"/>
        <v>107062</v>
      </c>
      <c r="K321" s="1">
        <f t="shared" si="18"/>
        <v>538.0000321</v>
      </c>
      <c r="L321" s="15">
        <f t="shared" si="19"/>
        <v>0.60003209999999996</v>
      </c>
    </row>
    <row r="322" spans="1:12" ht="15" customHeight="1" x14ac:dyDescent="0.25">
      <c r="A322" s="10" t="str">
        <f>Raw_Data!A322</f>
        <v>Aine HDMI Male to VGA Female Video Converter Adapter Cable (Black)</v>
      </c>
      <c r="B322" s="10" t="str">
        <f>IFERROR(TRIM(LEFT(Raw_Data!A322,FIND(" ",Raw_Data!A322)-1)),Raw_Data!A322)</f>
        <v>Aine</v>
      </c>
      <c r="C322" s="10" t="str">
        <f>IFERROR(LEFT(Raw_Data!B322,FIND("|",Raw_Data!B322)-1),Raw_Data!B322)</f>
        <v>Electronics</v>
      </c>
      <c r="D322" s="11">
        <f>IFERROR(VALUE(SUBSTITUTE(SUBSTITUTE(TRIM(Raw_Data!C322),"₹",""),",","")),"")</f>
        <v>299</v>
      </c>
      <c r="E322" s="11">
        <f>IFERROR(VALUE(SUBSTITUTE(SUBSTITUTE(TRIM(Raw_Data!D322),"₹",""),",","")),"")</f>
        <v>599</v>
      </c>
      <c r="F322" s="12">
        <f>IFERROR(VALUE(SUBSTITUTE(Raw_Data!E322,"%",""))/100,"")</f>
        <v>0.5</v>
      </c>
      <c r="G322" s="13">
        <f>IFERROR(VALUE(Raw_Data!F322),"")</f>
        <v>4</v>
      </c>
      <c r="H322" s="14">
        <f>IFERROR(VALUE(SUBSTITUTE(Raw_Data!G322,",","")),"")</f>
        <v>171</v>
      </c>
      <c r="I322" s="11">
        <f t="shared" ref="I322:I385" si="20">IFERROR(E322-D322,"")</f>
        <v>300</v>
      </c>
      <c r="J322" s="11">
        <f t="shared" ref="J322:J385" si="21">IFERROR(D322*H322,"")</f>
        <v>51129</v>
      </c>
      <c r="K322" s="1">
        <f t="shared" ref="K322:K385" si="22">IF(ISNUMBER(H322),H322+ROW()/10000000,"")</f>
        <v>171.00003219999999</v>
      </c>
      <c r="L322" s="15">
        <f t="shared" ref="L322:L385" si="23">IF(ISNUMBER(F322),F322+ROW()/10000000,"")</f>
        <v>0.50003220000000004</v>
      </c>
    </row>
    <row r="323" spans="1:12" ht="15" customHeight="1" x14ac:dyDescent="0.25">
      <c r="A323" s="10" t="str">
        <f>Raw_Data!A323</f>
        <v>Mi 80 cm (32 inches) HD Ready Android Smart LED TV 4A PRO | L32M5-AL (Black)</v>
      </c>
      <c r="B323" s="10" t="str">
        <f>IFERROR(TRIM(LEFT(Raw_Data!A323,FIND(" ",Raw_Data!A323)-1)),Raw_Data!A323)</f>
        <v>Mi</v>
      </c>
      <c r="C323" s="10" t="str">
        <f>IFERROR(LEFT(Raw_Data!B323,FIND("|",Raw_Data!B323)-1),Raw_Data!B323)</f>
        <v>Electronics</v>
      </c>
      <c r="D323" s="11">
        <f>IFERROR(VALUE(SUBSTITUTE(SUBSTITUTE(TRIM(Raw_Data!C323),"₹",""),",","")),"")</f>
        <v>14999</v>
      </c>
      <c r="E323" s="11">
        <f>IFERROR(VALUE(SUBSTITUTE(SUBSTITUTE(TRIM(Raw_Data!D323),"₹",""),",","")),"")</f>
        <v>14999</v>
      </c>
      <c r="F323" s="12">
        <f>IFERROR(VALUE(SUBSTITUTE(Raw_Data!E323,"%",""))/100,"")</f>
        <v>0</v>
      </c>
      <c r="G323" s="13">
        <f>IFERROR(VALUE(Raw_Data!F323),"")</f>
        <v>4.3</v>
      </c>
      <c r="H323" s="14">
        <f>IFERROR(VALUE(SUBSTITUTE(Raw_Data!G323,",","")),"")</f>
        <v>27508</v>
      </c>
      <c r="I323" s="11">
        <f t="shared" si="20"/>
        <v>0</v>
      </c>
      <c r="J323" s="11">
        <f t="shared" si="21"/>
        <v>412592492</v>
      </c>
      <c r="K323" s="1">
        <f t="shared" si="22"/>
        <v>27508.000032299999</v>
      </c>
      <c r="L323" s="15">
        <f t="shared" si="23"/>
        <v>3.2299999999999999E-5</v>
      </c>
    </row>
    <row r="324" spans="1:12" ht="15" customHeight="1" x14ac:dyDescent="0.25">
      <c r="A324" s="10" t="str">
        <f>Raw_Data!A324</f>
        <v>Storite USB 2.0 A to Mini 5 pin B Cable for External HDDS/Camera/Card Readers (150cm - 1.5M)</v>
      </c>
      <c r="B324" s="10" t="str">
        <f>IFERROR(TRIM(LEFT(Raw_Data!A324,FIND(" ",Raw_Data!A324)-1)),Raw_Data!A324)</f>
        <v>Storite</v>
      </c>
      <c r="C324" s="10" t="str">
        <f>IFERROR(LEFT(Raw_Data!B324,FIND("|",Raw_Data!B324)-1),Raw_Data!B324)</f>
        <v>Computers&amp;Accessories</v>
      </c>
      <c r="D324" s="11">
        <f>IFERROR(VALUE(SUBSTITUTE(SUBSTITUTE(TRIM(Raw_Data!C324),"₹",""),",","")),"")</f>
        <v>299</v>
      </c>
      <c r="E324" s="11">
        <f>IFERROR(VALUE(SUBSTITUTE(SUBSTITUTE(TRIM(Raw_Data!D324),"₹",""),",","")),"")</f>
        <v>699</v>
      </c>
      <c r="F324" s="12">
        <f>IFERROR(VALUE(SUBSTITUTE(Raw_Data!E324,"%",""))/100,"")</f>
        <v>0.56999999999999995</v>
      </c>
      <c r="G324" s="13">
        <f>IFERROR(VALUE(Raw_Data!F324),"")</f>
        <v>3.9</v>
      </c>
      <c r="H324" s="14">
        <f>IFERROR(VALUE(SUBSTITUTE(Raw_Data!G324,",","")),"")</f>
        <v>1454</v>
      </c>
      <c r="I324" s="11">
        <f t="shared" si="20"/>
        <v>400</v>
      </c>
      <c r="J324" s="11">
        <f t="shared" si="21"/>
        <v>434746</v>
      </c>
      <c r="K324" s="1">
        <f t="shared" si="22"/>
        <v>1454.0000324</v>
      </c>
      <c r="L324" s="15">
        <f t="shared" si="23"/>
        <v>0.57003239999999999</v>
      </c>
    </row>
    <row r="325" spans="1:12" ht="15" customHeight="1" x14ac:dyDescent="0.25">
      <c r="A325" s="10" t="str">
        <f>Raw_Data!A325</f>
        <v>TCL 108 cm (43 inches) 4K Ultra HD Certified Android Smart LED TV 43P615 (Black)</v>
      </c>
      <c r="B325" s="10" t="str">
        <f>IFERROR(TRIM(LEFT(Raw_Data!A325,FIND(" ",Raw_Data!A325)-1)),Raw_Data!A325)</f>
        <v>TCL</v>
      </c>
      <c r="C325" s="10" t="str">
        <f>IFERROR(LEFT(Raw_Data!B325,FIND("|",Raw_Data!B325)-1),Raw_Data!B325)</f>
        <v>Electronics</v>
      </c>
      <c r="D325" s="11">
        <f>IFERROR(VALUE(SUBSTITUTE(SUBSTITUTE(TRIM(Raw_Data!C325),"₹",""),",","")),"")</f>
        <v>24990</v>
      </c>
      <c r="E325" s="11">
        <f>IFERROR(VALUE(SUBSTITUTE(SUBSTITUTE(TRIM(Raw_Data!D325),"₹",""),",","")),"")</f>
        <v>51990</v>
      </c>
      <c r="F325" s="12">
        <f>IFERROR(VALUE(SUBSTITUTE(Raw_Data!E325,"%",""))/100,"")</f>
        <v>0.52</v>
      </c>
      <c r="G325" s="13">
        <f>IFERROR(VALUE(Raw_Data!F325),"")</f>
        <v>4.2</v>
      </c>
      <c r="H325" s="14">
        <f>IFERROR(VALUE(SUBSTITUTE(Raw_Data!G325,",","")),"")</f>
        <v>2951</v>
      </c>
      <c r="I325" s="11">
        <f t="shared" si="20"/>
        <v>27000</v>
      </c>
      <c r="J325" s="11">
        <f t="shared" si="21"/>
        <v>73745490</v>
      </c>
      <c r="K325" s="1">
        <f t="shared" si="22"/>
        <v>2951.0000325000001</v>
      </c>
      <c r="L325" s="15">
        <f t="shared" si="23"/>
        <v>0.52003250000000001</v>
      </c>
    </row>
    <row r="326" spans="1:12" ht="15" customHeight="1" x14ac:dyDescent="0.25">
      <c r="A326" s="10" t="str">
        <f>Raw_Data!A326</f>
        <v>REDTECH USB-C to Lightning Cable 3.3FT, [Apple MFi Certified] Lightning to Type C Fast Charging Cord Compatible with iPhone 14/13/13 pro/Max/12/11/X/XS/XR/8, Supports Power Delivery - White</v>
      </c>
      <c r="B326" s="10" t="str">
        <f>IFERROR(TRIM(LEFT(Raw_Data!A326,FIND(" ",Raw_Data!A326)-1)),Raw_Data!A326)</f>
        <v>REDTECH</v>
      </c>
      <c r="C326" s="10" t="str">
        <f>IFERROR(LEFT(Raw_Data!B326,FIND("|",Raw_Data!B326)-1),Raw_Data!B326)</f>
        <v>Computers&amp;Accessories</v>
      </c>
      <c r="D326" s="11">
        <f>IFERROR(VALUE(SUBSTITUTE(SUBSTITUTE(TRIM(Raw_Data!C326),"₹",""),",","")),"")</f>
        <v>249</v>
      </c>
      <c r="E326" s="11">
        <f>IFERROR(VALUE(SUBSTITUTE(SUBSTITUTE(TRIM(Raw_Data!D326),"₹",""),",","")),"")</f>
        <v>999</v>
      </c>
      <c r="F326" s="12">
        <f>IFERROR(VALUE(SUBSTITUTE(Raw_Data!E326,"%",""))/100,"")</f>
        <v>0.75</v>
      </c>
      <c r="G326" s="13">
        <f>IFERROR(VALUE(Raw_Data!F326),"")</f>
        <v>5</v>
      </c>
      <c r="H326" s="14" t="str">
        <f>IFERROR(VALUE(SUBSTITUTE(Raw_Data!G326,",","")),"")</f>
        <v/>
      </c>
      <c r="I326" s="11">
        <f t="shared" si="20"/>
        <v>750</v>
      </c>
      <c r="J326" s="11" t="str">
        <f t="shared" si="21"/>
        <v/>
      </c>
      <c r="K326" s="1" t="str">
        <f t="shared" si="22"/>
        <v/>
      </c>
      <c r="L326" s="15">
        <f t="shared" si="23"/>
        <v>0.75003260000000005</v>
      </c>
    </row>
    <row r="327" spans="1:12" ht="15" customHeight="1" x14ac:dyDescent="0.25">
      <c r="A327" s="10" t="str">
        <f>Raw_Data!A327</f>
        <v>OnePlus 163.8 cm (65 inches) U Series 4K LED Smart Android TV 65U1S (Black)</v>
      </c>
      <c r="B327" s="10" t="str">
        <f>IFERROR(TRIM(LEFT(Raw_Data!A327,FIND(" ",Raw_Data!A327)-1)),Raw_Data!A327)</f>
        <v>OnePlus</v>
      </c>
      <c r="C327" s="10" t="str">
        <f>IFERROR(LEFT(Raw_Data!B327,FIND("|",Raw_Data!B327)-1),Raw_Data!B327)</f>
        <v>Electronics</v>
      </c>
      <c r="D327" s="11">
        <f>IFERROR(VALUE(SUBSTITUTE(SUBSTITUTE(TRIM(Raw_Data!C327),"₹",""),",","")),"")</f>
        <v>61999</v>
      </c>
      <c r="E327" s="11">
        <f>IFERROR(VALUE(SUBSTITUTE(SUBSTITUTE(TRIM(Raw_Data!D327),"₹",""),",","")),"")</f>
        <v>69999</v>
      </c>
      <c r="F327" s="12">
        <f>IFERROR(VALUE(SUBSTITUTE(Raw_Data!E327,"%",""))/100,"")</f>
        <v>0.11</v>
      </c>
      <c r="G327" s="13">
        <f>IFERROR(VALUE(Raw_Data!F327),"")</f>
        <v>4.0999999999999996</v>
      </c>
      <c r="H327" s="14">
        <f>IFERROR(VALUE(SUBSTITUTE(Raw_Data!G327,",","")),"")</f>
        <v>6753</v>
      </c>
      <c r="I327" s="11">
        <f t="shared" si="20"/>
        <v>8000</v>
      </c>
      <c r="J327" s="11">
        <f t="shared" si="21"/>
        <v>418679247</v>
      </c>
      <c r="K327" s="1">
        <f t="shared" si="22"/>
        <v>6753.0000326999998</v>
      </c>
      <c r="L327" s="15">
        <f t="shared" si="23"/>
        <v>0.1100327</v>
      </c>
    </row>
    <row r="328" spans="1:12" ht="15" customHeight="1" x14ac:dyDescent="0.25">
      <c r="A328" s="10" t="str">
        <f>Raw_Data!A328</f>
        <v>AmazonBasics 108 cm (43 inches) 4K Ultra HD Smart LED Fire TV AB43U20PS (Black)</v>
      </c>
      <c r="B328" s="10" t="str">
        <f>IFERROR(TRIM(LEFT(Raw_Data!A328,FIND(" ",Raw_Data!A328)-1)),Raw_Data!A328)</f>
        <v>AmazonBasics</v>
      </c>
      <c r="C328" s="10" t="str">
        <f>IFERROR(LEFT(Raw_Data!B328,FIND("|",Raw_Data!B328)-1),Raw_Data!B328)</f>
        <v>Electronics</v>
      </c>
      <c r="D328" s="11">
        <f>IFERROR(VALUE(SUBSTITUTE(SUBSTITUTE(TRIM(Raw_Data!C328),"₹",""),",","")),"")</f>
        <v>24499</v>
      </c>
      <c r="E328" s="11">
        <f>IFERROR(VALUE(SUBSTITUTE(SUBSTITUTE(TRIM(Raw_Data!D328),"₹",""),",","")),"")</f>
        <v>50000</v>
      </c>
      <c r="F328" s="12">
        <f>IFERROR(VALUE(SUBSTITUTE(Raw_Data!E328,"%",""))/100,"")</f>
        <v>0.51</v>
      </c>
      <c r="G328" s="13">
        <f>IFERROR(VALUE(Raw_Data!F328),"")</f>
        <v>3.9</v>
      </c>
      <c r="H328" s="14">
        <f>IFERROR(VALUE(SUBSTITUTE(Raw_Data!G328,",","")),"")</f>
        <v>3518</v>
      </c>
      <c r="I328" s="11">
        <f t="shared" si="20"/>
        <v>25501</v>
      </c>
      <c r="J328" s="11">
        <f t="shared" si="21"/>
        <v>86187482</v>
      </c>
      <c r="K328" s="1">
        <f t="shared" si="22"/>
        <v>3518.0000328000001</v>
      </c>
      <c r="L328" s="15">
        <f t="shared" si="23"/>
        <v>0.51003280000000006</v>
      </c>
    </row>
    <row r="329" spans="1:12" ht="15" customHeight="1" x14ac:dyDescent="0.25">
      <c r="A329" s="10" t="str">
        <f>Raw_Data!A329</f>
        <v>Kodak 80 cm (32 inches) HD Ready Certified Android Smart LED TV 32HDX7XPROBL (Black)</v>
      </c>
      <c r="B329" s="10" t="str">
        <f>IFERROR(TRIM(LEFT(Raw_Data!A329,FIND(" ",Raw_Data!A329)-1)),Raw_Data!A329)</f>
        <v>Kodak</v>
      </c>
      <c r="C329" s="10" t="str">
        <f>IFERROR(LEFT(Raw_Data!B329,FIND("|",Raw_Data!B329)-1),Raw_Data!B329)</f>
        <v>Electronics</v>
      </c>
      <c r="D329" s="11">
        <f>IFERROR(VALUE(SUBSTITUTE(SUBSTITUTE(TRIM(Raw_Data!C329),"₹",""),",","")),"")</f>
        <v>10499</v>
      </c>
      <c r="E329" s="11">
        <f>IFERROR(VALUE(SUBSTITUTE(SUBSTITUTE(TRIM(Raw_Data!D329),"₹",""),",","")),"")</f>
        <v>19499</v>
      </c>
      <c r="F329" s="12">
        <f>IFERROR(VALUE(SUBSTITUTE(Raw_Data!E329,"%",""))/100,"")</f>
        <v>0.46</v>
      </c>
      <c r="G329" s="13">
        <f>IFERROR(VALUE(Raw_Data!F329),"")</f>
        <v>4.2</v>
      </c>
      <c r="H329" s="14">
        <f>IFERROR(VALUE(SUBSTITUTE(Raw_Data!G329,",","")),"")</f>
        <v>1510</v>
      </c>
      <c r="I329" s="11">
        <f t="shared" si="20"/>
        <v>9000</v>
      </c>
      <c r="J329" s="11">
        <f t="shared" si="21"/>
        <v>15853490</v>
      </c>
      <c r="K329" s="1">
        <f t="shared" si="22"/>
        <v>1510.0000329</v>
      </c>
      <c r="L329" s="15">
        <f t="shared" si="23"/>
        <v>0.46003290000000002</v>
      </c>
    </row>
    <row r="330" spans="1:12" ht="15" customHeight="1" x14ac:dyDescent="0.25">
      <c r="A330" s="10" t="str">
        <f>Raw_Data!A330</f>
        <v>Synqe Type C to Type C Short Fast Charging 60W Cable Compatible with Samsung Galaxy Z Fold3 5G, Z Flip3 5G, S22 5G, S22 Ultra, S21, S20, S20FE, A52, A73, A53 (0.25M, Black)</v>
      </c>
      <c r="B330" s="10" t="str">
        <f>IFERROR(TRIM(LEFT(Raw_Data!A330,FIND(" ",Raw_Data!A330)-1)),Raw_Data!A330)</f>
        <v>Synqe</v>
      </c>
      <c r="C330" s="10" t="str">
        <f>IFERROR(LEFT(Raw_Data!B330,FIND("|",Raw_Data!B330)-1),Raw_Data!B330)</f>
        <v>Computers&amp;Accessories</v>
      </c>
      <c r="D330" s="11">
        <f>IFERROR(VALUE(SUBSTITUTE(SUBSTITUTE(TRIM(Raw_Data!C330),"₹",""),",","")),"")</f>
        <v>349</v>
      </c>
      <c r="E330" s="11">
        <f>IFERROR(VALUE(SUBSTITUTE(SUBSTITUTE(TRIM(Raw_Data!D330),"₹",""),",","")),"")</f>
        <v>999</v>
      </c>
      <c r="F330" s="12">
        <f>IFERROR(VALUE(SUBSTITUTE(Raw_Data!E330,"%",""))/100,"")</f>
        <v>0.65</v>
      </c>
      <c r="G330" s="13">
        <f>IFERROR(VALUE(Raw_Data!F330),"")</f>
        <v>4.3</v>
      </c>
      <c r="H330" s="14">
        <f>IFERROR(VALUE(SUBSTITUTE(Raw_Data!G330,",","")),"")</f>
        <v>838</v>
      </c>
      <c r="I330" s="11">
        <f t="shared" si="20"/>
        <v>650</v>
      </c>
      <c r="J330" s="11">
        <f t="shared" si="21"/>
        <v>292462</v>
      </c>
      <c r="K330" s="1">
        <f t="shared" si="22"/>
        <v>838.00003300000003</v>
      </c>
      <c r="L330" s="15">
        <f t="shared" si="23"/>
        <v>0.65003299999999997</v>
      </c>
    </row>
    <row r="331" spans="1:12" ht="15" customHeight="1" x14ac:dyDescent="0.25">
      <c r="A331" s="10" t="str">
        <f>Raw_Data!A331</f>
        <v>Airtel DigitalTV HD Setup Box Remote</v>
      </c>
      <c r="B331" s="10" t="str">
        <f>IFERROR(TRIM(LEFT(Raw_Data!A331,FIND(" ",Raw_Data!A331)-1)),Raw_Data!A331)</f>
        <v>Airtel</v>
      </c>
      <c r="C331" s="10" t="str">
        <f>IFERROR(LEFT(Raw_Data!B331,FIND("|",Raw_Data!B331)-1),Raw_Data!B331)</f>
        <v>Electronics</v>
      </c>
      <c r="D331" s="11">
        <f>IFERROR(VALUE(SUBSTITUTE(SUBSTITUTE(TRIM(Raw_Data!C331),"₹",""),",","")),"")</f>
        <v>197</v>
      </c>
      <c r="E331" s="11">
        <f>IFERROR(VALUE(SUBSTITUTE(SUBSTITUTE(TRIM(Raw_Data!D331),"₹",""),",","")),"")</f>
        <v>499</v>
      </c>
      <c r="F331" s="12">
        <f>IFERROR(VALUE(SUBSTITUTE(Raw_Data!E331,"%",""))/100,"")</f>
        <v>0.61</v>
      </c>
      <c r="G331" s="13">
        <f>IFERROR(VALUE(Raw_Data!F331),"")</f>
        <v>3.8</v>
      </c>
      <c r="H331" s="14">
        <f>IFERROR(VALUE(SUBSTITUTE(Raw_Data!G331,",","")),"")</f>
        <v>136</v>
      </c>
      <c r="I331" s="11">
        <f t="shared" si="20"/>
        <v>302</v>
      </c>
      <c r="J331" s="11">
        <f t="shared" si="21"/>
        <v>26792</v>
      </c>
      <c r="K331" s="1">
        <f t="shared" si="22"/>
        <v>136.0000331</v>
      </c>
      <c r="L331" s="15">
        <f t="shared" si="23"/>
        <v>0.61003309999999999</v>
      </c>
    </row>
    <row r="332" spans="1:12" ht="15" customHeight="1" x14ac:dyDescent="0.25">
      <c r="A332" s="10" t="str">
        <f>Raw_Data!A332</f>
        <v>Airtel Digital TV HD Set Top Box with FTA Pack | Unlimited Entertainment + Recording Feature + Free Standard Installation (6 Months Pack)</v>
      </c>
      <c r="B332" s="10" t="str">
        <f>IFERROR(TRIM(LEFT(Raw_Data!A332,FIND(" ",Raw_Data!A332)-1)),Raw_Data!A332)</f>
        <v>Airtel</v>
      </c>
      <c r="C332" s="10" t="str">
        <f>IFERROR(LEFT(Raw_Data!B332,FIND("|",Raw_Data!B332)-1),Raw_Data!B332)</f>
        <v>Electronics</v>
      </c>
      <c r="D332" s="11">
        <f>IFERROR(VALUE(SUBSTITUTE(SUBSTITUTE(TRIM(Raw_Data!C332),"₹",""),",","")),"")</f>
        <v>1299</v>
      </c>
      <c r="E332" s="11">
        <f>IFERROR(VALUE(SUBSTITUTE(SUBSTITUTE(TRIM(Raw_Data!D332),"₹",""),",","")),"")</f>
        <v>2499</v>
      </c>
      <c r="F332" s="12">
        <f>IFERROR(VALUE(SUBSTITUTE(Raw_Data!E332,"%",""))/100,"")</f>
        <v>0.48</v>
      </c>
      <c r="G332" s="13">
        <f>IFERROR(VALUE(Raw_Data!F332),"")</f>
        <v>4.3</v>
      </c>
      <c r="H332" s="14">
        <f>IFERROR(VALUE(SUBSTITUTE(Raw_Data!G332,",","")),"")</f>
        <v>301</v>
      </c>
      <c r="I332" s="11">
        <f t="shared" si="20"/>
        <v>1200</v>
      </c>
      <c r="J332" s="11">
        <f t="shared" si="21"/>
        <v>390999</v>
      </c>
      <c r="K332" s="1">
        <f t="shared" si="22"/>
        <v>301.00003320000002</v>
      </c>
      <c r="L332" s="15">
        <f t="shared" si="23"/>
        <v>0.48003319999999999</v>
      </c>
    </row>
    <row r="333" spans="1:12" ht="15" customHeight="1" x14ac:dyDescent="0.25">
      <c r="A333" s="10" t="str">
        <f>Raw_Data!A333</f>
        <v>ESR USB C to Lightning Cable, 10 ft (3 m), MFi-Certified, Braided Nylon Power Delivery Fast Charging for iPhone 14/14 Plus/14 Pro/14 Pro Max, iPhone 13/12/11/X/8 Series, Use with Type-C Chargers, Black</v>
      </c>
      <c r="B333" s="10" t="str">
        <f>IFERROR(TRIM(LEFT(Raw_Data!A333,FIND(" ",Raw_Data!A333)-1)),Raw_Data!A333)</f>
        <v>ESR</v>
      </c>
      <c r="C333" s="10" t="str">
        <f>IFERROR(LEFT(Raw_Data!B333,FIND("|",Raw_Data!B333)-1),Raw_Data!B333)</f>
        <v>Computers&amp;Accessories</v>
      </c>
      <c r="D333" s="11">
        <f>IFERROR(VALUE(SUBSTITUTE(SUBSTITUTE(TRIM(Raw_Data!C333),"₹",""),",","")),"")</f>
        <v>1519</v>
      </c>
      <c r="E333" s="11">
        <f>IFERROR(VALUE(SUBSTITUTE(SUBSTITUTE(TRIM(Raw_Data!D333),"₹",""),",","")),"")</f>
        <v>1899</v>
      </c>
      <c r="F333" s="12">
        <f>IFERROR(VALUE(SUBSTITUTE(Raw_Data!E333,"%",""))/100,"")</f>
        <v>0.2</v>
      </c>
      <c r="G333" s="13">
        <f>IFERROR(VALUE(Raw_Data!F333),"")</f>
        <v>4.4000000000000004</v>
      </c>
      <c r="H333" s="14">
        <f>IFERROR(VALUE(SUBSTITUTE(Raw_Data!G333,",","")),"")</f>
        <v>19763</v>
      </c>
      <c r="I333" s="11">
        <f t="shared" si="20"/>
        <v>380</v>
      </c>
      <c r="J333" s="11">
        <f t="shared" si="21"/>
        <v>30019997</v>
      </c>
      <c r="K333" s="1">
        <f t="shared" si="22"/>
        <v>19763.000033299999</v>
      </c>
      <c r="L333" s="15">
        <f t="shared" si="23"/>
        <v>0.20003330000000002</v>
      </c>
    </row>
    <row r="334" spans="1:12" ht="15" customHeight="1" x14ac:dyDescent="0.25">
      <c r="A334" s="10" t="str">
        <f>Raw_Data!A334</f>
        <v>MI 138.8 cm (55 inches) 5X Series 4K Ultra HD LED Smart Android TV L55M6-ES (Grey)</v>
      </c>
      <c r="B334" s="10" t="str">
        <f>IFERROR(TRIM(LEFT(Raw_Data!A334,FIND(" ",Raw_Data!A334)-1)),Raw_Data!A334)</f>
        <v>MI</v>
      </c>
      <c r="C334" s="10" t="str">
        <f>IFERROR(LEFT(Raw_Data!B334,FIND("|",Raw_Data!B334)-1),Raw_Data!B334)</f>
        <v>Electronics</v>
      </c>
      <c r="D334" s="11">
        <f>IFERROR(VALUE(SUBSTITUTE(SUBSTITUTE(TRIM(Raw_Data!C334),"₹",""),",","")),"")</f>
        <v>46999</v>
      </c>
      <c r="E334" s="11">
        <f>IFERROR(VALUE(SUBSTITUTE(SUBSTITUTE(TRIM(Raw_Data!D334),"₹",""),",","")),"")</f>
        <v>69999</v>
      </c>
      <c r="F334" s="12">
        <f>IFERROR(VALUE(SUBSTITUTE(Raw_Data!E334,"%",""))/100,"")</f>
        <v>0.33</v>
      </c>
      <c r="G334" s="13">
        <f>IFERROR(VALUE(Raw_Data!F334),"")</f>
        <v>4.3</v>
      </c>
      <c r="H334" s="14">
        <f>IFERROR(VALUE(SUBSTITUTE(Raw_Data!G334,",","")),"")</f>
        <v>21252</v>
      </c>
      <c r="I334" s="11">
        <f t="shared" si="20"/>
        <v>23000</v>
      </c>
      <c r="J334" s="11">
        <f t="shared" si="21"/>
        <v>998822748</v>
      </c>
      <c r="K334" s="1">
        <f t="shared" si="22"/>
        <v>21252.0000334</v>
      </c>
      <c r="L334" s="15">
        <f t="shared" si="23"/>
        <v>0.33003340000000003</v>
      </c>
    </row>
    <row r="335" spans="1:12" ht="15" customHeight="1" x14ac:dyDescent="0.25">
      <c r="A335" s="10" t="str">
        <f>Raw_Data!A335</f>
        <v>Storite USB Extension Cable USB 3.0 Male to Female Extension Cable High Speed 5GBps Extension Cable Data Transfer for Keyboard, Mouse, Flash Drive, Hard Drive, Printer and More- 1.5M - Blue</v>
      </c>
      <c r="B335" s="10" t="str">
        <f>IFERROR(TRIM(LEFT(Raw_Data!A335,FIND(" ",Raw_Data!A335)-1)),Raw_Data!A335)</f>
        <v>Storite</v>
      </c>
      <c r="C335" s="10" t="str">
        <f>IFERROR(LEFT(Raw_Data!B335,FIND("|",Raw_Data!B335)-1),Raw_Data!B335)</f>
        <v>Computers&amp;Accessories</v>
      </c>
      <c r="D335" s="11">
        <f>IFERROR(VALUE(SUBSTITUTE(SUBSTITUTE(TRIM(Raw_Data!C335),"₹",""),",","")),"")</f>
        <v>299</v>
      </c>
      <c r="E335" s="11">
        <f>IFERROR(VALUE(SUBSTITUTE(SUBSTITUTE(TRIM(Raw_Data!D335),"₹",""),",","")),"")</f>
        <v>799</v>
      </c>
      <c r="F335" s="12">
        <f>IFERROR(VALUE(SUBSTITUTE(Raw_Data!E335,"%",""))/100,"")</f>
        <v>0.63</v>
      </c>
      <c r="G335" s="13">
        <f>IFERROR(VALUE(Raw_Data!F335),"")</f>
        <v>4.3</v>
      </c>
      <c r="H335" s="14">
        <f>IFERROR(VALUE(SUBSTITUTE(Raw_Data!G335,",","")),"")</f>
        <v>1902</v>
      </c>
      <c r="I335" s="11">
        <f t="shared" si="20"/>
        <v>500</v>
      </c>
      <c r="J335" s="11">
        <f t="shared" si="21"/>
        <v>568698</v>
      </c>
      <c r="K335" s="1">
        <f t="shared" si="22"/>
        <v>1902.0000335</v>
      </c>
      <c r="L335" s="15">
        <f t="shared" si="23"/>
        <v>0.63003350000000002</v>
      </c>
    </row>
    <row r="336" spans="1:12" ht="15" customHeight="1" x14ac:dyDescent="0.25">
      <c r="A336" s="10" t="str">
        <f>Raw_Data!A336</f>
        <v>Fire-Boltt Ninja Call Pro Plus 1.83" Smart Watch with Bluetooth Calling, AI Voice Assistance, 100 Sports Modes IP67 Rating, 240*280 Pixel High Resolution</v>
      </c>
      <c r="B336" s="10" t="str">
        <f>IFERROR(TRIM(LEFT(Raw_Data!A336,FIND(" ",Raw_Data!A336)-1)),Raw_Data!A336)</f>
        <v>Fire-Boltt</v>
      </c>
      <c r="C336" s="10" t="str">
        <f>IFERROR(LEFT(Raw_Data!B336,FIND("|",Raw_Data!B336)-1),Raw_Data!B336)</f>
        <v>Electronics</v>
      </c>
      <c r="D336" s="11">
        <f>IFERROR(VALUE(SUBSTITUTE(SUBSTITUTE(TRIM(Raw_Data!C336),"₹",""),",","")),"")</f>
        <v>1799</v>
      </c>
      <c r="E336" s="11">
        <f>IFERROR(VALUE(SUBSTITUTE(SUBSTITUTE(TRIM(Raw_Data!D336),"₹",""),",","")),"")</f>
        <v>19999</v>
      </c>
      <c r="F336" s="12">
        <f>IFERROR(VALUE(SUBSTITUTE(Raw_Data!E336,"%",""))/100,"")</f>
        <v>0.91</v>
      </c>
      <c r="G336" s="13">
        <f>IFERROR(VALUE(Raw_Data!F336),"")</f>
        <v>4.2</v>
      </c>
      <c r="H336" s="14">
        <f>IFERROR(VALUE(SUBSTITUTE(Raw_Data!G336,",","")),"")</f>
        <v>13937</v>
      </c>
      <c r="I336" s="11">
        <f t="shared" si="20"/>
        <v>18200</v>
      </c>
      <c r="J336" s="11">
        <f t="shared" si="21"/>
        <v>25072663</v>
      </c>
      <c r="K336" s="1">
        <f t="shared" si="22"/>
        <v>13937.000033599999</v>
      </c>
      <c r="L336" s="15">
        <f t="shared" si="23"/>
        <v>0.9100336</v>
      </c>
    </row>
    <row r="337" spans="1:12" ht="15" customHeight="1" x14ac:dyDescent="0.25">
      <c r="A337" s="10" t="str">
        <f>Raw_Data!A337</f>
        <v>Fire-Boltt Phoenix Smart Watch with Bluetooth Calling 1.3",120+ Sports Modes, 240*240 PX High Res with SpO2, Heart Rate Monitoring &amp; IP67 Rating</v>
      </c>
      <c r="B337" s="10" t="str">
        <f>IFERROR(TRIM(LEFT(Raw_Data!A337,FIND(" ",Raw_Data!A337)-1)),Raw_Data!A337)</f>
        <v>Fire-Boltt</v>
      </c>
      <c r="C337" s="10" t="str">
        <f>IFERROR(LEFT(Raw_Data!B337,FIND("|",Raw_Data!B337)-1),Raw_Data!B337)</f>
        <v>Electronics</v>
      </c>
      <c r="D337" s="11">
        <f>IFERROR(VALUE(SUBSTITUTE(SUBSTITUTE(TRIM(Raw_Data!C337),"₹",""),",","")),"")</f>
        <v>1998</v>
      </c>
      <c r="E337" s="11">
        <f>IFERROR(VALUE(SUBSTITUTE(SUBSTITUTE(TRIM(Raw_Data!D337),"₹",""),",","")),"")</f>
        <v>9999</v>
      </c>
      <c r="F337" s="12">
        <f>IFERROR(VALUE(SUBSTITUTE(Raw_Data!E337,"%",""))/100,"")</f>
        <v>0.8</v>
      </c>
      <c r="G337" s="13">
        <f>IFERROR(VALUE(Raw_Data!F337),"")</f>
        <v>4.3</v>
      </c>
      <c r="H337" s="14">
        <f>IFERROR(VALUE(SUBSTITUTE(Raw_Data!G337,",","")),"")</f>
        <v>27696</v>
      </c>
      <c r="I337" s="11">
        <f t="shared" si="20"/>
        <v>8001</v>
      </c>
      <c r="J337" s="11">
        <f t="shared" si="21"/>
        <v>55336608</v>
      </c>
      <c r="K337" s="1">
        <f t="shared" si="22"/>
        <v>27696.000033699998</v>
      </c>
      <c r="L337" s="15">
        <f t="shared" si="23"/>
        <v>0.80003370000000007</v>
      </c>
    </row>
    <row r="338" spans="1:12" ht="15" customHeight="1" x14ac:dyDescent="0.25">
      <c r="A338" s="10" t="str">
        <f>Raw_Data!A338</f>
        <v>boAt Wave Call Smart Watch, Smart Talk with Advanced Dedicated Bluetooth Calling Chip, 1.69” HD Display with 550 NITS &amp; 70% Color Gamut, 150+ Watch Faces, Multi-Sport Modes,HR,SpO2, IP68(Active Black)</v>
      </c>
      <c r="B338" s="10" t="str">
        <f>IFERROR(TRIM(LEFT(Raw_Data!A338,FIND(" ",Raw_Data!A338)-1)),Raw_Data!A338)</f>
        <v>boAt</v>
      </c>
      <c r="C338" s="10" t="str">
        <f>IFERROR(LEFT(Raw_Data!B338,FIND("|",Raw_Data!B338)-1),Raw_Data!B338)</f>
        <v>Electronics</v>
      </c>
      <c r="D338" s="11">
        <f>IFERROR(VALUE(SUBSTITUTE(SUBSTITUTE(TRIM(Raw_Data!C338),"₹",""),",","")),"")</f>
        <v>1999</v>
      </c>
      <c r="E338" s="11">
        <f>IFERROR(VALUE(SUBSTITUTE(SUBSTITUTE(TRIM(Raw_Data!D338),"₹",""),",","")),"")</f>
        <v>7990</v>
      </c>
      <c r="F338" s="12">
        <f>IFERROR(VALUE(SUBSTITUTE(Raw_Data!E338,"%",""))/100,"")</f>
        <v>0.75</v>
      </c>
      <c r="G338" s="13">
        <f>IFERROR(VALUE(Raw_Data!F338),"")</f>
        <v>3.8</v>
      </c>
      <c r="H338" s="14">
        <f>IFERROR(VALUE(SUBSTITUTE(Raw_Data!G338,",","")),"")</f>
        <v>17831</v>
      </c>
      <c r="I338" s="11">
        <f t="shared" si="20"/>
        <v>5991</v>
      </c>
      <c r="J338" s="11">
        <f t="shared" si="21"/>
        <v>35644169</v>
      </c>
      <c r="K338" s="1">
        <f t="shared" si="22"/>
        <v>17831.000033799999</v>
      </c>
      <c r="L338" s="15">
        <f t="shared" si="23"/>
        <v>0.75003379999999997</v>
      </c>
    </row>
    <row r="339" spans="1:12" ht="15" customHeight="1" x14ac:dyDescent="0.25">
      <c r="A339" s="10" t="str">
        <f>Raw_Data!A339</f>
        <v>MI Power Bank 3i 20000mAh Lithium Polymer 18W Fast Power Delivery Charging | Input- Type C | Micro USB| Triple Output | Sandstone Black</v>
      </c>
      <c r="B339" s="10" t="str">
        <f>IFERROR(TRIM(LEFT(Raw_Data!A339,FIND(" ",Raw_Data!A339)-1)),Raw_Data!A339)</f>
        <v>MI</v>
      </c>
      <c r="C339" s="10" t="str">
        <f>IFERROR(LEFT(Raw_Data!B339,FIND("|",Raw_Data!B339)-1),Raw_Data!B339)</f>
        <v>Electronics</v>
      </c>
      <c r="D339" s="11">
        <f>IFERROR(VALUE(SUBSTITUTE(SUBSTITUTE(TRIM(Raw_Data!C339),"₹",""),",","")),"")</f>
        <v>2049</v>
      </c>
      <c r="E339" s="11">
        <f>IFERROR(VALUE(SUBSTITUTE(SUBSTITUTE(TRIM(Raw_Data!D339),"₹",""),",","")),"")</f>
        <v>2199</v>
      </c>
      <c r="F339" s="12">
        <f>IFERROR(VALUE(SUBSTITUTE(Raw_Data!E339,"%",""))/100,"")</f>
        <v>7.0000000000000007E-2</v>
      </c>
      <c r="G339" s="13">
        <f>IFERROR(VALUE(Raw_Data!F339),"")</f>
        <v>4.3</v>
      </c>
      <c r="H339" s="14">
        <f>IFERROR(VALUE(SUBSTITUTE(Raw_Data!G339,",","")),"")</f>
        <v>178912</v>
      </c>
      <c r="I339" s="11">
        <f t="shared" si="20"/>
        <v>150</v>
      </c>
      <c r="J339" s="11">
        <f t="shared" si="21"/>
        <v>366590688</v>
      </c>
      <c r="K339" s="1">
        <f t="shared" si="22"/>
        <v>178912.0000339</v>
      </c>
      <c r="L339" s="15">
        <f t="shared" si="23"/>
        <v>7.003390000000001E-2</v>
      </c>
    </row>
    <row r="340" spans="1:12" ht="15" customHeight="1" x14ac:dyDescent="0.25">
      <c r="A340" s="10" t="str">
        <f>Raw_Data!A340</f>
        <v>Redmi A1 (Light Blue, 2GB RAM, 32GB Storage) | Segment Best AI Dual Cam | 5000mAh Battery | Leather Texture Design | Android 12</v>
      </c>
      <c r="B340" s="10" t="str">
        <f>IFERROR(TRIM(LEFT(Raw_Data!A340,FIND(" ",Raw_Data!A340)-1)),Raw_Data!A340)</f>
        <v>Redmi</v>
      </c>
      <c r="C340" s="10" t="str">
        <f>IFERROR(LEFT(Raw_Data!B340,FIND("|",Raw_Data!B340)-1),Raw_Data!B340)</f>
        <v>Electronics</v>
      </c>
      <c r="D340" s="11">
        <f>IFERROR(VALUE(SUBSTITUTE(SUBSTITUTE(TRIM(Raw_Data!C340),"₹",""),",","")),"")</f>
        <v>6499</v>
      </c>
      <c r="E340" s="11">
        <f>IFERROR(VALUE(SUBSTITUTE(SUBSTITUTE(TRIM(Raw_Data!D340),"₹",""),",","")),"")</f>
        <v>8999</v>
      </c>
      <c r="F340" s="12">
        <f>IFERROR(VALUE(SUBSTITUTE(Raw_Data!E340,"%",""))/100,"")</f>
        <v>0.28000000000000003</v>
      </c>
      <c r="G340" s="13">
        <f>IFERROR(VALUE(Raw_Data!F340),"")</f>
        <v>4</v>
      </c>
      <c r="H340" s="14">
        <f>IFERROR(VALUE(SUBSTITUTE(Raw_Data!G340,",","")),"")</f>
        <v>7807</v>
      </c>
      <c r="I340" s="11">
        <f t="shared" si="20"/>
        <v>2500</v>
      </c>
      <c r="J340" s="11">
        <f t="shared" si="21"/>
        <v>50737693</v>
      </c>
      <c r="K340" s="1">
        <f t="shared" si="22"/>
        <v>7807.0000339999997</v>
      </c>
      <c r="L340" s="15">
        <f t="shared" si="23"/>
        <v>0.28003400000000001</v>
      </c>
    </row>
    <row r="341" spans="1:12" ht="15" customHeight="1" x14ac:dyDescent="0.25">
      <c r="A341" s="10" t="str">
        <f>Raw_Data!A341</f>
        <v>OnePlus Nord 2T 5G (Jade Fog, 8GB RAM, 128GB Storage)</v>
      </c>
      <c r="B341" s="10" t="str">
        <f>IFERROR(TRIM(LEFT(Raw_Data!A341,FIND(" ",Raw_Data!A341)-1)),Raw_Data!A341)</f>
        <v>OnePlus</v>
      </c>
      <c r="C341" s="10" t="str">
        <f>IFERROR(LEFT(Raw_Data!B341,FIND("|",Raw_Data!B341)-1),Raw_Data!B341)</f>
        <v>Electronics</v>
      </c>
      <c r="D341" s="11">
        <f>IFERROR(VALUE(SUBSTITUTE(SUBSTITUTE(TRIM(Raw_Data!C341),"₹",""),",","")),"")</f>
        <v>28999</v>
      </c>
      <c r="E341" s="11">
        <f>IFERROR(VALUE(SUBSTITUTE(SUBSTITUTE(TRIM(Raw_Data!D341),"₹",""),",","")),"")</f>
        <v>28999</v>
      </c>
      <c r="F341" s="12">
        <f>IFERROR(VALUE(SUBSTITUTE(Raw_Data!E341,"%",""))/100,"")</f>
        <v>0</v>
      </c>
      <c r="G341" s="13">
        <f>IFERROR(VALUE(Raw_Data!F341),"")</f>
        <v>4.3</v>
      </c>
      <c r="H341" s="14">
        <f>IFERROR(VALUE(SUBSTITUTE(Raw_Data!G341,",","")),"")</f>
        <v>17415</v>
      </c>
      <c r="I341" s="11">
        <f t="shared" si="20"/>
        <v>0</v>
      </c>
      <c r="J341" s="11">
        <f t="shared" si="21"/>
        <v>505017585</v>
      </c>
      <c r="K341" s="1">
        <f t="shared" si="22"/>
        <v>17415.000034100001</v>
      </c>
      <c r="L341" s="15">
        <f t="shared" si="23"/>
        <v>3.4100000000000002E-5</v>
      </c>
    </row>
    <row r="342" spans="1:12" ht="15" customHeight="1" x14ac:dyDescent="0.25">
      <c r="A342" s="10" t="str">
        <f>Raw_Data!A342</f>
        <v>OnePlus Nord 2T 5G (Gray Shadow, 8GB RAM, 128GB Storage)</v>
      </c>
      <c r="B342" s="10" t="str">
        <f>IFERROR(TRIM(LEFT(Raw_Data!A342,FIND(" ",Raw_Data!A342)-1)),Raw_Data!A342)</f>
        <v>OnePlus</v>
      </c>
      <c r="C342" s="10" t="str">
        <f>IFERROR(LEFT(Raw_Data!B342,FIND("|",Raw_Data!B342)-1),Raw_Data!B342)</f>
        <v>Electronics</v>
      </c>
      <c r="D342" s="11">
        <f>IFERROR(VALUE(SUBSTITUTE(SUBSTITUTE(TRIM(Raw_Data!C342),"₹",""),",","")),"")</f>
        <v>28999</v>
      </c>
      <c r="E342" s="11">
        <f>IFERROR(VALUE(SUBSTITUTE(SUBSTITUTE(TRIM(Raw_Data!D342),"₹",""),",","")),"")</f>
        <v>28999</v>
      </c>
      <c r="F342" s="12">
        <f>IFERROR(VALUE(SUBSTITUTE(Raw_Data!E342,"%",""))/100,"")</f>
        <v>0</v>
      </c>
      <c r="G342" s="13">
        <f>IFERROR(VALUE(Raw_Data!F342),"")</f>
        <v>4.3</v>
      </c>
      <c r="H342" s="14">
        <f>IFERROR(VALUE(SUBSTITUTE(Raw_Data!G342,",","")),"")</f>
        <v>17415</v>
      </c>
      <c r="I342" s="11">
        <f t="shared" si="20"/>
        <v>0</v>
      </c>
      <c r="J342" s="11">
        <f t="shared" si="21"/>
        <v>505017585</v>
      </c>
      <c r="K342" s="1">
        <f t="shared" si="22"/>
        <v>17415.000034199998</v>
      </c>
      <c r="L342" s="15">
        <f t="shared" si="23"/>
        <v>3.4199999999999998E-5</v>
      </c>
    </row>
    <row r="343" spans="1:12" ht="15" customHeight="1" x14ac:dyDescent="0.25">
      <c r="A343" s="10" t="str">
        <f>Raw_Data!A343</f>
        <v>Redmi A1 (Black, 2GB RAM, 32GB Storage) | Segment Best AI Dual Cam | 5000mAh Battery | Leather Texture Design | Android 12</v>
      </c>
      <c r="B343" s="10" t="str">
        <f>IFERROR(TRIM(LEFT(Raw_Data!A343,FIND(" ",Raw_Data!A343)-1)),Raw_Data!A343)</f>
        <v>Redmi</v>
      </c>
      <c r="C343" s="10" t="str">
        <f>IFERROR(LEFT(Raw_Data!B343,FIND("|",Raw_Data!B343)-1),Raw_Data!B343)</f>
        <v>Electronics</v>
      </c>
      <c r="D343" s="11">
        <f>IFERROR(VALUE(SUBSTITUTE(SUBSTITUTE(TRIM(Raw_Data!C343),"₹",""),",","")),"")</f>
        <v>6499</v>
      </c>
      <c r="E343" s="11">
        <f>IFERROR(VALUE(SUBSTITUTE(SUBSTITUTE(TRIM(Raw_Data!D343),"₹",""),",","")),"")</f>
        <v>8999</v>
      </c>
      <c r="F343" s="12">
        <f>IFERROR(VALUE(SUBSTITUTE(Raw_Data!E343,"%",""))/100,"")</f>
        <v>0.28000000000000003</v>
      </c>
      <c r="G343" s="13">
        <f>IFERROR(VALUE(Raw_Data!F343),"")</f>
        <v>4</v>
      </c>
      <c r="H343" s="14">
        <f>IFERROR(VALUE(SUBSTITUTE(Raw_Data!G343,",","")),"")</f>
        <v>7807</v>
      </c>
      <c r="I343" s="11">
        <f t="shared" si="20"/>
        <v>2500</v>
      </c>
      <c r="J343" s="11">
        <f t="shared" si="21"/>
        <v>50737693</v>
      </c>
      <c r="K343" s="1">
        <f t="shared" si="22"/>
        <v>7807.0000343000002</v>
      </c>
      <c r="L343" s="15">
        <f t="shared" si="23"/>
        <v>0.28003430000000001</v>
      </c>
    </row>
    <row r="344" spans="1:12" ht="15" customHeight="1" x14ac:dyDescent="0.25">
      <c r="A344" s="10" t="str">
        <f>Raw_Data!A344</f>
        <v>Redmi A1 (Light Green, 2GB RAM 32GB ROM) | Segment Best AI Dual Cam | 5000mAh Battery | Leather Texture Design | Android 12</v>
      </c>
      <c r="B344" s="10" t="str">
        <f>IFERROR(TRIM(LEFT(Raw_Data!A344,FIND(" ",Raw_Data!A344)-1)),Raw_Data!A344)</f>
        <v>Redmi</v>
      </c>
      <c r="C344" s="10" t="str">
        <f>IFERROR(LEFT(Raw_Data!B344,FIND("|",Raw_Data!B344)-1),Raw_Data!B344)</f>
        <v>Electronics</v>
      </c>
      <c r="D344" s="11">
        <f>IFERROR(VALUE(SUBSTITUTE(SUBSTITUTE(TRIM(Raw_Data!C344),"₹",""),",","")),"")</f>
        <v>6499</v>
      </c>
      <c r="E344" s="11">
        <f>IFERROR(VALUE(SUBSTITUTE(SUBSTITUTE(TRIM(Raw_Data!D344),"₹",""),",","")),"")</f>
        <v>8999</v>
      </c>
      <c r="F344" s="12">
        <f>IFERROR(VALUE(SUBSTITUTE(Raw_Data!E344,"%",""))/100,"")</f>
        <v>0.28000000000000003</v>
      </c>
      <c r="G344" s="13">
        <f>IFERROR(VALUE(Raw_Data!F344),"")</f>
        <v>4</v>
      </c>
      <c r="H344" s="14">
        <f>IFERROR(VALUE(SUBSTITUTE(Raw_Data!G344,",","")),"")</f>
        <v>7807</v>
      </c>
      <c r="I344" s="11">
        <f t="shared" si="20"/>
        <v>2500</v>
      </c>
      <c r="J344" s="11">
        <f t="shared" si="21"/>
        <v>50737693</v>
      </c>
      <c r="K344" s="1">
        <f t="shared" si="22"/>
        <v>7807.0000344</v>
      </c>
      <c r="L344" s="15">
        <f t="shared" si="23"/>
        <v>0.28003440000000002</v>
      </c>
    </row>
    <row r="345" spans="1:12" ht="15" customHeight="1" x14ac:dyDescent="0.25">
      <c r="A345" s="10" t="str">
        <f>Raw_Data!A345</f>
        <v>SanDisk Ultra® microSDXC™ UHS-I Card, 64GB, 140MB/s R, 10 Y Warranty, for Smartphones</v>
      </c>
      <c r="B345" s="10" t="str">
        <f>IFERROR(TRIM(LEFT(Raw_Data!A345,FIND(" ",Raw_Data!A345)-1)),Raw_Data!A345)</f>
        <v>SanDisk</v>
      </c>
      <c r="C345" s="10" t="str">
        <f>IFERROR(LEFT(Raw_Data!B345,FIND("|",Raw_Data!B345)-1),Raw_Data!B345)</f>
        <v>Electronics</v>
      </c>
      <c r="D345" s="11">
        <f>IFERROR(VALUE(SUBSTITUTE(SUBSTITUTE(TRIM(Raw_Data!C345),"₹",""),",","")),"")</f>
        <v>569</v>
      </c>
      <c r="E345" s="11">
        <f>IFERROR(VALUE(SUBSTITUTE(SUBSTITUTE(TRIM(Raw_Data!D345),"₹",""),",","")),"")</f>
        <v>1000</v>
      </c>
      <c r="F345" s="12">
        <f>IFERROR(VALUE(SUBSTITUTE(Raw_Data!E345,"%",""))/100,"")</f>
        <v>0.43</v>
      </c>
      <c r="G345" s="13">
        <f>IFERROR(VALUE(Raw_Data!F345),"")</f>
        <v>4.4000000000000004</v>
      </c>
      <c r="H345" s="14">
        <f>IFERROR(VALUE(SUBSTITUTE(Raw_Data!G345,",","")),"")</f>
        <v>67259</v>
      </c>
      <c r="I345" s="11">
        <f t="shared" si="20"/>
        <v>431</v>
      </c>
      <c r="J345" s="11">
        <f t="shared" si="21"/>
        <v>38270371</v>
      </c>
      <c r="K345" s="1">
        <f t="shared" si="22"/>
        <v>67259.000034500001</v>
      </c>
      <c r="L345" s="15">
        <f t="shared" si="23"/>
        <v>0.43003449999999999</v>
      </c>
    </row>
    <row r="346" spans="1:12" ht="15" customHeight="1" x14ac:dyDescent="0.25">
      <c r="A346" s="10" t="str">
        <f>Raw_Data!A346</f>
        <v>Noise Pulse Go Buzz Smart Watch Bluetooth Calling with 1.69" Display, 550 NITS, 150+ Cloud Watch Face, SPo2, Heart Rate Tracking, 100 Sports Mode with Auto Detection, Longer Battery (Jet Black)</v>
      </c>
      <c r="B346" s="10" t="str">
        <f>IFERROR(TRIM(LEFT(Raw_Data!A346,FIND(" ",Raw_Data!A346)-1)),Raw_Data!A346)</f>
        <v>Noise</v>
      </c>
      <c r="C346" s="10" t="str">
        <f>IFERROR(LEFT(Raw_Data!B346,FIND("|",Raw_Data!B346)-1),Raw_Data!B346)</f>
        <v>Electronics</v>
      </c>
      <c r="D346" s="11">
        <f>IFERROR(VALUE(SUBSTITUTE(SUBSTITUTE(TRIM(Raw_Data!C346),"₹",""),",","")),"")</f>
        <v>1898</v>
      </c>
      <c r="E346" s="11">
        <f>IFERROR(VALUE(SUBSTITUTE(SUBSTITUTE(TRIM(Raw_Data!D346),"₹",""),",","")),"")</f>
        <v>4999</v>
      </c>
      <c r="F346" s="12">
        <f>IFERROR(VALUE(SUBSTITUTE(Raw_Data!E346,"%",""))/100,"")</f>
        <v>0.62</v>
      </c>
      <c r="G346" s="13">
        <f>IFERROR(VALUE(Raw_Data!F346),"")</f>
        <v>4.0999999999999996</v>
      </c>
      <c r="H346" s="14">
        <f>IFERROR(VALUE(SUBSTITUTE(Raw_Data!G346,",","")),"")</f>
        <v>10689</v>
      </c>
      <c r="I346" s="11">
        <f t="shared" si="20"/>
        <v>3101</v>
      </c>
      <c r="J346" s="11">
        <f t="shared" si="21"/>
        <v>20287722</v>
      </c>
      <c r="K346" s="1">
        <f t="shared" si="22"/>
        <v>10689.0000346</v>
      </c>
      <c r="L346" s="15">
        <f t="shared" si="23"/>
        <v>0.62003459999999999</v>
      </c>
    </row>
    <row r="347" spans="1:12" ht="15" customHeight="1" x14ac:dyDescent="0.25">
      <c r="A347" s="10" t="str">
        <f>Raw_Data!A347</f>
        <v>Nokia 105 Single SIM, Keypad Mobile Phone with Wireless FM Radio | Charcoal</v>
      </c>
      <c r="B347" s="10" t="str">
        <f>IFERROR(TRIM(LEFT(Raw_Data!A347,FIND(" ",Raw_Data!A347)-1)),Raw_Data!A347)</f>
        <v>Nokia</v>
      </c>
      <c r="C347" s="10" t="str">
        <f>IFERROR(LEFT(Raw_Data!B347,FIND("|",Raw_Data!B347)-1),Raw_Data!B347)</f>
        <v>Electronics</v>
      </c>
      <c r="D347" s="11">
        <f>IFERROR(VALUE(SUBSTITUTE(SUBSTITUTE(TRIM(Raw_Data!C347),"₹",""),",","")),"")</f>
        <v>1299</v>
      </c>
      <c r="E347" s="11">
        <f>IFERROR(VALUE(SUBSTITUTE(SUBSTITUTE(TRIM(Raw_Data!D347),"₹",""),",","")),"")</f>
        <v>1599</v>
      </c>
      <c r="F347" s="12">
        <f>IFERROR(VALUE(SUBSTITUTE(Raw_Data!E347,"%",""))/100,"")</f>
        <v>0.19</v>
      </c>
      <c r="G347" s="13">
        <f>IFERROR(VALUE(Raw_Data!F347),"")</f>
        <v>4</v>
      </c>
      <c r="H347" s="14">
        <f>IFERROR(VALUE(SUBSTITUTE(Raw_Data!G347,",","")),"")</f>
        <v>128311</v>
      </c>
      <c r="I347" s="11">
        <f t="shared" si="20"/>
        <v>300</v>
      </c>
      <c r="J347" s="11">
        <f t="shared" si="21"/>
        <v>166675989</v>
      </c>
      <c r="K347" s="1">
        <f t="shared" si="22"/>
        <v>128311.0000347</v>
      </c>
      <c r="L347" s="15">
        <f t="shared" si="23"/>
        <v>0.1900347</v>
      </c>
    </row>
    <row r="348" spans="1:12" ht="15" customHeight="1" x14ac:dyDescent="0.25">
      <c r="A348" s="10" t="str">
        <f>Raw_Data!A348</f>
        <v>boAt Wave Lite Smartwatch with 1.69" HD Display, Sleek Metal Body, HR &amp; SpO2 Level Monitor, 140+ Watch Faces, Activity Tracker, Multiple Sports Modes, IP68 &amp; 7 Days Battery Life(Active Black)</v>
      </c>
      <c r="B348" s="10" t="str">
        <f>IFERROR(TRIM(LEFT(Raw_Data!A348,FIND(" ",Raw_Data!A348)-1)),Raw_Data!A348)</f>
        <v>boAt</v>
      </c>
      <c r="C348" s="10" t="str">
        <f>IFERROR(LEFT(Raw_Data!B348,FIND("|",Raw_Data!B348)-1),Raw_Data!B348)</f>
        <v>Electronics</v>
      </c>
      <c r="D348" s="11">
        <f>IFERROR(VALUE(SUBSTITUTE(SUBSTITUTE(TRIM(Raw_Data!C348),"₹",""),",","")),"")</f>
        <v>1499</v>
      </c>
      <c r="E348" s="11">
        <f>IFERROR(VALUE(SUBSTITUTE(SUBSTITUTE(TRIM(Raw_Data!D348),"₹",""),",","")),"")</f>
        <v>6990</v>
      </c>
      <c r="F348" s="12">
        <f>IFERROR(VALUE(SUBSTITUTE(Raw_Data!E348,"%",""))/100,"")</f>
        <v>0.79</v>
      </c>
      <c r="G348" s="13">
        <f>IFERROR(VALUE(Raw_Data!F348),"")</f>
        <v>3.9</v>
      </c>
      <c r="H348" s="14">
        <f>IFERROR(VALUE(SUBSTITUTE(Raw_Data!G348,",","")),"")</f>
        <v>21796</v>
      </c>
      <c r="I348" s="11">
        <f t="shared" si="20"/>
        <v>5491</v>
      </c>
      <c r="J348" s="11">
        <f t="shared" si="21"/>
        <v>32672204</v>
      </c>
      <c r="K348" s="1">
        <f t="shared" si="22"/>
        <v>21796.000034799999</v>
      </c>
      <c r="L348" s="15">
        <f t="shared" si="23"/>
        <v>0.79003480000000004</v>
      </c>
    </row>
    <row r="349" spans="1:12" ht="15" customHeight="1" x14ac:dyDescent="0.25">
      <c r="A349" s="10" t="str">
        <f>Raw_Data!A349</f>
        <v>JBL C100SI Wired In Ear Headphones with Mic, JBL Pure Bass Sound, One Button Multi-function Remote, Angled Buds for Comfort fit (Black)</v>
      </c>
      <c r="B349" s="10" t="str">
        <f>IFERROR(TRIM(LEFT(Raw_Data!A349,FIND(" ",Raw_Data!A349)-1)),Raw_Data!A349)</f>
        <v>JBL</v>
      </c>
      <c r="C349" s="10" t="str">
        <f>IFERROR(LEFT(Raw_Data!B349,FIND("|",Raw_Data!B349)-1),Raw_Data!B349)</f>
        <v>Electronics</v>
      </c>
      <c r="D349" s="11">
        <f>IFERROR(VALUE(SUBSTITUTE(SUBSTITUTE(TRIM(Raw_Data!C349),"₹",""),",","")),"")</f>
        <v>599</v>
      </c>
      <c r="E349" s="11">
        <f>IFERROR(VALUE(SUBSTITUTE(SUBSTITUTE(TRIM(Raw_Data!D349),"₹",""),",","")),"")</f>
        <v>999</v>
      </c>
      <c r="F349" s="12">
        <f>IFERROR(VALUE(SUBSTITUTE(Raw_Data!E349,"%",""))/100,"")</f>
        <v>0.4</v>
      </c>
      <c r="G349" s="13">
        <f>IFERROR(VALUE(Raw_Data!F349),"")</f>
        <v>4.0999999999999996</v>
      </c>
      <c r="H349" s="14">
        <f>IFERROR(VALUE(SUBSTITUTE(Raw_Data!G349,",","")),"")</f>
        <v>192590</v>
      </c>
      <c r="I349" s="11">
        <f t="shared" si="20"/>
        <v>400</v>
      </c>
      <c r="J349" s="11">
        <f t="shared" si="21"/>
        <v>115361410</v>
      </c>
      <c r="K349" s="1">
        <f t="shared" si="22"/>
        <v>192590.0000349</v>
      </c>
      <c r="L349" s="15">
        <f t="shared" si="23"/>
        <v>0.40003490000000003</v>
      </c>
    </row>
    <row r="350" spans="1:12" ht="15" customHeight="1" x14ac:dyDescent="0.25">
      <c r="A350" s="10" t="str">
        <f>Raw_Data!A350</f>
        <v>Samsung Galaxy M04 Dark Blue, 4GB RAM, 64GB Storage | Upto 8GB RAM with RAM Plus | MediaTek Helio P35 | 5000 mAh Battery</v>
      </c>
      <c r="B350" s="10" t="str">
        <f>IFERROR(TRIM(LEFT(Raw_Data!A350,FIND(" ",Raw_Data!A350)-1)),Raw_Data!A350)</f>
        <v>Samsung</v>
      </c>
      <c r="C350" s="10" t="str">
        <f>IFERROR(LEFT(Raw_Data!B350,FIND("|",Raw_Data!B350)-1),Raw_Data!B350)</f>
        <v>Electronics</v>
      </c>
      <c r="D350" s="11">
        <f>IFERROR(VALUE(SUBSTITUTE(SUBSTITUTE(TRIM(Raw_Data!C350),"₹",""),",","")),"")</f>
        <v>9499</v>
      </c>
      <c r="E350" s="11">
        <f>IFERROR(VALUE(SUBSTITUTE(SUBSTITUTE(TRIM(Raw_Data!D350),"₹",""),",","")),"")</f>
        <v>11999</v>
      </c>
      <c r="F350" s="12">
        <f>IFERROR(VALUE(SUBSTITUTE(Raw_Data!E350,"%",""))/100,"")</f>
        <v>0.21</v>
      </c>
      <c r="G350" s="13">
        <f>IFERROR(VALUE(Raw_Data!F350),"")</f>
        <v>4.2</v>
      </c>
      <c r="H350" s="14">
        <f>IFERROR(VALUE(SUBSTITUTE(Raw_Data!G350,",","")),"")</f>
        <v>284</v>
      </c>
      <c r="I350" s="11">
        <f t="shared" si="20"/>
        <v>2500</v>
      </c>
      <c r="J350" s="11">
        <f t="shared" si="21"/>
        <v>2697716</v>
      </c>
      <c r="K350" s="1">
        <f t="shared" si="22"/>
        <v>284.00003500000003</v>
      </c>
      <c r="L350" s="15">
        <f t="shared" si="23"/>
        <v>0.210035</v>
      </c>
    </row>
    <row r="351" spans="1:12" ht="15" customHeight="1" x14ac:dyDescent="0.25">
      <c r="A351" s="10" t="str">
        <f>Raw_Data!A351</f>
        <v>PTron Tangentbeat in-Ear Bluetooth 5.0 Wireless Headphones with Mic, Enhanced Bass, 10mm Drivers, Clear Calls, Snug-Fit, Fast Charging, Magnetic Buds, Voice Assistant &amp; IPX4 Wireless Neckband (Black)</v>
      </c>
      <c r="B351" s="10" t="str">
        <f>IFERROR(TRIM(LEFT(Raw_Data!A351,FIND(" ",Raw_Data!A351)-1)),Raw_Data!A351)</f>
        <v>PTron</v>
      </c>
      <c r="C351" s="10" t="str">
        <f>IFERROR(LEFT(Raw_Data!B351,FIND("|",Raw_Data!B351)-1),Raw_Data!B351)</f>
        <v>Electronics</v>
      </c>
      <c r="D351" s="11">
        <f>IFERROR(VALUE(SUBSTITUTE(SUBSTITUTE(TRIM(Raw_Data!C351),"₹",""),",","")),"")</f>
        <v>599</v>
      </c>
      <c r="E351" s="11">
        <f>IFERROR(VALUE(SUBSTITUTE(SUBSTITUTE(TRIM(Raw_Data!D351),"₹",""),",","")),"")</f>
        <v>2499</v>
      </c>
      <c r="F351" s="12">
        <f>IFERROR(VALUE(SUBSTITUTE(Raw_Data!E351,"%",""))/100,"")</f>
        <v>0.76</v>
      </c>
      <c r="G351" s="13">
        <f>IFERROR(VALUE(Raw_Data!F351),"")</f>
        <v>3.9</v>
      </c>
      <c r="H351" s="14">
        <f>IFERROR(VALUE(SUBSTITUTE(Raw_Data!G351,",","")),"")</f>
        <v>58162</v>
      </c>
      <c r="I351" s="11">
        <f t="shared" si="20"/>
        <v>1900</v>
      </c>
      <c r="J351" s="11">
        <f t="shared" si="21"/>
        <v>34839038</v>
      </c>
      <c r="K351" s="1">
        <f t="shared" si="22"/>
        <v>58162.000035099998</v>
      </c>
      <c r="L351" s="15">
        <f t="shared" si="23"/>
        <v>0.76003509999999996</v>
      </c>
    </row>
    <row r="352" spans="1:12" ht="15" customHeight="1" x14ac:dyDescent="0.25">
      <c r="A352" s="10" t="str">
        <f>Raw_Data!A352</f>
        <v>Redmi 10A (Charcoal Black, 4GB RAM, 64GB Storage) | 2 Ghz Octa Core Helio G25 | 5000 mAh Battery | Finger Print Sensor | Upto 5GB RAM with RAM Booster</v>
      </c>
      <c r="B352" s="10" t="str">
        <f>IFERROR(TRIM(LEFT(Raw_Data!A352,FIND(" ",Raw_Data!A352)-1)),Raw_Data!A352)</f>
        <v>Redmi</v>
      </c>
      <c r="C352" s="10" t="str">
        <f>IFERROR(LEFT(Raw_Data!B352,FIND("|",Raw_Data!B352)-1),Raw_Data!B352)</f>
        <v>Electronics</v>
      </c>
      <c r="D352" s="11">
        <f>IFERROR(VALUE(SUBSTITUTE(SUBSTITUTE(TRIM(Raw_Data!C352),"₹",""),",","")),"")</f>
        <v>8999</v>
      </c>
      <c r="E352" s="11">
        <f>IFERROR(VALUE(SUBSTITUTE(SUBSTITUTE(TRIM(Raw_Data!D352),"₹",""),",","")),"")</f>
        <v>11999</v>
      </c>
      <c r="F352" s="12">
        <f>IFERROR(VALUE(SUBSTITUTE(Raw_Data!E352,"%",""))/100,"")</f>
        <v>0.25</v>
      </c>
      <c r="G352" s="13">
        <f>IFERROR(VALUE(Raw_Data!F352),"")</f>
        <v>4</v>
      </c>
      <c r="H352" s="14">
        <f>IFERROR(VALUE(SUBSTITUTE(Raw_Data!G352,",","")),"")</f>
        <v>12796</v>
      </c>
      <c r="I352" s="11">
        <f t="shared" si="20"/>
        <v>3000</v>
      </c>
      <c r="J352" s="11">
        <f t="shared" si="21"/>
        <v>115151204</v>
      </c>
      <c r="K352" s="1">
        <f t="shared" si="22"/>
        <v>12796.000035200001</v>
      </c>
      <c r="L352" s="15">
        <f t="shared" si="23"/>
        <v>0.25003520000000001</v>
      </c>
    </row>
    <row r="353" spans="1:12" ht="15" customHeight="1" x14ac:dyDescent="0.25">
      <c r="A353" s="10" t="str">
        <f>Raw_Data!A353</f>
        <v>pTron Bullet Pro 36W PD Quick Charger, 3 Port Fast Car Charger Adapter - Compatible with All Smartphones &amp; Tablets (Black)</v>
      </c>
      <c r="B353" s="10" t="str">
        <f>IFERROR(TRIM(LEFT(Raw_Data!A353,FIND(" ",Raw_Data!A353)-1)),Raw_Data!A353)</f>
        <v>pTron</v>
      </c>
      <c r="C353" s="10" t="str">
        <f>IFERROR(LEFT(Raw_Data!B353,FIND("|",Raw_Data!B353)-1),Raw_Data!B353)</f>
        <v>Electronics</v>
      </c>
      <c r="D353" s="11">
        <f>IFERROR(VALUE(SUBSTITUTE(SUBSTITUTE(TRIM(Raw_Data!C353),"₹",""),",","")),"")</f>
        <v>349</v>
      </c>
      <c r="E353" s="11">
        <f>IFERROR(VALUE(SUBSTITUTE(SUBSTITUTE(TRIM(Raw_Data!D353),"₹",""),",","")),"")</f>
        <v>1299</v>
      </c>
      <c r="F353" s="12">
        <f>IFERROR(VALUE(SUBSTITUTE(Raw_Data!E353,"%",""))/100,"")</f>
        <v>0.73</v>
      </c>
      <c r="G353" s="13">
        <f>IFERROR(VALUE(Raw_Data!F353),"")</f>
        <v>4</v>
      </c>
      <c r="H353" s="14">
        <f>IFERROR(VALUE(SUBSTITUTE(Raw_Data!G353,",","")),"")</f>
        <v>14282</v>
      </c>
      <c r="I353" s="11">
        <f t="shared" si="20"/>
        <v>950</v>
      </c>
      <c r="J353" s="11">
        <f t="shared" si="21"/>
        <v>4984418</v>
      </c>
      <c r="K353" s="1">
        <f t="shared" si="22"/>
        <v>14282.0000353</v>
      </c>
      <c r="L353" s="15">
        <f t="shared" si="23"/>
        <v>0.73003529999999994</v>
      </c>
    </row>
    <row r="354" spans="1:12" ht="15" customHeight="1" x14ac:dyDescent="0.25">
      <c r="A354" s="10" t="str">
        <f>Raw_Data!A354</f>
        <v>boAt Bassheads 100 in Ear Wired Earphones with Mic(Taffy Pink)</v>
      </c>
      <c r="B354" s="10" t="str">
        <f>IFERROR(TRIM(LEFT(Raw_Data!A354,FIND(" ",Raw_Data!A354)-1)),Raw_Data!A354)</f>
        <v>boAt</v>
      </c>
      <c r="C354" s="10" t="str">
        <f>IFERROR(LEFT(Raw_Data!B354,FIND("|",Raw_Data!B354)-1),Raw_Data!B354)</f>
        <v>Electronics</v>
      </c>
      <c r="D354" s="11">
        <f>IFERROR(VALUE(SUBSTITUTE(SUBSTITUTE(TRIM(Raw_Data!C354),"₹",""),",","")),"")</f>
        <v>349</v>
      </c>
      <c r="E354" s="11">
        <f>IFERROR(VALUE(SUBSTITUTE(SUBSTITUTE(TRIM(Raw_Data!D354),"₹",""),",","")),"")</f>
        <v>999</v>
      </c>
      <c r="F354" s="12">
        <f>IFERROR(VALUE(SUBSTITUTE(Raw_Data!E354,"%",""))/100,"")</f>
        <v>0.65</v>
      </c>
      <c r="G354" s="13">
        <f>IFERROR(VALUE(Raw_Data!F354),"")</f>
        <v>4.0999999999999996</v>
      </c>
      <c r="H354" s="14">
        <f>IFERROR(VALUE(SUBSTITUTE(Raw_Data!G354,",","")),"")</f>
        <v>363713</v>
      </c>
      <c r="I354" s="11">
        <f t="shared" si="20"/>
        <v>650</v>
      </c>
      <c r="J354" s="11">
        <f t="shared" si="21"/>
        <v>126935837</v>
      </c>
      <c r="K354" s="1">
        <f t="shared" si="22"/>
        <v>363713.00003539998</v>
      </c>
      <c r="L354" s="15">
        <f t="shared" si="23"/>
        <v>0.65003540000000004</v>
      </c>
    </row>
    <row r="355" spans="1:12" ht="15" customHeight="1" x14ac:dyDescent="0.25">
      <c r="A355" s="10" t="str">
        <f>Raw_Data!A355</f>
        <v>SanDisk Ultra® microSDXC™ UHS-I Card, 128GB, 140MB/s R, 10 Y Warranty, for Smartphones</v>
      </c>
      <c r="B355" s="10" t="str">
        <f>IFERROR(TRIM(LEFT(Raw_Data!A355,FIND(" ",Raw_Data!A355)-1)),Raw_Data!A355)</f>
        <v>SanDisk</v>
      </c>
      <c r="C355" s="10" t="str">
        <f>IFERROR(LEFT(Raw_Data!B355,FIND("|",Raw_Data!B355)-1),Raw_Data!B355)</f>
        <v>Electronics</v>
      </c>
      <c r="D355" s="11">
        <f>IFERROR(VALUE(SUBSTITUTE(SUBSTITUTE(TRIM(Raw_Data!C355),"₹",""),",","")),"")</f>
        <v>959</v>
      </c>
      <c r="E355" s="11">
        <f>IFERROR(VALUE(SUBSTITUTE(SUBSTITUTE(TRIM(Raw_Data!D355),"₹",""),",","")),"")</f>
        <v>1800</v>
      </c>
      <c r="F355" s="12">
        <f>IFERROR(VALUE(SUBSTITUTE(Raw_Data!E355,"%",""))/100,"")</f>
        <v>0.47</v>
      </c>
      <c r="G355" s="13">
        <f>IFERROR(VALUE(Raw_Data!F355),"")</f>
        <v>4.4000000000000004</v>
      </c>
      <c r="H355" s="14">
        <f>IFERROR(VALUE(SUBSTITUTE(Raw_Data!G355,",","")),"")</f>
        <v>67259</v>
      </c>
      <c r="I355" s="11">
        <f t="shared" si="20"/>
        <v>841</v>
      </c>
      <c r="J355" s="11">
        <f t="shared" si="21"/>
        <v>64501381</v>
      </c>
      <c r="K355" s="1">
        <f t="shared" si="22"/>
        <v>67259.000035499994</v>
      </c>
      <c r="L355" s="15">
        <f t="shared" si="23"/>
        <v>0.47003549999999999</v>
      </c>
    </row>
    <row r="356" spans="1:12" ht="15" customHeight="1" x14ac:dyDescent="0.25">
      <c r="A356" s="10" t="str">
        <f>Raw_Data!A356</f>
        <v>Samsung Galaxy M04 Light Green, 4GB RAM, 64GB Storage | Upto 8GB RAM with RAM Plus | MediaTek Helio P35 | 5000 mAh Battery</v>
      </c>
      <c r="B356" s="10" t="str">
        <f>IFERROR(TRIM(LEFT(Raw_Data!A356,FIND(" ",Raw_Data!A356)-1)),Raw_Data!A356)</f>
        <v>Samsung</v>
      </c>
      <c r="C356" s="10" t="str">
        <f>IFERROR(LEFT(Raw_Data!B356,FIND("|",Raw_Data!B356)-1),Raw_Data!B356)</f>
        <v>Electronics</v>
      </c>
      <c r="D356" s="11">
        <f>IFERROR(VALUE(SUBSTITUTE(SUBSTITUTE(TRIM(Raw_Data!C356),"₹",""),",","")),"")</f>
        <v>9499</v>
      </c>
      <c r="E356" s="11">
        <f>IFERROR(VALUE(SUBSTITUTE(SUBSTITUTE(TRIM(Raw_Data!D356),"₹",""),",","")),"")</f>
        <v>11999</v>
      </c>
      <c r="F356" s="12">
        <f>IFERROR(VALUE(SUBSTITUTE(Raw_Data!E356,"%",""))/100,"")</f>
        <v>0.21</v>
      </c>
      <c r="G356" s="13">
        <f>IFERROR(VALUE(Raw_Data!F356),"")</f>
        <v>4.2</v>
      </c>
      <c r="H356" s="14">
        <f>IFERROR(VALUE(SUBSTITUTE(Raw_Data!G356,",","")),"")</f>
        <v>284</v>
      </c>
      <c r="I356" s="11">
        <f t="shared" si="20"/>
        <v>2500</v>
      </c>
      <c r="J356" s="11">
        <f t="shared" si="21"/>
        <v>2697716</v>
      </c>
      <c r="K356" s="1">
        <f t="shared" si="22"/>
        <v>284.00003559999999</v>
      </c>
      <c r="L356" s="15">
        <f t="shared" si="23"/>
        <v>0.21003559999999999</v>
      </c>
    </row>
    <row r="357" spans="1:12" ht="15" customHeight="1" x14ac:dyDescent="0.25">
      <c r="A357" s="10" t="str">
        <f>Raw_Data!A357</f>
        <v>MI 10000mAh Lithium Ion, Lithium Polymer Power Bank Pocket Pro with 22.5 Watt Fast Charging, Dual Input Ports(Micro-USB and Type C), Triple Output Ports, (Black)</v>
      </c>
      <c r="B357" s="10" t="str">
        <f>IFERROR(TRIM(LEFT(Raw_Data!A357,FIND(" ",Raw_Data!A357)-1)),Raw_Data!A357)</f>
        <v>MI</v>
      </c>
      <c r="C357" s="10" t="str">
        <f>IFERROR(LEFT(Raw_Data!B357,FIND("|",Raw_Data!B357)-1),Raw_Data!B357)</f>
        <v>Electronics</v>
      </c>
      <c r="D357" s="11">
        <f>IFERROR(VALUE(SUBSTITUTE(SUBSTITUTE(TRIM(Raw_Data!C357),"₹",""),",","")),"")</f>
        <v>1499</v>
      </c>
      <c r="E357" s="11">
        <f>IFERROR(VALUE(SUBSTITUTE(SUBSTITUTE(TRIM(Raw_Data!D357),"₹",""),",","")),"")</f>
        <v>2499</v>
      </c>
      <c r="F357" s="12">
        <f>IFERROR(VALUE(SUBSTITUTE(Raw_Data!E357,"%",""))/100,"")</f>
        <v>0.4</v>
      </c>
      <c r="G357" s="13">
        <f>IFERROR(VALUE(Raw_Data!F357),"")</f>
        <v>4.3</v>
      </c>
      <c r="H357" s="14">
        <f>IFERROR(VALUE(SUBSTITUTE(Raw_Data!G357,",","")),"")</f>
        <v>15970</v>
      </c>
      <c r="I357" s="11">
        <f t="shared" si="20"/>
        <v>1000</v>
      </c>
      <c r="J357" s="11">
        <f t="shared" si="21"/>
        <v>23939030</v>
      </c>
      <c r="K357" s="1">
        <f t="shared" si="22"/>
        <v>15970.000035700001</v>
      </c>
      <c r="L357" s="15">
        <f t="shared" si="23"/>
        <v>0.40003570000000005</v>
      </c>
    </row>
    <row r="358" spans="1:12" ht="15" customHeight="1" x14ac:dyDescent="0.25">
      <c r="A358" s="10" t="str">
        <f>Raw_Data!A358</f>
        <v>Mi 10000mAH Li-Polymer, Micro-USB and Type C Input Port, Power Bank 3i with 18W Fast Charging (Midnight Black)</v>
      </c>
      <c r="B358" s="10" t="str">
        <f>IFERROR(TRIM(LEFT(Raw_Data!A358,FIND(" ",Raw_Data!A358)-1)),Raw_Data!A358)</f>
        <v>Mi</v>
      </c>
      <c r="C358" s="10" t="str">
        <f>IFERROR(LEFT(Raw_Data!B358,FIND("|",Raw_Data!B358)-1),Raw_Data!B358)</f>
        <v>Electronics</v>
      </c>
      <c r="D358" s="11">
        <f>IFERROR(VALUE(SUBSTITUTE(SUBSTITUTE(TRIM(Raw_Data!C358),"₹",""),",","")),"")</f>
        <v>1149</v>
      </c>
      <c r="E358" s="11">
        <f>IFERROR(VALUE(SUBSTITUTE(SUBSTITUTE(TRIM(Raw_Data!D358),"₹",""),",","")),"")</f>
        <v>2199</v>
      </c>
      <c r="F358" s="12">
        <f>IFERROR(VALUE(SUBSTITUTE(Raw_Data!E358,"%",""))/100,"")</f>
        <v>0.48</v>
      </c>
      <c r="G358" s="13">
        <f>IFERROR(VALUE(Raw_Data!F358),"")</f>
        <v>4.3</v>
      </c>
      <c r="H358" s="14">
        <f>IFERROR(VALUE(SUBSTITUTE(Raw_Data!G358,",","")),"")</f>
        <v>178912</v>
      </c>
      <c r="I358" s="11">
        <f t="shared" si="20"/>
        <v>1050</v>
      </c>
      <c r="J358" s="11">
        <f t="shared" si="21"/>
        <v>205569888</v>
      </c>
      <c r="K358" s="1">
        <f t="shared" si="22"/>
        <v>178912.00003580001</v>
      </c>
      <c r="L358" s="15">
        <f t="shared" si="23"/>
        <v>0.48003579999999996</v>
      </c>
    </row>
    <row r="359" spans="1:12" ht="15" customHeight="1" x14ac:dyDescent="0.25">
      <c r="A359" s="10" t="str">
        <f>Raw_Data!A359</f>
        <v>ELV Car Mount Adjustable Car Phone Holder Universal Long Arm, Windshield for Smartphones - Black</v>
      </c>
      <c r="B359" s="10" t="str">
        <f>IFERROR(TRIM(LEFT(Raw_Data!A359,FIND(" ",Raw_Data!A359)-1)),Raw_Data!A359)</f>
        <v>ELV</v>
      </c>
      <c r="C359" s="10" t="str">
        <f>IFERROR(LEFT(Raw_Data!B359,FIND("|",Raw_Data!B359)-1),Raw_Data!B359)</f>
        <v>Electronics</v>
      </c>
      <c r="D359" s="11">
        <f>IFERROR(VALUE(SUBSTITUTE(SUBSTITUTE(TRIM(Raw_Data!C359),"₹",""),",","")),"")</f>
        <v>349</v>
      </c>
      <c r="E359" s="11">
        <f>IFERROR(VALUE(SUBSTITUTE(SUBSTITUTE(TRIM(Raw_Data!D359),"₹",""),",","")),"")</f>
        <v>999</v>
      </c>
      <c r="F359" s="12">
        <f>IFERROR(VALUE(SUBSTITUTE(Raw_Data!E359,"%",""))/100,"")</f>
        <v>0.65</v>
      </c>
      <c r="G359" s="13">
        <f>IFERROR(VALUE(Raw_Data!F359),"")</f>
        <v>3.9</v>
      </c>
      <c r="H359" s="14">
        <f>IFERROR(VALUE(SUBSTITUTE(Raw_Data!G359,",","")),"")</f>
        <v>46399</v>
      </c>
      <c r="I359" s="11">
        <f t="shared" si="20"/>
        <v>650</v>
      </c>
      <c r="J359" s="11">
        <f t="shared" si="21"/>
        <v>16193251</v>
      </c>
      <c r="K359" s="1">
        <f t="shared" si="22"/>
        <v>46399.000035899997</v>
      </c>
      <c r="L359" s="15">
        <f t="shared" si="23"/>
        <v>0.6500359</v>
      </c>
    </row>
    <row r="360" spans="1:12" ht="15" customHeight="1" x14ac:dyDescent="0.25">
      <c r="A360" s="10" t="str">
        <f>Raw_Data!A360</f>
        <v>Samsung 25W USB Travel Adapter for Cellular Phones - White</v>
      </c>
      <c r="B360" s="10" t="str">
        <f>IFERROR(TRIM(LEFT(Raw_Data!A360,FIND(" ",Raw_Data!A360)-1)),Raw_Data!A360)</f>
        <v>Samsung</v>
      </c>
      <c r="C360" s="10" t="str">
        <f>IFERROR(LEFT(Raw_Data!B360,FIND("|",Raw_Data!B360)-1),Raw_Data!B360)</f>
        <v>Electronics</v>
      </c>
      <c r="D360" s="11">
        <f>IFERROR(VALUE(SUBSTITUTE(SUBSTITUTE(TRIM(Raw_Data!C360),"₹",""),",","")),"")</f>
        <v>1219</v>
      </c>
      <c r="E360" s="11">
        <f>IFERROR(VALUE(SUBSTITUTE(SUBSTITUTE(TRIM(Raw_Data!D360),"₹",""),",","")),"")</f>
        <v>1699</v>
      </c>
      <c r="F360" s="12">
        <f>IFERROR(VALUE(SUBSTITUTE(Raw_Data!E360,"%",""))/100,"")</f>
        <v>0.28000000000000003</v>
      </c>
      <c r="G360" s="13">
        <f>IFERROR(VALUE(Raw_Data!F360),"")</f>
        <v>4.4000000000000004</v>
      </c>
      <c r="H360" s="14">
        <f>IFERROR(VALUE(SUBSTITUTE(Raw_Data!G360,",","")),"")</f>
        <v>8891</v>
      </c>
      <c r="I360" s="11">
        <f t="shared" si="20"/>
        <v>480</v>
      </c>
      <c r="J360" s="11">
        <f t="shared" si="21"/>
        <v>10838129</v>
      </c>
      <c r="K360" s="1">
        <f t="shared" si="22"/>
        <v>8891.0000359999995</v>
      </c>
      <c r="L360" s="15">
        <f t="shared" si="23"/>
        <v>0.28003600000000001</v>
      </c>
    </row>
    <row r="361" spans="1:12" ht="15" customHeight="1" x14ac:dyDescent="0.25">
      <c r="A361" s="10" t="str">
        <f>Raw_Data!A361</f>
        <v>Noise ColorFit Pulse Grand Smart Watch with 1.69"(4.29cm) HD Display, 60 Sports Modes, 150 Watch Faces, Fast Charge, Spo2, Stress, Sleep, Heart Rate Monitoring &amp; IP68 Waterproof (Jet Black)</v>
      </c>
      <c r="B361" s="10" t="str">
        <f>IFERROR(TRIM(LEFT(Raw_Data!A361,FIND(" ",Raw_Data!A361)-1)),Raw_Data!A361)</f>
        <v>Noise</v>
      </c>
      <c r="C361" s="10" t="str">
        <f>IFERROR(LEFT(Raw_Data!B361,FIND("|",Raw_Data!B361)-1),Raw_Data!B361)</f>
        <v>Electronics</v>
      </c>
      <c r="D361" s="11">
        <f>IFERROR(VALUE(SUBSTITUTE(SUBSTITUTE(TRIM(Raw_Data!C361),"₹",""),",","")),"")</f>
        <v>1599</v>
      </c>
      <c r="E361" s="11">
        <f>IFERROR(VALUE(SUBSTITUTE(SUBSTITUTE(TRIM(Raw_Data!D361),"₹",""),",","")),"")</f>
        <v>3999</v>
      </c>
      <c r="F361" s="12">
        <f>IFERROR(VALUE(SUBSTITUTE(Raw_Data!E361,"%",""))/100,"")</f>
        <v>0.6</v>
      </c>
      <c r="G361" s="13">
        <f>IFERROR(VALUE(Raw_Data!F361),"")</f>
        <v>4</v>
      </c>
      <c r="H361" s="14">
        <f>IFERROR(VALUE(SUBSTITUTE(Raw_Data!G361,",","")),"")</f>
        <v>30254</v>
      </c>
      <c r="I361" s="11">
        <f t="shared" si="20"/>
        <v>2400</v>
      </c>
      <c r="J361" s="11">
        <f t="shared" si="21"/>
        <v>48376146</v>
      </c>
      <c r="K361" s="1">
        <f t="shared" si="22"/>
        <v>30254.000036099998</v>
      </c>
      <c r="L361" s="15">
        <f t="shared" si="23"/>
        <v>0.60003609999999996</v>
      </c>
    </row>
    <row r="362" spans="1:12" ht="15" customHeight="1" x14ac:dyDescent="0.25">
      <c r="A362" s="10" t="str">
        <f>Raw_Data!A362</f>
        <v>Fire-Boltt Ninja 3 Smartwatch Full Touch 1.69 &amp; 60 Sports Modes with IP68, Sp02 Tracking, Over 100 Cloud based watch faces - Black</v>
      </c>
      <c r="B362" s="10" t="str">
        <f>IFERROR(TRIM(LEFT(Raw_Data!A362,FIND(" ",Raw_Data!A362)-1)),Raw_Data!A362)</f>
        <v>Fire-Boltt</v>
      </c>
      <c r="C362" s="10" t="str">
        <f>IFERROR(LEFT(Raw_Data!B362,FIND("|",Raw_Data!B362)-1),Raw_Data!B362)</f>
        <v>Electronics</v>
      </c>
      <c r="D362" s="11">
        <f>IFERROR(VALUE(SUBSTITUTE(SUBSTITUTE(TRIM(Raw_Data!C362),"₹",""),",","")),"")</f>
        <v>1499</v>
      </c>
      <c r="E362" s="11">
        <f>IFERROR(VALUE(SUBSTITUTE(SUBSTITUTE(TRIM(Raw_Data!D362),"₹",""),",","")),"")</f>
        <v>7999</v>
      </c>
      <c r="F362" s="12">
        <f>IFERROR(VALUE(SUBSTITUTE(Raw_Data!E362,"%",""))/100,"")</f>
        <v>0.81</v>
      </c>
      <c r="G362" s="13">
        <f>IFERROR(VALUE(Raw_Data!F362),"")</f>
        <v>4.2</v>
      </c>
      <c r="H362" s="14">
        <f>IFERROR(VALUE(SUBSTITUTE(Raw_Data!G362,",","")),"")</f>
        <v>22636</v>
      </c>
      <c r="I362" s="11">
        <f t="shared" si="20"/>
        <v>6500</v>
      </c>
      <c r="J362" s="11">
        <f t="shared" si="21"/>
        <v>33931364</v>
      </c>
      <c r="K362" s="1">
        <f t="shared" si="22"/>
        <v>22636.000036199999</v>
      </c>
      <c r="L362" s="15">
        <f t="shared" si="23"/>
        <v>0.8100362000000001</v>
      </c>
    </row>
    <row r="363" spans="1:12" ht="15" customHeight="1" x14ac:dyDescent="0.25">
      <c r="A363" s="10" t="str">
        <f>Raw_Data!A363</f>
        <v>Samsung Galaxy M33 5G (Mystique Green, 8GB, 128GB Storage) | 6000mAh Battery | Upto 16GB RAM with RAM Plus | Travel Adapter to be Purchased Separately</v>
      </c>
      <c r="B363" s="10" t="str">
        <f>IFERROR(TRIM(LEFT(Raw_Data!A363,FIND(" ",Raw_Data!A363)-1)),Raw_Data!A363)</f>
        <v>Samsung</v>
      </c>
      <c r="C363" s="10" t="str">
        <f>IFERROR(LEFT(Raw_Data!B363,FIND("|",Raw_Data!B363)-1),Raw_Data!B363)</f>
        <v>Electronics</v>
      </c>
      <c r="D363" s="11">
        <f>IFERROR(VALUE(SUBSTITUTE(SUBSTITUTE(TRIM(Raw_Data!C363),"₹",""),",","")),"")</f>
        <v>18499</v>
      </c>
      <c r="E363" s="11">
        <f>IFERROR(VALUE(SUBSTITUTE(SUBSTITUTE(TRIM(Raw_Data!D363),"₹",""),",","")),"")</f>
        <v>25999</v>
      </c>
      <c r="F363" s="12">
        <f>IFERROR(VALUE(SUBSTITUTE(Raw_Data!E363,"%",""))/100,"")</f>
        <v>0.28999999999999998</v>
      </c>
      <c r="G363" s="13">
        <f>IFERROR(VALUE(Raw_Data!F363),"")</f>
        <v>4.0999999999999996</v>
      </c>
      <c r="H363" s="14">
        <f>IFERROR(VALUE(SUBSTITUTE(Raw_Data!G363,",","")),"")</f>
        <v>22318</v>
      </c>
      <c r="I363" s="11">
        <f t="shared" si="20"/>
        <v>7500</v>
      </c>
      <c r="J363" s="11">
        <f t="shared" si="21"/>
        <v>412860682</v>
      </c>
      <c r="K363" s="1">
        <f t="shared" si="22"/>
        <v>22318.0000363</v>
      </c>
      <c r="L363" s="15">
        <f t="shared" si="23"/>
        <v>0.29003629999999997</v>
      </c>
    </row>
    <row r="364" spans="1:12" ht="15" customHeight="1" x14ac:dyDescent="0.25">
      <c r="A364" s="10" t="str">
        <f>Raw_Data!A364</f>
        <v>SanDisk Ultra microSD UHS-I Card 32GB, 120MB/s R</v>
      </c>
      <c r="B364" s="10" t="str">
        <f>IFERROR(TRIM(LEFT(Raw_Data!A364,FIND(" ",Raw_Data!A364)-1)),Raw_Data!A364)</f>
        <v>SanDisk</v>
      </c>
      <c r="C364" s="10" t="str">
        <f>IFERROR(LEFT(Raw_Data!B364,FIND("|",Raw_Data!B364)-1),Raw_Data!B364)</f>
        <v>Electronics</v>
      </c>
      <c r="D364" s="11">
        <f>IFERROR(VALUE(SUBSTITUTE(SUBSTITUTE(TRIM(Raw_Data!C364),"₹",""),",","")),"")</f>
        <v>369</v>
      </c>
      <c r="E364" s="11">
        <f>IFERROR(VALUE(SUBSTITUTE(SUBSTITUTE(TRIM(Raw_Data!D364),"₹",""),",","")),"")</f>
        <v>700</v>
      </c>
      <c r="F364" s="12">
        <f>IFERROR(VALUE(SUBSTITUTE(Raw_Data!E364,"%",""))/100,"")</f>
        <v>0.47</v>
      </c>
      <c r="G364" s="13">
        <f>IFERROR(VALUE(Raw_Data!F364),"")</f>
        <v>4.4000000000000004</v>
      </c>
      <c r="H364" s="14">
        <f>IFERROR(VALUE(SUBSTITUTE(Raw_Data!G364,",","")),"")</f>
        <v>67259</v>
      </c>
      <c r="I364" s="11">
        <f t="shared" si="20"/>
        <v>331</v>
      </c>
      <c r="J364" s="11">
        <f t="shared" si="21"/>
        <v>24818571</v>
      </c>
      <c r="K364" s="1">
        <f t="shared" si="22"/>
        <v>67259.000036400001</v>
      </c>
      <c r="L364" s="15">
        <f t="shared" si="23"/>
        <v>0.47003639999999997</v>
      </c>
    </row>
    <row r="365" spans="1:12" ht="15" customHeight="1" x14ac:dyDescent="0.25">
      <c r="A365" s="10" t="str">
        <f>Raw_Data!A365</f>
        <v>Samsung Galaxy M13 (Aqua Green, 6GB, 128GB Storage) | 6000mAh Battery | Upto 12GB RAM with RAM Plus</v>
      </c>
      <c r="B365" s="10" t="str">
        <f>IFERROR(TRIM(LEFT(Raw_Data!A365,FIND(" ",Raw_Data!A365)-1)),Raw_Data!A365)</f>
        <v>Samsung</v>
      </c>
      <c r="C365" s="10" t="str">
        <f>IFERROR(LEFT(Raw_Data!B365,FIND("|",Raw_Data!B365)-1),Raw_Data!B365)</f>
        <v>Electronics</v>
      </c>
      <c r="D365" s="11">
        <f>IFERROR(VALUE(SUBSTITUTE(SUBSTITUTE(TRIM(Raw_Data!C365),"₹",""),",","")),"")</f>
        <v>12999</v>
      </c>
      <c r="E365" s="11">
        <f>IFERROR(VALUE(SUBSTITUTE(SUBSTITUTE(TRIM(Raw_Data!D365),"₹",""),",","")),"")</f>
        <v>17999</v>
      </c>
      <c r="F365" s="12">
        <f>IFERROR(VALUE(SUBSTITUTE(Raw_Data!E365,"%",""))/100,"")</f>
        <v>0.28000000000000003</v>
      </c>
      <c r="G365" s="13">
        <f>IFERROR(VALUE(Raw_Data!F365),"")</f>
        <v>4.0999999999999996</v>
      </c>
      <c r="H365" s="14">
        <f>IFERROR(VALUE(SUBSTITUTE(Raw_Data!G365,",","")),"")</f>
        <v>18998</v>
      </c>
      <c r="I365" s="11">
        <f t="shared" si="20"/>
        <v>5000</v>
      </c>
      <c r="J365" s="11">
        <f t="shared" si="21"/>
        <v>246955002</v>
      </c>
      <c r="K365" s="1">
        <f t="shared" si="22"/>
        <v>18998.000036500001</v>
      </c>
      <c r="L365" s="15">
        <f t="shared" si="23"/>
        <v>0.28003650000000002</v>
      </c>
    </row>
    <row r="366" spans="1:12" ht="15" customHeight="1" x14ac:dyDescent="0.25">
      <c r="A366" s="10" t="str">
        <f>Raw_Data!A366</f>
        <v>Fire-Boltt Ninja Call Pro Plus 1.83" Smart Watch with Bluetooth Calling, AI Voice Assistance, 100 Sports Modes IP67 Rating, 240*280 Pixel High Resolution</v>
      </c>
      <c r="B366" s="10" t="str">
        <f>IFERROR(TRIM(LEFT(Raw_Data!A366,FIND(" ",Raw_Data!A366)-1)),Raw_Data!A366)</f>
        <v>Fire-Boltt</v>
      </c>
      <c r="C366" s="10" t="str">
        <f>IFERROR(LEFT(Raw_Data!B366,FIND("|",Raw_Data!B366)-1),Raw_Data!B366)</f>
        <v>Electronics</v>
      </c>
      <c r="D366" s="11">
        <f>IFERROR(VALUE(SUBSTITUTE(SUBSTITUTE(TRIM(Raw_Data!C366),"₹",""),",","")),"")</f>
        <v>1799</v>
      </c>
      <c r="E366" s="11">
        <f>IFERROR(VALUE(SUBSTITUTE(SUBSTITUTE(TRIM(Raw_Data!D366),"₹",""),",","")),"")</f>
        <v>19999</v>
      </c>
      <c r="F366" s="12">
        <f>IFERROR(VALUE(SUBSTITUTE(Raw_Data!E366,"%",""))/100,"")</f>
        <v>0.91</v>
      </c>
      <c r="G366" s="13">
        <f>IFERROR(VALUE(Raw_Data!F366),"")</f>
        <v>4.2</v>
      </c>
      <c r="H366" s="14">
        <f>IFERROR(VALUE(SUBSTITUTE(Raw_Data!G366,",","")),"")</f>
        <v>13937</v>
      </c>
      <c r="I366" s="11">
        <f t="shared" si="20"/>
        <v>18200</v>
      </c>
      <c r="J366" s="11">
        <f t="shared" si="21"/>
        <v>25072663</v>
      </c>
      <c r="K366" s="1">
        <f t="shared" si="22"/>
        <v>13937.0000366</v>
      </c>
      <c r="L366" s="15">
        <f t="shared" si="23"/>
        <v>0.91003660000000008</v>
      </c>
    </row>
    <row r="367" spans="1:12" ht="15" customHeight="1" x14ac:dyDescent="0.25">
      <c r="A367" s="10" t="str">
        <f>Raw_Data!A367</f>
        <v>Fire-Boltt India's No 1 Smartwatch Brand Talk 2 Bluetooth Calling Smartwatch with Dual Button, Hands On Voice Assistance, 60 Sports Modes, in Built Mic &amp; Speaker with IP68 Rating</v>
      </c>
      <c r="B367" s="10" t="str">
        <f>IFERROR(TRIM(LEFT(Raw_Data!A367,FIND(" ",Raw_Data!A367)-1)),Raw_Data!A367)</f>
        <v>Fire-Boltt</v>
      </c>
      <c r="C367" s="10" t="str">
        <f>IFERROR(LEFT(Raw_Data!B367,FIND("|",Raw_Data!B367)-1),Raw_Data!B367)</f>
        <v>Electronics</v>
      </c>
      <c r="D367" s="11">
        <f>IFERROR(VALUE(SUBSTITUTE(SUBSTITUTE(TRIM(Raw_Data!C367),"₹",""),",","")),"")</f>
        <v>2199</v>
      </c>
      <c r="E367" s="11">
        <f>IFERROR(VALUE(SUBSTITUTE(SUBSTITUTE(TRIM(Raw_Data!D367),"₹",""),",","")),"")</f>
        <v>9999</v>
      </c>
      <c r="F367" s="12">
        <f>IFERROR(VALUE(SUBSTITUTE(Raw_Data!E367,"%",""))/100,"")</f>
        <v>0.78</v>
      </c>
      <c r="G367" s="13">
        <f>IFERROR(VALUE(Raw_Data!F367),"")</f>
        <v>4.2</v>
      </c>
      <c r="H367" s="14">
        <f>IFERROR(VALUE(SUBSTITUTE(Raw_Data!G367,",","")),"")</f>
        <v>29471</v>
      </c>
      <c r="I367" s="11">
        <f t="shared" si="20"/>
        <v>7800</v>
      </c>
      <c r="J367" s="11">
        <f t="shared" si="21"/>
        <v>64806729</v>
      </c>
      <c r="K367" s="1">
        <f t="shared" si="22"/>
        <v>29471.000036699999</v>
      </c>
      <c r="L367" s="15">
        <f t="shared" si="23"/>
        <v>0.78003670000000003</v>
      </c>
    </row>
    <row r="368" spans="1:12" ht="15" customHeight="1" x14ac:dyDescent="0.25">
      <c r="A368" s="10" t="str">
        <f>Raw_Data!A368</f>
        <v>Samsung Galaxy M33 5G (Emerald Brown, 6GB, 128GB Storage) | 6000mAh Battery | Upto 12GB RAM with RAM Plus | Travel Adapter to be Purchased Separately</v>
      </c>
      <c r="B368" s="10" t="str">
        <f>IFERROR(TRIM(LEFT(Raw_Data!A368,FIND(" ",Raw_Data!A368)-1)),Raw_Data!A368)</f>
        <v>Samsung</v>
      </c>
      <c r="C368" s="10" t="str">
        <f>IFERROR(LEFT(Raw_Data!B368,FIND("|",Raw_Data!B368)-1),Raw_Data!B368)</f>
        <v>Electronics</v>
      </c>
      <c r="D368" s="11">
        <f>IFERROR(VALUE(SUBSTITUTE(SUBSTITUTE(TRIM(Raw_Data!C368),"₹",""),",","")),"")</f>
        <v>16999</v>
      </c>
      <c r="E368" s="11">
        <f>IFERROR(VALUE(SUBSTITUTE(SUBSTITUTE(TRIM(Raw_Data!D368),"₹",""),",","")),"")</f>
        <v>24999</v>
      </c>
      <c r="F368" s="12">
        <f>IFERROR(VALUE(SUBSTITUTE(Raw_Data!E368,"%",""))/100,"")</f>
        <v>0.32</v>
      </c>
      <c r="G368" s="13">
        <f>IFERROR(VALUE(Raw_Data!F368),"")</f>
        <v>4.0999999999999996</v>
      </c>
      <c r="H368" s="14">
        <f>IFERROR(VALUE(SUBSTITUTE(Raw_Data!G368,",","")),"")</f>
        <v>22318</v>
      </c>
      <c r="I368" s="11">
        <f t="shared" si="20"/>
        <v>8000</v>
      </c>
      <c r="J368" s="11">
        <f t="shared" si="21"/>
        <v>379383682</v>
      </c>
      <c r="K368" s="1">
        <f t="shared" si="22"/>
        <v>22318.0000368</v>
      </c>
      <c r="L368" s="15">
        <f t="shared" si="23"/>
        <v>0.32003680000000001</v>
      </c>
    </row>
    <row r="369" spans="1:12" ht="15" customHeight="1" x14ac:dyDescent="0.25">
      <c r="A369" s="10" t="str">
        <f>Raw_Data!A369</f>
        <v>iQOO vivo Z6 5G (Chromatic Blue, 6GB RAM, 128GB Storage) | Snapdragon 695-6nm Processor | 120Hz FHD+ Display | 5000mAh Battery</v>
      </c>
      <c r="B369" s="10" t="str">
        <f>IFERROR(TRIM(LEFT(Raw_Data!A369,FIND(" ",Raw_Data!A369)-1)),Raw_Data!A369)</f>
        <v>iQOO</v>
      </c>
      <c r="C369" s="10" t="str">
        <f>IFERROR(LEFT(Raw_Data!B369,FIND("|",Raw_Data!B369)-1),Raw_Data!B369)</f>
        <v>Electronics</v>
      </c>
      <c r="D369" s="11">
        <f>IFERROR(VALUE(SUBSTITUTE(SUBSTITUTE(TRIM(Raw_Data!C369),"₹",""),",","")),"")</f>
        <v>16499</v>
      </c>
      <c r="E369" s="11">
        <f>IFERROR(VALUE(SUBSTITUTE(SUBSTITUTE(TRIM(Raw_Data!D369),"₹",""),",","")),"")</f>
        <v>20999</v>
      </c>
      <c r="F369" s="12">
        <f>IFERROR(VALUE(SUBSTITUTE(Raw_Data!E369,"%",""))/100,"")</f>
        <v>0.21</v>
      </c>
      <c r="G369" s="13">
        <f>IFERROR(VALUE(Raw_Data!F369),"")</f>
        <v>4</v>
      </c>
      <c r="H369" s="14">
        <f>IFERROR(VALUE(SUBSTITUTE(Raw_Data!G369,",","")),"")</f>
        <v>21350</v>
      </c>
      <c r="I369" s="11">
        <f t="shared" si="20"/>
        <v>4500</v>
      </c>
      <c r="J369" s="11">
        <f t="shared" si="21"/>
        <v>352253650</v>
      </c>
      <c r="K369" s="1">
        <f t="shared" si="22"/>
        <v>21350.000036900001</v>
      </c>
      <c r="L369" s="15">
        <f t="shared" si="23"/>
        <v>0.2100369</v>
      </c>
    </row>
    <row r="370" spans="1:12" ht="15" customHeight="1" x14ac:dyDescent="0.25">
      <c r="A370" s="10" t="str">
        <f>Raw_Data!A370</f>
        <v>Fire-Boltt Ninja Call Pro Plus 1.83" Smart Watch with Bluetooth Calling, AI Voice Assistance, 100 Sports Modes IP67 Rating, 240*280 Pixel High Resolution</v>
      </c>
      <c r="B370" s="10" t="str">
        <f>IFERROR(TRIM(LEFT(Raw_Data!A370,FIND(" ",Raw_Data!A370)-1)),Raw_Data!A370)</f>
        <v>Fire-Boltt</v>
      </c>
      <c r="C370" s="10" t="str">
        <f>IFERROR(LEFT(Raw_Data!B370,FIND("|",Raw_Data!B370)-1),Raw_Data!B370)</f>
        <v>Electronics</v>
      </c>
      <c r="D370" s="11">
        <f>IFERROR(VALUE(SUBSTITUTE(SUBSTITUTE(TRIM(Raw_Data!C370),"₹",""),",","")),"")</f>
        <v>1799</v>
      </c>
      <c r="E370" s="11">
        <f>IFERROR(VALUE(SUBSTITUTE(SUBSTITUTE(TRIM(Raw_Data!D370),"₹",""),",","")),"")</f>
        <v>19999</v>
      </c>
      <c r="F370" s="12">
        <f>IFERROR(VALUE(SUBSTITUTE(Raw_Data!E370,"%",""))/100,"")</f>
        <v>0.91</v>
      </c>
      <c r="G370" s="13">
        <f>IFERROR(VALUE(Raw_Data!F370),"")</f>
        <v>4.2</v>
      </c>
      <c r="H370" s="14">
        <f>IFERROR(VALUE(SUBSTITUTE(Raw_Data!G370,",","")),"")</f>
        <v>13937</v>
      </c>
      <c r="I370" s="11">
        <f t="shared" si="20"/>
        <v>18200</v>
      </c>
      <c r="J370" s="11">
        <f t="shared" si="21"/>
        <v>25072663</v>
      </c>
      <c r="K370" s="1">
        <f t="shared" si="22"/>
        <v>13937.000037</v>
      </c>
      <c r="L370" s="15">
        <f t="shared" si="23"/>
        <v>0.91003699999999998</v>
      </c>
    </row>
    <row r="371" spans="1:12" ht="15" customHeight="1" x14ac:dyDescent="0.25">
      <c r="A371" s="10" t="str">
        <f>Raw_Data!A371</f>
        <v>Wayona Nylon Braided USB to Lightning Fast Charging and Data Sync Cable Compatible for iPhone 13, 12,11, X, 8, 7, 6, 5, iPad Air, Pro, Mini (3 FT Pack of 1, Grey)</v>
      </c>
      <c r="B371" s="10" t="str">
        <f>IFERROR(TRIM(LEFT(Raw_Data!A371,FIND(" ",Raw_Data!A371)-1)),Raw_Data!A371)</f>
        <v>Wayona</v>
      </c>
      <c r="C371" s="10" t="str">
        <f>IFERROR(LEFT(Raw_Data!B371,FIND("|",Raw_Data!B371)-1),Raw_Data!B371)</f>
        <v>Computers&amp;Accessories</v>
      </c>
      <c r="D371" s="11">
        <f>IFERROR(VALUE(SUBSTITUTE(SUBSTITUTE(TRIM(Raw_Data!C371),"₹",""),",","")),"")</f>
        <v>399</v>
      </c>
      <c r="E371" s="11">
        <f>IFERROR(VALUE(SUBSTITUTE(SUBSTITUTE(TRIM(Raw_Data!D371),"₹",""),",","")),"")</f>
        <v>1099</v>
      </c>
      <c r="F371" s="12">
        <f>IFERROR(VALUE(SUBSTITUTE(Raw_Data!E371,"%",""))/100,"")</f>
        <v>0.64</v>
      </c>
      <c r="G371" s="13">
        <f>IFERROR(VALUE(Raw_Data!F371),"")</f>
        <v>4.2</v>
      </c>
      <c r="H371" s="14">
        <f>IFERROR(VALUE(SUBSTITUTE(Raw_Data!G371,",","")),"")</f>
        <v>24270</v>
      </c>
      <c r="I371" s="11">
        <f t="shared" si="20"/>
        <v>700</v>
      </c>
      <c r="J371" s="11">
        <f t="shared" si="21"/>
        <v>9683730</v>
      </c>
      <c r="K371" s="1">
        <f t="shared" si="22"/>
        <v>24270.000037099999</v>
      </c>
      <c r="L371" s="15">
        <f t="shared" si="23"/>
        <v>0.64003710000000003</v>
      </c>
    </row>
    <row r="372" spans="1:12" ht="15" customHeight="1" x14ac:dyDescent="0.25">
      <c r="A372" s="10" t="str">
        <f>Raw_Data!A372</f>
        <v>Redmi 9 Activ (Carbon Black, 4GB RAM, 64GB Storage) | Octa-core Helio G35 | 5000 mAh Battery</v>
      </c>
      <c r="B372" s="10" t="str">
        <f>IFERROR(TRIM(LEFT(Raw_Data!A372,FIND(" ",Raw_Data!A372)-1)),Raw_Data!A372)</f>
        <v>Redmi</v>
      </c>
      <c r="C372" s="10" t="str">
        <f>IFERROR(LEFT(Raw_Data!B372,FIND("|",Raw_Data!B372)-1),Raw_Data!B372)</f>
        <v>Electronics</v>
      </c>
      <c r="D372" s="11">
        <f>IFERROR(VALUE(SUBSTITUTE(SUBSTITUTE(TRIM(Raw_Data!C372),"₹",""),",","")),"")</f>
        <v>8499</v>
      </c>
      <c r="E372" s="11">
        <f>IFERROR(VALUE(SUBSTITUTE(SUBSTITUTE(TRIM(Raw_Data!D372),"₹",""),",","")),"")</f>
        <v>10999</v>
      </c>
      <c r="F372" s="12">
        <f>IFERROR(VALUE(SUBSTITUTE(Raw_Data!E372,"%",""))/100,"")</f>
        <v>0.23</v>
      </c>
      <c r="G372" s="13">
        <f>IFERROR(VALUE(Raw_Data!F372),"")</f>
        <v>4.0999999999999996</v>
      </c>
      <c r="H372" s="14">
        <f>IFERROR(VALUE(SUBSTITUTE(Raw_Data!G372,",","")),"")</f>
        <v>313836</v>
      </c>
      <c r="I372" s="11">
        <f t="shared" si="20"/>
        <v>2500</v>
      </c>
      <c r="J372" s="11">
        <f t="shared" si="21"/>
        <v>2667292164</v>
      </c>
      <c r="K372" s="1">
        <f t="shared" si="22"/>
        <v>313836.00003719999</v>
      </c>
      <c r="L372" s="15">
        <f t="shared" si="23"/>
        <v>0.2300372</v>
      </c>
    </row>
    <row r="373" spans="1:12" ht="15" customHeight="1" x14ac:dyDescent="0.25">
      <c r="A373" s="10" t="str">
        <f>Raw_Data!A373</f>
        <v>Redmi 9A Sport (Coral Green, 2GB RAM, 32GB Storage) | 2GHz Octa-core Helio G25 Processor | 5000 mAh Battery</v>
      </c>
      <c r="B373" s="10" t="str">
        <f>IFERROR(TRIM(LEFT(Raw_Data!A373,FIND(" ",Raw_Data!A373)-1)),Raw_Data!A373)</f>
        <v>Redmi</v>
      </c>
      <c r="C373" s="10" t="str">
        <f>IFERROR(LEFT(Raw_Data!B373,FIND("|",Raw_Data!B373)-1),Raw_Data!B373)</f>
        <v>Electronics</v>
      </c>
      <c r="D373" s="11">
        <f>IFERROR(VALUE(SUBSTITUTE(SUBSTITUTE(TRIM(Raw_Data!C373),"₹",""),",","")),"")</f>
        <v>6499</v>
      </c>
      <c r="E373" s="11">
        <f>IFERROR(VALUE(SUBSTITUTE(SUBSTITUTE(TRIM(Raw_Data!D373),"₹",""),",","")),"")</f>
        <v>8499</v>
      </c>
      <c r="F373" s="12">
        <f>IFERROR(VALUE(SUBSTITUTE(Raw_Data!E373,"%",""))/100,"")</f>
        <v>0.24</v>
      </c>
      <c r="G373" s="13">
        <f>IFERROR(VALUE(Raw_Data!F373),"")</f>
        <v>4.0999999999999996</v>
      </c>
      <c r="H373" s="14">
        <f>IFERROR(VALUE(SUBSTITUTE(Raw_Data!G373,",","")),"")</f>
        <v>313836</v>
      </c>
      <c r="I373" s="11">
        <f t="shared" si="20"/>
        <v>2000</v>
      </c>
      <c r="J373" s="11">
        <f t="shared" si="21"/>
        <v>2039620164</v>
      </c>
      <c r="K373" s="1">
        <f t="shared" si="22"/>
        <v>313836.00003729999</v>
      </c>
      <c r="L373" s="15">
        <f t="shared" si="23"/>
        <v>0.24003729999999998</v>
      </c>
    </row>
    <row r="374" spans="1:12" ht="15" customHeight="1" x14ac:dyDescent="0.25">
      <c r="A374" s="10" t="str">
        <f>Raw_Data!A374</f>
        <v>Fire-Boltt Ninja Call Pro Plus 1.83" Smart Watch with Bluetooth Calling, AI Voice Assistance, 100 Sports Modes IP67 Rating, 240*280 Pixel High Resolution</v>
      </c>
      <c r="B374" s="10" t="str">
        <f>IFERROR(TRIM(LEFT(Raw_Data!A374,FIND(" ",Raw_Data!A374)-1)),Raw_Data!A374)</f>
        <v>Fire-Boltt</v>
      </c>
      <c r="C374" s="10" t="str">
        <f>IFERROR(LEFT(Raw_Data!B374,FIND("|",Raw_Data!B374)-1),Raw_Data!B374)</f>
        <v>Electronics</v>
      </c>
      <c r="D374" s="11">
        <f>IFERROR(VALUE(SUBSTITUTE(SUBSTITUTE(TRIM(Raw_Data!C374),"₹",""),",","")),"")</f>
        <v>1799</v>
      </c>
      <c r="E374" s="11">
        <f>IFERROR(VALUE(SUBSTITUTE(SUBSTITUTE(TRIM(Raw_Data!D374),"₹",""),",","")),"")</f>
        <v>19999</v>
      </c>
      <c r="F374" s="12">
        <f>IFERROR(VALUE(SUBSTITUTE(Raw_Data!E374,"%",""))/100,"")</f>
        <v>0.91</v>
      </c>
      <c r="G374" s="13">
        <f>IFERROR(VALUE(Raw_Data!F374),"")</f>
        <v>4.2</v>
      </c>
      <c r="H374" s="14">
        <f>IFERROR(VALUE(SUBSTITUTE(Raw_Data!G374,",","")),"")</f>
        <v>13937</v>
      </c>
      <c r="I374" s="11">
        <f t="shared" si="20"/>
        <v>18200</v>
      </c>
      <c r="J374" s="11">
        <f t="shared" si="21"/>
        <v>25072663</v>
      </c>
      <c r="K374" s="1">
        <f t="shared" si="22"/>
        <v>13937.000037399999</v>
      </c>
      <c r="L374" s="15">
        <f t="shared" si="23"/>
        <v>0.9100374</v>
      </c>
    </row>
    <row r="375" spans="1:12" ht="15" customHeight="1" x14ac:dyDescent="0.25">
      <c r="A375" s="10" t="str">
        <f>Raw_Data!A375</f>
        <v>Redmi 10A (Sea Blue, 4GB RAM, 64GB Storage) | 2 Ghz Octa Core Helio G25 | 5000 mAh Battery | Finger Print Sensor | Upto 5GB RAM with RAM Booster</v>
      </c>
      <c r="B375" s="10" t="str">
        <f>IFERROR(TRIM(LEFT(Raw_Data!A375,FIND(" ",Raw_Data!A375)-1)),Raw_Data!A375)</f>
        <v>Redmi</v>
      </c>
      <c r="C375" s="10" t="str">
        <f>IFERROR(LEFT(Raw_Data!B375,FIND("|",Raw_Data!B375)-1),Raw_Data!B375)</f>
        <v>Electronics</v>
      </c>
      <c r="D375" s="11">
        <f>IFERROR(VALUE(SUBSTITUTE(SUBSTITUTE(TRIM(Raw_Data!C375),"₹",""),",","")),"")</f>
        <v>8999</v>
      </c>
      <c r="E375" s="11">
        <f>IFERROR(VALUE(SUBSTITUTE(SUBSTITUTE(TRIM(Raw_Data!D375),"₹",""),",","")),"")</f>
        <v>11999</v>
      </c>
      <c r="F375" s="12">
        <f>IFERROR(VALUE(SUBSTITUTE(Raw_Data!E375,"%",""))/100,"")</f>
        <v>0.25</v>
      </c>
      <c r="G375" s="13">
        <f>IFERROR(VALUE(Raw_Data!F375),"")</f>
        <v>4</v>
      </c>
      <c r="H375" s="14">
        <f>IFERROR(VALUE(SUBSTITUTE(Raw_Data!G375,",","")),"")</f>
        <v>12796</v>
      </c>
      <c r="I375" s="11">
        <f t="shared" si="20"/>
        <v>3000</v>
      </c>
      <c r="J375" s="11">
        <f t="shared" si="21"/>
        <v>115151204</v>
      </c>
      <c r="K375" s="1">
        <f t="shared" si="22"/>
        <v>12796.0000375</v>
      </c>
      <c r="L375" s="15">
        <f t="shared" si="23"/>
        <v>0.25003750000000002</v>
      </c>
    </row>
    <row r="376" spans="1:12" ht="15" customHeight="1" x14ac:dyDescent="0.25">
      <c r="A376" s="10" t="str">
        <f>Raw_Data!A376</f>
        <v>AGARO Blaze USB 3.0 to USB Type C OTG Adapter</v>
      </c>
      <c r="B376" s="10" t="str">
        <f>IFERROR(TRIM(LEFT(Raw_Data!A376,FIND(" ",Raw_Data!A376)-1)),Raw_Data!A376)</f>
        <v>AGARO</v>
      </c>
      <c r="C376" s="10" t="str">
        <f>IFERROR(LEFT(Raw_Data!B376,FIND("|",Raw_Data!B376)-1),Raw_Data!B376)</f>
        <v>Electronics</v>
      </c>
      <c r="D376" s="11">
        <f>IFERROR(VALUE(SUBSTITUTE(SUBSTITUTE(TRIM(Raw_Data!C376),"₹",""),",","")),"")</f>
        <v>139</v>
      </c>
      <c r="E376" s="11">
        <f>IFERROR(VALUE(SUBSTITUTE(SUBSTITUTE(TRIM(Raw_Data!D376),"₹",""),",","")),"")</f>
        <v>495</v>
      </c>
      <c r="F376" s="12">
        <f>IFERROR(VALUE(SUBSTITUTE(Raw_Data!E376,"%",""))/100,"")</f>
        <v>0.72</v>
      </c>
      <c r="G376" s="13">
        <f>IFERROR(VALUE(Raw_Data!F376),"")</f>
        <v>4.3</v>
      </c>
      <c r="H376" s="14">
        <f>IFERROR(VALUE(SUBSTITUTE(Raw_Data!G376,",","")),"")</f>
        <v>14185</v>
      </c>
      <c r="I376" s="11">
        <f t="shared" si="20"/>
        <v>356</v>
      </c>
      <c r="J376" s="11">
        <f t="shared" si="21"/>
        <v>1971715</v>
      </c>
      <c r="K376" s="1">
        <f t="shared" si="22"/>
        <v>14185.000037600001</v>
      </c>
      <c r="L376" s="15">
        <f t="shared" si="23"/>
        <v>0.72003759999999994</v>
      </c>
    </row>
    <row r="377" spans="1:12" ht="15" customHeight="1" x14ac:dyDescent="0.25">
      <c r="A377" s="10" t="str">
        <f>Raw_Data!A377</f>
        <v>Fire-Boltt Visionary 1.78" AMOLED Bluetooth Calling Smartwatch with 368*448 Pixel Resolution 100+ Sports Mode, TWS Connection, Voice Assistance, SPO2 &amp; Heart Rate Monitoring</v>
      </c>
      <c r="B377" s="10" t="str">
        <f>IFERROR(TRIM(LEFT(Raw_Data!A377,FIND(" ",Raw_Data!A377)-1)),Raw_Data!A377)</f>
        <v>Fire-Boltt</v>
      </c>
      <c r="C377" s="10" t="str">
        <f>IFERROR(LEFT(Raw_Data!B377,FIND("|",Raw_Data!B377)-1),Raw_Data!B377)</f>
        <v>Electronics</v>
      </c>
      <c r="D377" s="11">
        <f>IFERROR(VALUE(SUBSTITUTE(SUBSTITUTE(TRIM(Raw_Data!C377),"₹",""),",","")),"")</f>
        <v>3999</v>
      </c>
      <c r="E377" s="11">
        <f>IFERROR(VALUE(SUBSTITUTE(SUBSTITUTE(TRIM(Raw_Data!D377),"₹",""),",","")),"")</f>
        <v>16999</v>
      </c>
      <c r="F377" s="12">
        <f>IFERROR(VALUE(SUBSTITUTE(Raw_Data!E377,"%",""))/100,"")</f>
        <v>0.76</v>
      </c>
      <c r="G377" s="13">
        <f>IFERROR(VALUE(Raw_Data!F377),"")</f>
        <v>4.3</v>
      </c>
      <c r="H377" s="14">
        <f>IFERROR(VALUE(SUBSTITUTE(Raw_Data!G377,",","")),"")</f>
        <v>17159</v>
      </c>
      <c r="I377" s="11">
        <f t="shared" si="20"/>
        <v>13000</v>
      </c>
      <c r="J377" s="11">
        <f t="shared" si="21"/>
        <v>68618841</v>
      </c>
      <c r="K377" s="1">
        <f t="shared" si="22"/>
        <v>17159.0000377</v>
      </c>
      <c r="L377" s="15">
        <f t="shared" si="23"/>
        <v>0.76003770000000004</v>
      </c>
    </row>
    <row r="378" spans="1:12" ht="15" customHeight="1" x14ac:dyDescent="0.25">
      <c r="A378" s="10" t="str">
        <f>Raw_Data!A378</f>
        <v>Noise ColorFit Pro 4 Advanced Bluetooth Calling Smart Watch with 1.72" TruView Display, Fully-Functional Digital Crown, 311 PPI, 60Hz Refresh Rate, 500 NITS Brightness (Charcoal Black)</v>
      </c>
      <c r="B378" s="10" t="str">
        <f>IFERROR(TRIM(LEFT(Raw_Data!A378,FIND(" ",Raw_Data!A378)-1)),Raw_Data!A378)</f>
        <v>Noise</v>
      </c>
      <c r="C378" s="10" t="str">
        <f>IFERROR(LEFT(Raw_Data!B378,FIND("|",Raw_Data!B378)-1),Raw_Data!B378)</f>
        <v>Electronics</v>
      </c>
      <c r="D378" s="11">
        <f>IFERROR(VALUE(SUBSTITUTE(SUBSTITUTE(TRIM(Raw_Data!C378),"₹",""),",","")),"")</f>
        <v>2998</v>
      </c>
      <c r="E378" s="11">
        <f>IFERROR(VALUE(SUBSTITUTE(SUBSTITUTE(TRIM(Raw_Data!D378),"₹",""),",","")),"")</f>
        <v>5999</v>
      </c>
      <c r="F378" s="12">
        <f>IFERROR(VALUE(SUBSTITUTE(Raw_Data!E378,"%",""))/100,"")</f>
        <v>0.5</v>
      </c>
      <c r="G378" s="13">
        <f>IFERROR(VALUE(Raw_Data!F378),"")</f>
        <v>4.0999999999999996</v>
      </c>
      <c r="H378" s="14">
        <f>IFERROR(VALUE(SUBSTITUTE(Raw_Data!G378,",","")),"")</f>
        <v>5179</v>
      </c>
      <c r="I378" s="11">
        <f t="shared" si="20"/>
        <v>3001</v>
      </c>
      <c r="J378" s="11">
        <f t="shared" si="21"/>
        <v>15526642</v>
      </c>
      <c r="K378" s="1">
        <f t="shared" si="22"/>
        <v>5179.0000378000004</v>
      </c>
      <c r="L378" s="15">
        <f t="shared" si="23"/>
        <v>0.50003779999999998</v>
      </c>
    </row>
    <row r="379" spans="1:12" ht="15" customHeight="1" x14ac:dyDescent="0.25">
      <c r="A379" s="10" t="str">
        <f>Raw_Data!A379</f>
        <v>Ambrane Unbreakable 60W / 3A Fast Charging 1.5m Braided Type C Cable for Smartphones, Tablets, Laptops &amp; other Type C devices, PD Technology, 480Mbps Data Sync, Quick Charge 3.0 (RCT15A, Black)</v>
      </c>
      <c r="B379" s="10" t="str">
        <f>IFERROR(TRIM(LEFT(Raw_Data!A379,FIND(" ",Raw_Data!A379)-1)),Raw_Data!A379)</f>
        <v>Ambrane</v>
      </c>
      <c r="C379" s="10" t="str">
        <f>IFERROR(LEFT(Raw_Data!B379,FIND("|",Raw_Data!B379)-1),Raw_Data!B379)</f>
        <v>Computers&amp;Accessories</v>
      </c>
      <c r="D379" s="11">
        <f>IFERROR(VALUE(SUBSTITUTE(SUBSTITUTE(TRIM(Raw_Data!C379),"₹",""),",","")),"")</f>
        <v>199</v>
      </c>
      <c r="E379" s="11">
        <f>IFERROR(VALUE(SUBSTITUTE(SUBSTITUTE(TRIM(Raw_Data!D379),"₹",""),",","")),"")</f>
        <v>349</v>
      </c>
      <c r="F379" s="12">
        <f>IFERROR(VALUE(SUBSTITUTE(Raw_Data!E379,"%",""))/100,"")</f>
        <v>0.43</v>
      </c>
      <c r="G379" s="13">
        <f>IFERROR(VALUE(Raw_Data!F379),"")</f>
        <v>4</v>
      </c>
      <c r="H379" s="14">
        <f>IFERROR(VALUE(SUBSTITUTE(Raw_Data!G379,",","")),"")</f>
        <v>43993</v>
      </c>
      <c r="I379" s="11">
        <f t="shared" si="20"/>
        <v>150</v>
      </c>
      <c r="J379" s="11">
        <f t="shared" si="21"/>
        <v>8754607</v>
      </c>
      <c r="K379" s="1">
        <f t="shared" si="22"/>
        <v>43993.000037899998</v>
      </c>
      <c r="L379" s="15">
        <f t="shared" si="23"/>
        <v>0.43003789999999997</v>
      </c>
    </row>
    <row r="380" spans="1:12" ht="15" customHeight="1" x14ac:dyDescent="0.25">
      <c r="A380" s="10" t="str">
        <f>Raw_Data!A380</f>
        <v>iQOO Z6 Lite 5G by vivo (Stellar Green, 6GB RAM, 128GB Storage) | World's First Snapdragon 4 Gen 1 | 120Hz Refresh Rate | 5000mAh Battery | Travel Adapter to be Purchased Separately</v>
      </c>
      <c r="B380" s="10" t="str">
        <f>IFERROR(TRIM(LEFT(Raw_Data!A380,FIND(" ",Raw_Data!A380)-1)),Raw_Data!A380)</f>
        <v>iQOO</v>
      </c>
      <c r="C380" s="10" t="str">
        <f>IFERROR(LEFT(Raw_Data!B380,FIND("|",Raw_Data!B380)-1),Raw_Data!B380)</f>
        <v>Electronics</v>
      </c>
      <c r="D380" s="11">
        <f>IFERROR(VALUE(SUBSTITUTE(SUBSTITUTE(TRIM(Raw_Data!C380),"₹",""),",","")),"")</f>
        <v>15499</v>
      </c>
      <c r="E380" s="11">
        <f>IFERROR(VALUE(SUBSTITUTE(SUBSTITUTE(TRIM(Raw_Data!D380),"₹",""),",","")),"")</f>
        <v>18999</v>
      </c>
      <c r="F380" s="12">
        <f>IFERROR(VALUE(SUBSTITUTE(Raw_Data!E380,"%",""))/100,"")</f>
        <v>0.18</v>
      </c>
      <c r="G380" s="13">
        <f>IFERROR(VALUE(Raw_Data!F380),"")</f>
        <v>4.0999999999999996</v>
      </c>
      <c r="H380" s="14">
        <f>IFERROR(VALUE(SUBSTITUTE(Raw_Data!G380,",","")),"")</f>
        <v>19252</v>
      </c>
      <c r="I380" s="11">
        <f t="shared" si="20"/>
        <v>3500</v>
      </c>
      <c r="J380" s="11">
        <f t="shared" si="21"/>
        <v>298386748</v>
      </c>
      <c r="K380" s="1">
        <f t="shared" si="22"/>
        <v>19252.000037999998</v>
      </c>
      <c r="L380" s="15">
        <f t="shared" si="23"/>
        <v>0.180038</v>
      </c>
    </row>
    <row r="381" spans="1:12" ht="15" customHeight="1" x14ac:dyDescent="0.25">
      <c r="A381" s="10" t="str">
        <f>Raw_Data!A381</f>
        <v>Sounce Fast Phone Charging Cable &amp; Data Sync USB Cable Compatible for iPhone 13, 12,11, X, 8, 7, 6, 5, iPad Air, Pro, Mini &amp; iOS Devices</v>
      </c>
      <c r="B381" s="10" t="str">
        <f>IFERROR(TRIM(LEFT(Raw_Data!A381,FIND(" ",Raw_Data!A381)-1)),Raw_Data!A381)</f>
        <v>Sounce</v>
      </c>
      <c r="C381" s="10" t="str">
        <f>IFERROR(LEFT(Raw_Data!B381,FIND("|",Raw_Data!B381)-1),Raw_Data!B381)</f>
        <v>Computers&amp;Accessories</v>
      </c>
      <c r="D381" s="11">
        <f>IFERROR(VALUE(SUBSTITUTE(SUBSTITUTE(TRIM(Raw_Data!C381),"₹",""),",","")),"")</f>
        <v>199</v>
      </c>
      <c r="E381" s="11">
        <f>IFERROR(VALUE(SUBSTITUTE(SUBSTITUTE(TRIM(Raw_Data!D381),"₹",""),",","")),"")</f>
        <v>999</v>
      </c>
      <c r="F381" s="12">
        <f>IFERROR(VALUE(SUBSTITUTE(Raw_Data!E381,"%",""))/100,"")</f>
        <v>0.8</v>
      </c>
      <c r="G381" s="13">
        <f>IFERROR(VALUE(Raw_Data!F381),"")</f>
        <v>3.9</v>
      </c>
      <c r="H381" s="14">
        <f>IFERROR(VALUE(SUBSTITUTE(Raw_Data!G381,",","")),"")</f>
        <v>7928</v>
      </c>
      <c r="I381" s="11">
        <f t="shared" si="20"/>
        <v>800</v>
      </c>
      <c r="J381" s="11">
        <f t="shared" si="21"/>
        <v>1577672</v>
      </c>
      <c r="K381" s="1">
        <f t="shared" si="22"/>
        <v>7928.0000381</v>
      </c>
      <c r="L381" s="15">
        <f t="shared" si="23"/>
        <v>0.80003810000000009</v>
      </c>
    </row>
    <row r="382" spans="1:12" ht="15" customHeight="1" x14ac:dyDescent="0.25">
      <c r="A382" s="10" t="str">
        <f>Raw_Data!A382</f>
        <v>Fire-Boltt Ninja Call Pro Plus 1.83" Smart Watch with Bluetooth Calling, AI Voice Assistance, 100 Sports Modes IP67 Rating, 240*280 Pixel High Resolution</v>
      </c>
      <c r="B382" s="10" t="str">
        <f>IFERROR(TRIM(LEFT(Raw_Data!A382,FIND(" ",Raw_Data!A382)-1)),Raw_Data!A382)</f>
        <v>Fire-Boltt</v>
      </c>
      <c r="C382" s="10" t="str">
        <f>IFERROR(LEFT(Raw_Data!B382,FIND("|",Raw_Data!B382)-1),Raw_Data!B382)</f>
        <v>Electronics</v>
      </c>
      <c r="D382" s="11">
        <f>IFERROR(VALUE(SUBSTITUTE(SUBSTITUTE(TRIM(Raw_Data!C382),"₹",""),",","")),"")</f>
        <v>1799</v>
      </c>
      <c r="E382" s="11">
        <f>IFERROR(VALUE(SUBSTITUTE(SUBSTITUTE(TRIM(Raw_Data!D382),"₹",""),",","")),"")</f>
        <v>19999</v>
      </c>
      <c r="F382" s="12">
        <f>IFERROR(VALUE(SUBSTITUTE(Raw_Data!E382,"%",""))/100,"")</f>
        <v>0.91</v>
      </c>
      <c r="G382" s="13">
        <f>IFERROR(VALUE(Raw_Data!F382),"")</f>
        <v>4.2</v>
      </c>
      <c r="H382" s="14">
        <f>IFERROR(VALUE(SUBSTITUTE(Raw_Data!G382,",","")),"")</f>
        <v>13937</v>
      </c>
      <c r="I382" s="11">
        <f t="shared" si="20"/>
        <v>18200</v>
      </c>
      <c r="J382" s="11">
        <f t="shared" si="21"/>
        <v>25072663</v>
      </c>
      <c r="K382" s="1">
        <f t="shared" si="22"/>
        <v>13937.0000382</v>
      </c>
      <c r="L382" s="15">
        <f t="shared" si="23"/>
        <v>0.91003820000000002</v>
      </c>
    </row>
    <row r="383" spans="1:12" ht="15" customHeight="1" x14ac:dyDescent="0.25">
      <c r="A383" s="10" t="str">
        <f>Raw_Data!A383</f>
        <v>Redmi 10A (Slate Grey, 4GB RAM, 64GB Storage) | 2 Ghz Octa Core Helio G25 | 5000 mAh Battery | Finger Print Sensor | Upto 5GB RAM with RAM Booster</v>
      </c>
      <c r="B383" s="10" t="str">
        <f>IFERROR(TRIM(LEFT(Raw_Data!A383,FIND(" ",Raw_Data!A383)-1)),Raw_Data!A383)</f>
        <v>Redmi</v>
      </c>
      <c r="C383" s="10" t="str">
        <f>IFERROR(LEFT(Raw_Data!B383,FIND("|",Raw_Data!B383)-1),Raw_Data!B383)</f>
        <v>Electronics</v>
      </c>
      <c r="D383" s="11">
        <f>IFERROR(VALUE(SUBSTITUTE(SUBSTITUTE(TRIM(Raw_Data!C383),"₹",""),",","")),"")</f>
        <v>8999</v>
      </c>
      <c r="E383" s="11">
        <f>IFERROR(VALUE(SUBSTITUTE(SUBSTITUTE(TRIM(Raw_Data!D383),"₹",""),",","")),"")</f>
        <v>11999</v>
      </c>
      <c r="F383" s="12">
        <f>IFERROR(VALUE(SUBSTITUTE(Raw_Data!E383,"%",""))/100,"")</f>
        <v>0.25</v>
      </c>
      <c r="G383" s="13">
        <f>IFERROR(VALUE(Raw_Data!F383),"")</f>
        <v>4</v>
      </c>
      <c r="H383" s="14">
        <f>IFERROR(VALUE(SUBSTITUTE(Raw_Data!G383,",","")),"")</f>
        <v>12796</v>
      </c>
      <c r="I383" s="11">
        <f t="shared" si="20"/>
        <v>3000</v>
      </c>
      <c r="J383" s="11">
        <f t="shared" si="21"/>
        <v>115151204</v>
      </c>
      <c r="K383" s="1">
        <f t="shared" si="22"/>
        <v>12796.000038300001</v>
      </c>
      <c r="L383" s="15">
        <f t="shared" si="23"/>
        <v>0.25003829999999999</v>
      </c>
    </row>
    <row r="384" spans="1:12" ht="15" customHeight="1" x14ac:dyDescent="0.25">
      <c r="A384" s="10" t="str">
        <f>Raw_Data!A384</f>
        <v>Duracell 38W Fast Car Charger Adapter with Dual Output. Quick Charge, Type C PD 20W &amp; Qualcomm Certified 3.0 Compatible for iPhone, All Smartphones, Tablets &amp; More (Copper &amp; Black)</v>
      </c>
      <c r="B384" s="10" t="str">
        <f>IFERROR(TRIM(LEFT(Raw_Data!A384,FIND(" ",Raw_Data!A384)-1)),Raw_Data!A384)</f>
        <v>Duracell</v>
      </c>
      <c r="C384" s="10" t="str">
        <f>IFERROR(LEFT(Raw_Data!B384,FIND("|",Raw_Data!B384)-1),Raw_Data!B384)</f>
        <v>Electronics</v>
      </c>
      <c r="D384" s="11">
        <f>IFERROR(VALUE(SUBSTITUTE(SUBSTITUTE(TRIM(Raw_Data!C384),"₹",""),",","")),"")</f>
        <v>873</v>
      </c>
      <c r="E384" s="11">
        <f>IFERROR(VALUE(SUBSTITUTE(SUBSTITUTE(TRIM(Raw_Data!D384),"₹",""),",","")),"")</f>
        <v>1699</v>
      </c>
      <c r="F384" s="12">
        <f>IFERROR(VALUE(SUBSTITUTE(Raw_Data!E384,"%",""))/100,"")</f>
        <v>0.49</v>
      </c>
      <c r="G384" s="13">
        <f>IFERROR(VALUE(Raw_Data!F384),"")</f>
        <v>4.4000000000000004</v>
      </c>
      <c r="H384" s="14">
        <f>IFERROR(VALUE(SUBSTITUTE(Raw_Data!G384,",","")),"")</f>
        <v>1680</v>
      </c>
      <c r="I384" s="11">
        <f t="shared" si="20"/>
        <v>826</v>
      </c>
      <c r="J384" s="11">
        <f t="shared" si="21"/>
        <v>1466640</v>
      </c>
      <c r="K384" s="1">
        <f t="shared" si="22"/>
        <v>1680.0000384</v>
      </c>
      <c r="L384" s="15">
        <f t="shared" si="23"/>
        <v>0.49003839999999999</v>
      </c>
    </row>
    <row r="385" spans="1:12" ht="15" customHeight="1" x14ac:dyDescent="0.25">
      <c r="A385" s="10" t="str">
        <f>Raw_Data!A385</f>
        <v>realme narzo 50 (Speed Blue, 4GB RAM+64GB Storage) Helio G96 Processor | 50MP AI Triple Camera | 120Hz Ultra Smooth Display</v>
      </c>
      <c r="B385" s="10" t="str">
        <f>IFERROR(TRIM(LEFT(Raw_Data!A385,FIND(" ",Raw_Data!A385)-1)),Raw_Data!A385)</f>
        <v>realme</v>
      </c>
      <c r="C385" s="10" t="str">
        <f>IFERROR(LEFT(Raw_Data!B385,FIND("|",Raw_Data!B385)-1),Raw_Data!B385)</f>
        <v>Electronics</v>
      </c>
      <c r="D385" s="11">
        <f>IFERROR(VALUE(SUBSTITUTE(SUBSTITUTE(TRIM(Raw_Data!C385),"₹",""),",","")),"")</f>
        <v>12999</v>
      </c>
      <c r="E385" s="11">
        <f>IFERROR(VALUE(SUBSTITUTE(SUBSTITUTE(TRIM(Raw_Data!D385),"₹",""),",","")),"")</f>
        <v>15999</v>
      </c>
      <c r="F385" s="12">
        <f>IFERROR(VALUE(SUBSTITUTE(Raw_Data!E385,"%",""))/100,"")</f>
        <v>0.19</v>
      </c>
      <c r="G385" s="13">
        <f>IFERROR(VALUE(Raw_Data!F385),"")</f>
        <v>4.2</v>
      </c>
      <c r="H385" s="14">
        <f>IFERROR(VALUE(SUBSTITUTE(Raw_Data!G385,",","")),"")</f>
        <v>13246</v>
      </c>
      <c r="I385" s="11">
        <f t="shared" si="20"/>
        <v>3000</v>
      </c>
      <c r="J385" s="11">
        <f t="shared" si="21"/>
        <v>172184754</v>
      </c>
      <c r="K385" s="1">
        <f t="shared" si="22"/>
        <v>13246.0000385</v>
      </c>
      <c r="L385" s="15">
        <f t="shared" si="23"/>
        <v>0.1900385</v>
      </c>
    </row>
    <row r="386" spans="1:12" ht="15" customHeight="1" x14ac:dyDescent="0.25">
      <c r="A386" s="10" t="str">
        <f>Raw_Data!A386</f>
        <v>WeCool Bluetooth Extendable Selfie Sticks with Wireless Remote and Tripod Stand, 3-in-1 Multifunctional Selfie Stick with Tripod Stand Compatible with iPhone/OnePlus/Samsung/Oppo/Vivo and All Phones</v>
      </c>
      <c r="B386" s="10" t="str">
        <f>IFERROR(TRIM(LEFT(Raw_Data!A386,FIND(" ",Raw_Data!A386)-1)),Raw_Data!A386)</f>
        <v>WeCool</v>
      </c>
      <c r="C386" s="10" t="str">
        <f>IFERROR(LEFT(Raw_Data!B386,FIND("|",Raw_Data!B386)-1),Raw_Data!B386)</f>
        <v>Electronics</v>
      </c>
      <c r="D386" s="11">
        <f>IFERROR(VALUE(SUBSTITUTE(SUBSTITUTE(TRIM(Raw_Data!C386),"₹",""),",","")),"")</f>
        <v>539</v>
      </c>
      <c r="E386" s="11">
        <f>IFERROR(VALUE(SUBSTITUTE(SUBSTITUTE(TRIM(Raw_Data!D386),"₹",""),",","")),"")</f>
        <v>1599</v>
      </c>
      <c r="F386" s="12">
        <f>IFERROR(VALUE(SUBSTITUTE(Raw_Data!E386,"%",""))/100,"")</f>
        <v>0.66</v>
      </c>
      <c r="G386" s="13">
        <f>IFERROR(VALUE(Raw_Data!F386),"")</f>
        <v>3.8</v>
      </c>
      <c r="H386" s="14">
        <f>IFERROR(VALUE(SUBSTITUTE(Raw_Data!G386,",","")),"")</f>
        <v>14648</v>
      </c>
      <c r="I386" s="11">
        <f t="shared" ref="I386:I449" si="24">IFERROR(E386-D386,"")</f>
        <v>1060</v>
      </c>
      <c r="J386" s="11">
        <f t="shared" ref="J386:J449" si="25">IFERROR(D386*H386,"")</f>
        <v>7895272</v>
      </c>
      <c r="K386" s="1">
        <f t="shared" ref="K386:K449" si="26">IF(ISNUMBER(H386),H386+ROW()/10000000,"")</f>
        <v>14648.000038599999</v>
      </c>
      <c r="L386" s="15">
        <f t="shared" ref="L386:L449" si="27">IF(ISNUMBER(F386),F386+ROW()/10000000,"")</f>
        <v>0.66003860000000003</v>
      </c>
    </row>
    <row r="387" spans="1:12" ht="15" customHeight="1" x14ac:dyDescent="0.25">
      <c r="A387" s="10" t="str">
        <f>Raw_Data!A387</f>
        <v>Fire-Boltt Phoenix Smart Watch with Bluetooth Calling 1.3",120+ Sports Modes, 240*240 PX High Res with SpO2, Heart Rate Monitoring &amp; IP67 Rating</v>
      </c>
      <c r="B387" s="10" t="str">
        <f>IFERROR(TRIM(LEFT(Raw_Data!A387,FIND(" ",Raw_Data!A387)-1)),Raw_Data!A387)</f>
        <v>Fire-Boltt</v>
      </c>
      <c r="C387" s="10" t="str">
        <f>IFERROR(LEFT(Raw_Data!B387,FIND("|",Raw_Data!B387)-1),Raw_Data!B387)</f>
        <v>Electronics</v>
      </c>
      <c r="D387" s="11">
        <f>IFERROR(VALUE(SUBSTITUTE(SUBSTITUTE(TRIM(Raw_Data!C387),"₹",""),",","")),"")</f>
        <v>1999</v>
      </c>
      <c r="E387" s="11">
        <f>IFERROR(VALUE(SUBSTITUTE(SUBSTITUTE(TRIM(Raw_Data!D387),"₹",""),",","")),"")</f>
        <v>9999</v>
      </c>
      <c r="F387" s="12">
        <f>IFERROR(VALUE(SUBSTITUTE(Raw_Data!E387,"%",""))/100,"")</f>
        <v>0.8</v>
      </c>
      <c r="G387" s="13">
        <f>IFERROR(VALUE(Raw_Data!F387),"")</f>
        <v>4.3</v>
      </c>
      <c r="H387" s="14">
        <f>IFERROR(VALUE(SUBSTITUTE(Raw_Data!G387,",","")),"")</f>
        <v>27696</v>
      </c>
      <c r="I387" s="11">
        <f t="shared" si="24"/>
        <v>8000</v>
      </c>
      <c r="J387" s="11">
        <f t="shared" si="25"/>
        <v>55364304</v>
      </c>
      <c r="K387" s="1">
        <f t="shared" si="26"/>
        <v>27696.0000387</v>
      </c>
      <c r="L387" s="15">
        <f t="shared" si="27"/>
        <v>0.80003869999999999</v>
      </c>
    </row>
    <row r="388" spans="1:12" ht="15" customHeight="1" x14ac:dyDescent="0.25">
      <c r="A388" s="10" t="str">
        <f>Raw_Data!A388</f>
        <v>OPPO A74 5G (Fantastic Purple,6GB RAM,128GB Storage) with No Cost EMI/Additional Exchange Offers</v>
      </c>
      <c r="B388" s="10" t="str">
        <f>IFERROR(TRIM(LEFT(Raw_Data!A388,FIND(" ",Raw_Data!A388)-1)),Raw_Data!A388)</f>
        <v>OPPO</v>
      </c>
      <c r="C388" s="10" t="str">
        <f>IFERROR(LEFT(Raw_Data!B388,FIND("|",Raw_Data!B388)-1),Raw_Data!B388)</f>
        <v>Electronics</v>
      </c>
      <c r="D388" s="11">
        <f>IFERROR(VALUE(SUBSTITUTE(SUBSTITUTE(TRIM(Raw_Data!C388),"₹",""),",","")),"")</f>
        <v>15490</v>
      </c>
      <c r="E388" s="11">
        <f>IFERROR(VALUE(SUBSTITUTE(SUBSTITUTE(TRIM(Raw_Data!D388),"₹",""),",","")),"")</f>
        <v>20990</v>
      </c>
      <c r="F388" s="12">
        <f>IFERROR(VALUE(SUBSTITUTE(Raw_Data!E388,"%",""))/100,"")</f>
        <v>0.26</v>
      </c>
      <c r="G388" s="13">
        <f>IFERROR(VALUE(Raw_Data!F388),"")</f>
        <v>4.2</v>
      </c>
      <c r="H388" s="14">
        <f>IFERROR(VALUE(SUBSTITUTE(Raw_Data!G388,",","")),"")</f>
        <v>32916</v>
      </c>
      <c r="I388" s="11">
        <f t="shared" si="24"/>
        <v>5500</v>
      </c>
      <c r="J388" s="11">
        <f t="shared" si="25"/>
        <v>509868840</v>
      </c>
      <c r="K388" s="1">
        <f t="shared" si="26"/>
        <v>32916.000038799997</v>
      </c>
      <c r="L388" s="15">
        <f t="shared" si="27"/>
        <v>0.26003880000000001</v>
      </c>
    </row>
    <row r="389" spans="1:12" ht="15" customHeight="1" x14ac:dyDescent="0.25">
      <c r="A389" s="10" t="str">
        <f>Raw_Data!A389</f>
        <v>Redmi Note 11 Pro + 5G (Stealth Black, 6GB RAM, 128GB Storage) | 67W Turbo Charge | 120Hz Super AMOLED Display | Additional Exchange Offers | Charger Included</v>
      </c>
      <c r="B389" s="10" t="str">
        <f>IFERROR(TRIM(LEFT(Raw_Data!A389,FIND(" ",Raw_Data!A389)-1)),Raw_Data!A389)</f>
        <v>Redmi</v>
      </c>
      <c r="C389" s="10" t="str">
        <f>IFERROR(LEFT(Raw_Data!B389,FIND("|",Raw_Data!B389)-1),Raw_Data!B389)</f>
        <v>Electronics</v>
      </c>
      <c r="D389" s="11">
        <f>IFERROR(VALUE(SUBSTITUTE(SUBSTITUTE(TRIM(Raw_Data!C389),"₹",""),",","")),"")</f>
        <v>19999</v>
      </c>
      <c r="E389" s="11">
        <f>IFERROR(VALUE(SUBSTITUTE(SUBSTITUTE(TRIM(Raw_Data!D389),"₹",""),",","")),"")</f>
        <v>24999</v>
      </c>
      <c r="F389" s="12">
        <f>IFERROR(VALUE(SUBSTITUTE(Raw_Data!E389,"%",""))/100,"")</f>
        <v>0.2</v>
      </c>
      <c r="G389" s="13">
        <f>IFERROR(VALUE(Raw_Data!F389),"")</f>
        <v>3.9</v>
      </c>
      <c r="H389" s="14">
        <f>IFERROR(VALUE(SUBSTITUTE(Raw_Data!G389,",","")),"")</f>
        <v>25824</v>
      </c>
      <c r="I389" s="11">
        <f t="shared" si="24"/>
        <v>5000</v>
      </c>
      <c r="J389" s="11">
        <f t="shared" si="25"/>
        <v>516454176</v>
      </c>
      <c r="K389" s="1">
        <f t="shared" si="26"/>
        <v>25824.000038900002</v>
      </c>
      <c r="L389" s="15">
        <f t="shared" si="27"/>
        <v>0.20003890000000002</v>
      </c>
    </row>
    <row r="390" spans="1:12" ht="15" customHeight="1" x14ac:dyDescent="0.25">
      <c r="A390" s="10" t="str">
        <f>Raw_Data!A390</f>
        <v>Samsung Original 25W USB Travel Lightning Adapter for Cellular Phones, Black</v>
      </c>
      <c r="B390" s="10" t="str">
        <f>IFERROR(TRIM(LEFT(Raw_Data!A390,FIND(" ",Raw_Data!A390)-1)),Raw_Data!A390)</f>
        <v>Samsung</v>
      </c>
      <c r="C390" s="10" t="str">
        <f>IFERROR(LEFT(Raw_Data!B390,FIND("|",Raw_Data!B390)-1),Raw_Data!B390)</f>
        <v>Electronics</v>
      </c>
      <c r="D390" s="11">
        <f>IFERROR(VALUE(SUBSTITUTE(SUBSTITUTE(TRIM(Raw_Data!C390),"₹",""),",","")),"")</f>
        <v>1075</v>
      </c>
      <c r="E390" s="11">
        <f>IFERROR(VALUE(SUBSTITUTE(SUBSTITUTE(TRIM(Raw_Data!D390),"₹",""),",","")),"")</f>
        <v>1699</v>
      </c>
      <c r="F390" s="12">
        <f>IFERROR(VALUE(SUBSTITUTE(Raw_Data!E390,"%",""))/100,"")</f>
        <v>0.37</v>
      </c>
      <c r="G390" s="13">
        <f>IFERROR(VALUE(Raw_Data!F390),"")</f>
        <v>4.4000000000000004</v>
      </c>
      <c r="H390" s="14">
        <f>IFERROR(VALUE(SUBSTITUTE(Raw_Data!G390,",","")),"")</f>
        <v>7462</v>
      </c>
      <c r="I390" s="11">
        <f t="shared" si="24"/>
        <v>624</v>
      </c>
      <c r="J390" s="11">
        <f t="shared" si="25"/>
        <v>8021650</v>
      </c>
      <c r="K390" s="1">
        <f t="shared" si="26"/>
        <v>7462.0000389999996</v>
      </c>
      <c r="L390" s="15">
        <f t="shared" si="27"/>
        <v>0.37003900000000001</v>
      </c>
    </row>
    <row r="391" spans="1:12" ht="15" customHeight="1" x14ac:dyDescent="0.25">
      <c r="A391" s="10" t="str">
        <f>Raw_Data!A391</f>
        <v>realme Buds Classic Wired in Ear Earphones with Mic (Black)</v>
      </c>
      <c r="B391" s="10" t="str">
        <f>IFERROR(TRIM(LEFT(Raw_Data!A391,FIND(" ",Raw_Data!A391)-1)),Raw_Data!A391)</f>
        <v>realme</v>
      </c>
      <c r="C391" s="10" t="str">
        <f>IFERROR(LEFT(Raw_Data!B391,FIND("|",Raw_Data!B391)-1),Raw_Data!B391)</f>
        <v>Electronics</v>
      </c>
      <c r="D391" s="11">
        <f>IFERROR(VALUE(SUBSTITUTE(SUBSTITUTE(TRIM(Raw_Data!C391),"₹",""),",","")),"")</f>
        <v>399</v>
      </c>
      <c r="E391" s="11">
        <f>IFERROR(VALUE(SUBSTITUTE(SUBSTITUTE(TRIM(Raw_Data!D391),"₹",""),",","")),"")</f>
        <v>699</v>
      </c>
      <c r="F391" s="12">
        <f>IFERROR(VALUE(SUBSTITUTE(Raw_Data!E391,"%",""))/100,"")</f>
        <v>0.43</v>
      </c>
      <c r="G391" s="13">
        <f>IFERROR(VALUE(Raw_Data!F391),"")</f>
        <v>4</v>
      </c>
      <c r="H391" s="14">
        <f>IFERROR(VALUE(SUBSTITUTE(Raw_Data!G391,",","")),"")</f>
        <v>37817</v>
      </c>
      <c r="I391" s="11">
        <f t="shared" si="24"/>
        <v>300</v>
      </c>
      <c r="J391" s="11">
        <f t="shared" si="25"/>
        <v>15088983</v>
      </c>
      <c r="K391" s="1">
        <f t="shared" si="26"/>
        <v>37817.000039099999</v>
      </c>
      <c r="L391" s="15">
        <f t="shared" si="27"/>
        <v>0.43003910000000001</v>
      </c>
    </row>
    <row r="392" spans="1:12" ht="15" customHeight="1" x14ac:dyDescent="0.25">
      <c r="A392" s="10" t="str">
        <f>Raw_Data!A392</f>
        <v>Noise ColorFit Pulse Grand Smart Watch with 1.69" HD Display, 60 Sports Modes, 150 Watch Faces, Spo2 Monitoring, Call Notification, Quick Replies to Text &amp; Calls (Rose Pink)</v>
      </c>
      <c r="B392" s="10" t="str">
        <f>IFERROR(TRIM(LEFT(Raw_Data!A392,FIND(" ",Raw_Data!A392)-1)),Raw_Data!A392)</f>
        <v>Noise</v>
      </c>
      <c r="C392" s="10" t="str">
        <f>IFERROR(LEFT(Raw_Data!B392,FIND("|",Raw_Data!B392)-1),Raw_Data!B392)</f>
        <v>Electronics</v>
      </c>
      <c r="D392" s="11">
        <f>IFERROR(VALUE(SUBSTITUTE(SUBSTITUTE(TRIM(Raw_Data!C392),"₹",""),",","")),"")</f>
        <v>1999</v>
      </c>
      <c r="E392" s="11">
        <f>IFERROR(VALUE(SUBSTITUTE(SUBSTITUTE(TRIM(Raw_Data!D392),"₹",""),",","")),"")</f>
        <v>3990</v>
      </c>
      <c r="F392" s="12">
        <f>IFERROR(VALUE(SUBSTITUTE(Raw_Data!E392,"%",""))/100,"")</f>
        <v>0.5</v>
      </c>
      <c r="G392" s="13">
        <f>IFERROR(VALUE(Raw_Data!F392),"")</f>
        <v>4</v>
      </c>
      <c r="H392" s="14">
        <f>IFERROR(VALUE(SUBSTITUTE(Raw_Data!G392,",","")),"")</f>
        <v>30254</v>
      </c>
      <c r="I392" s="11">
        <f t="shared" si="24"/>
        <v>1991</v>
      </c>
      <c r="J392" s="11">
        <f t="shared" si="25"/>
        <v>60477746</v>
      </c>
      <c r="K392" s="1">
        <f t="shared" si="26"/>
        <v>30254.0000392</v>
      </c>
      <c r="L392" s="15">
        <f t="shared" si="27"/>
        <v>0.50003920000000002</v>
      </c>
    </row>
    <row r="393" spans="1:12" ht="15" customHeight="1" x14ac:dyDescent="0.25">
      <c r="A393" s="10" t="str">
        <f>Raw_Data!A393</f>
        <v>boAt Wave Call Smart Watch, Smart Talk with Advanced Dedicated Bluetooth Calling Chip, 1.69” HD Display with 550 NITS &amp; 70% Color Gamut, 150+ Watch Faces, Multi-Sport Modes, HR, SpO2, IP68(Mauve)</v>
      </c>
      <c r="B393" s="10" t="str">
        <f>IFERROR(TRIM(LEFT(Raw_Data!A393,FIND(" ",Raw_Data!A393)-1)),Raw_Data!A393)</f>
        <v>boAt</v>
      </c>
      <c r="C393" s="10" t="str">
        <f>IFERROR(LEFT(Raw_Data!B393,FIND("|",Raw_Data!B393)-1),Raw_Data!B393)</f>
        <v>Electronics</v>
      </c>
      <c r="D393" s="11">
        <f>IFERROR(VALUE(SUBSTITUTE(SUBSTITUTE(TRIM(Raw_Data!C393),"₹",""),",","")),"")</f>
        <v>1999</v>
      </c>
      <c r="E393" s="11">
        <f>IFERROR(VALUE(SUBSTITUTE(SUBSTITUTE(TRIM(Raw_Data!D393),"₹",""),",","")),"")</f>
        <v>7990</v>
      </c>
      <c r="F393" s="12">
        <f>IFERROR(VALUE(SUBSTITUTE(Raw_Data!E393,"%",""))/100,"")</f>
        <v>0.75</v>
      </c>
      <c r="G393" s="13">
        <f>IFERROR(VALUE(Raw_Data!F393),"")</f>
        <v>3.8</v>
      </c>
      <c r="H393" s="14">
        <f>IFERROR(VALUE(SUBSTITUTE(Raw_Data!G393,",","")),"")</f>
        <v>17831</v>
      </c>
      <c r="I393" s="11">
        <f t="shared" si="24"/>
        <v>5991</v>
      </c>
      <c r="J393" s="11">
        <f t="shared" si="25"/>
        <v>35644169</v>
      </c>
      <c r="K393" s="1">
        <f t="shared" si="26"/>
        <v>17831.000039300001</v>
      </c>
      <c r="L393" s="15">
        <f t="shared" si="27"/>
        <v>0.75003929999999996</v>
      </c>
    </row>
    <row r="394" spans="1:12" ht="15" customHeight="1" x14ac:dyDescent="0.25">
      <c r="A394" s="10" t="str">
        <f>Raw_Data!A394</f>
        <v>boAt Deuce USB 300 2 in 1 Type-C &amp; Micro USB Stress Resistant, Tangle-Free, Sturdy Cable with 3A Fast Charging &amp; 480mbps Data Transmission, 10000+ Bends Lifespan and Extended 1.5m Length(Martian Red)</v>
      </c>
      <c r="B394" s="10" t="str">
        <f>IFERROR(TRIM(LEFT(Raw_Data!A394,FIND(" ",Raw_Data!A394)-1)),Raw_Data!A394)</f>
        <v>boAt</v>
      </c>
      <c r="C394" s="10" t="str">
        <f>IFERROR(LEFT(Raw_Data!B394,FIND("|",Raw_Data!B394)-1),Raw_Data!B394)</f>
        <v>Computers&amp;Accessories</v>
      </c>
      <c r="D394" s="11">
        <f>IFERROR(VALUE(SUBSTITUTE(SUBSTITUTE(TRIM(Raw_Data!C394),"₹",""),",","")),"")</f>
        <v>329</v>
      </c>
      <c r="E394" s="11">
        <f>IFERROR(VALUE(SUBSTITUTE(SUBSTITUTE(TRIM(Raw_Data!D394),"₹",""),",","")),"")</f>
        <v>699</v>
      </c>
      <c r="F394" s="12">
        <f>IFERROR(VALUE(SUBSTITUTE(Raw_Data!E394,"%",""))/100,"")</f>
        <v>0.53</v>
      </c>
      <c r="G394" s="13">
        <f>IFERROR(VALUE(Raw_Data!F394),"")</f>
        <v>4.2</v>
      </c>
      <c r="H394" s="14">
        <f>IFERROR(VALUE(SUBSTITUTE(Raw_Data!G394,",","")),"")</f>
        <v>94364</v>
      </c>
      <c r="I394" s="11">
        <f t="shared" si="24"/>
        <v>370</v>
      </c>
      <c r="J394" s="11">
        <f t="shared" si="25"/>
        <v>31045756</v>
      </c>
      <c r="K394" s="1">
        <f t="shared" si="26"/>
        <v>94364.000039399994</v>
      </c>
      <c r="L394" s="15">
        <f t="shared" si="27"/>
        <v>0.53003940000000005</v>
      </c>
    </row>
    <row r="395" spans="1:12" ht="15" customHeight="1" x14ac:dyDescent="0.25">
      <c r="A395" s="10" t="str">
        <f>Raw_Data!A395</f>
        <v>Portronics Konnect L 1.2M Fast Charging 3A 8 Pin USB Cable with Charge &amp; Sync Function for iPhone, iPad (Grey)</v>
      </c>
      <c r="B395" s="10" t="str">
        <f>IFERROR(TRIM(LEFT(Raw_Data!A395,FIND(" ",Raw_Data!A395)-1)),Raw_Data!A395)</f>
        <v>Portronics</v>
      </c>
      <c r="C395" s="10" t="str">
        <f>IFERROR(LEFT(Raw_Data!B395,FIND("|",Raw_Data!B395)-1),Raw_Data!B395)</f>
        <v>Computers&amp;Accessories</v>
      </c>
      <c r="D395" s="11">
        <f>IFERROR(VALUE(SUBSTITUTE(SUBSTITUTE(TRIM(Raw_Data!C395),"₹",""),",","")),"")</f>
        <v>154</v>
      </c>
      <c r="E395" s="11">
        <f>IFERROR(VALUE(SUBSTITUTE(SUBSTITUTE(TRIM(Raw_Data!D395),"₹",""),",","")),"")</f>
        <v>399</v>
      </c>
      <c r="F395" s="12">
        <f>IFERROR(VALUE(SUBSTITUTE(Raw_Data!E395,"%",""))/100,"")</f>
        <v>0.61</v>
      </c>
      <c r="G395" s="13">
        <f>IFERROR(VALUE(Raw_Data!F395),"")</f>
        <v>4.2</v>
      </c>
      <c r="H395" s="14">
        <f>IFERROR(VALUE(SUBSTITUTE(Raw_Data!G395,",","")),"")</f>
        <v>16905</v>
      </c>
      <c r="I395" s="11">
        <f t="shared" si="24"/>
        <v>245</v>
      </c>
      <c r="J395" s="11">
        <f t="shared" si="25"/>
        <v>2603370</v>
      </c>
      <c r="K395" s="1">
        <f t="shared" si="26"/>
        <v>16905.000039499999</v>
      </c>
      <c r="L395" s="15">
        <f t="shared" si="27"/>
        <v>0.61003949999999996</v>
      </c>
    </row>
    <row r="396" spans="1:12" ht="15" customHeight="1" x14ac:dyDescent="0.25">
      <c r="A396" s="10" t="str">
        <f>Raw_Data!A396</f>
        <v>iQOO Neo 6 5G (Dark Nova, 8GB RAM, 128GB Storage) | Snapdragon® 870 5G | 80W FlashCharge</v>
      </c>
      <c r="B396" s="10" t="str">
        <f>IFERROR(TRIM(LEFT(Raw_Data!A396,FIND(" ",Raw_Data!A396)-1)),Raw_Data!A396)</f>
        <v>iQOO</v>
      </c>
      <c r="C396" s="10" t="str">
        <f>IFERROR(LEFT(Raw_Data!B396,FIND("|",Raw_Data!B396)-1),Raw_Data!B396)</f>
        <v>Electronics</v>
      </c>
      <c r="D396" s="11">
        <f>IFERROR(VALUE(SUBSTITUTE(SUBSTITUTE(TRIM(Raw_Data!C396),"₹",""),",","")),"")</f>
        <v>28999</v>
      </c>
      <c r="E396" s="11">
        <f>IFERROR(VALUE(SUBSTITUTE(SUBSTITUTE(TRIM(Raw_Data!D396),"₹",""),",","")),"")</f>
        <v>34999</v>
      </c>
      <c r="F396" s="12">
        <f>IFERROR(VALUE(SUBSTITUTE(Raw_Data!E396,"%",""))/100,"")</f>
        <v>0.17</v>
      </c>
      <c r="G396" s="13">
        <f>IFERROR(VALUE(Raw_Data!F396),"")</f>
        <v>4.4000000000000004</v>
      </c>
      <c r="H396" s="14">
        <f>IFERROR(VALUE(SUBSTITUTE(Raw_Data!G396,",","")),"")</f>
        <v>20311</v>
      </c>
      <c r="I396" s="11">
        <f t="shared" si="24"/>
        <v>6000</v>
      </c>
      <c r="J396" s="11">
        <f t="shared" si="25"/>
        <v>588998689</v>
      </c>
      <c r="K396" s="1">
        <f t="shared" si="26"/>
        <v>20311.0000396</v>
      </c>
      <c r="L396" s="15">
        <f t="shared" si="27"/>
        <v>0.17003960000000001</v>
      </c>
    </row>
    <row r="397" spans="1:12" ht="15" customHeight="1" x14ac:dyDescent="0.25">
      <c r="A397" s="10" t="str">
        <f>Raw_Data!A397</f>
        <v>boAt Xtend Smartwatch with Alexa Built-in, 1.69” HD Display, Multiple Watch Faces, Stress Monitor, Heart &amp; SpO2 Monitoring, 14 Sports Modes, Sleep Monitor, 5 ATM &amp; 7 Days Battery(Charcoal Black)</v>
      </c>
      <c r="B397" s="10" t="str">
        <f>IFERROR(TRIM(LEFT(Raw_Data!A397,FIND(" ",Raw_Data!A397)-1)),Raw_Data!A397)</f>
        <v>boAt</v>
      </c>
      <c r="C397" s="10" t="str">
        <f>IFERROR(LEFT(Raw_Data!B397,FIND("|",Raw_Data!B397)-1),Raw_Data!B397)</f>
        <v>Electronics</v>
      </c>
      <c r="D397" s="11">
        <f>IFERROR(VALUE(SUBSTITUTE(SUBSTITUTE(TRIM(Raw_Data!C397),"₹",""),",","")),"")</f>
        <v>2299</v>
      </c>
      <c r="E397" s="11">
        <f>IFERROR(VALUE(SUBSTITUTE(SUBSTITUTE(TRIM(Raw_Data!D397),"₹",""),",","")),"")</f>
        <v>7990</v>
      </c>
      <c r="F397" s="12">
        <f>IFERROR(VALUE(SUBSTITUTE(Raw_Data!E397,"%",""))/100,"")</f>
        <v>0.71</v>
      </c>
      <c r="G397" s="13">
        <f>IFERROR(VALUE(Raw_Data!F397),"")</f>
        <v>4.2</v>
      </c>
      <c r="H397" s="14">
        <f>IFERROR(VALUE(SUBSTITUTE(Raw_Data!G397,",","")),"")</f>
        <v>69622</v>
      </c>
      <c r="I397" s="11">
        <f t="shared" si="24"/>
        <v>5691</v>
      </c>
      <c r="J397" s="11">
        <f t="shared" si="25"/>
        <v>160060978</v>
      </c>
      <c r="K397" s="1">
        <f t="shared" si="26"/>
        <v>69622.000039699997</v>
      </c>
      <c r="L397" s="15">
        <f t="shared" si="27"/>
        <v>0.71003969999999994</v>
      </c>
    </row>
    <row r="398" spans="1:12" ht="15" customHeight="1" x14ac:dyDescent="0.25">
      <c r="A398" s="10" t="str">
        <f>Raw_Data!A398</f>
        <v>Tygot Bluetooth Extendable Selfie Sticks with Wireless Remote and Tripod Stand, 3-in-1 Multifunctional Selfie Stick with Tripod Stand Compatible with iPhone/OnePlus/Samsung/Oppo/Vivo and All Phones</v>
      </c>
      <c r="B398" s="10" t="str">
        <f>IFERROR(TRIM(LEFT(Raw_Data!A398,FIND(" ",Raw_Data!A398)-1)),Raw_Data!A398)</f>
        <v>Tygot</v>
      </c>
      <c r="C398" s="10" t="str">
        <f>IFERROR(LEFT(Raw_Data!B398,FIND("|",Raw_Data!B398)-1),Raw_Data!B398)</f>
        <v>Electronics</v>
      </c>
      <c r="D398" s="11">
        <f>IFERROR(VALUE(SUBSTITUTE(SUBSTITUTE(TRIM(Raw_Data!C398),"₹",""),",","")),"")</f>
        <v>399</v>
      </c>
      <c r="E398" s="11">
        <f>IFERROR(VALUE(SUBSTITUTE(SUBSTITUTE(TRIM(Raw_Data!D398),"₹",""),",","")),"")</f>
        <v>1999</v>
      </c>
      <c r="F398" s="12">
        <f>IFERROR(VALUE(SUBSTITUTE(Raw_Data!E398,"%",""))/100,"")</f>
        <v>0.8</v>
      </c>
      <c r="G398" s="13">
        <f>IFERROR(VALUE(Raw_Data!F398),"")</f>
        <v>4</v>
      </c>
      <c r="H398" s="14">
        <f>IFERROR(VALUE(SUBSTITUTE(Raw_Data!G398,",","")),"")</f>
        <v>3382</v>
      </c>
      <c r="I398" s="11">
        <f t="shared" si="24"/>
        <v>1600</v>
      </c>
      <c r="J398" s="11">
        <f t="shared" si="25"/>
        <v>1349418</v>
      </c>
      <c r="K398" s="1">
        <f t="shared" si="26"/>
        <v>3382.0000398000002</v>
      </c>
      <c r="L398" s="15">
        <f t="shared" si="27"/>
        <v>0.80003980000000008</v>
      </c>
    </row>
    <row r="399" spans="1:12" ht="15" customHeight="1" x14ac:dyDescent="0.25">
      <c r="A399" s="10" t="str">
        <f>Raw_Data!A399</f>
        <v>Samsung EVO Plus 128GB microSDXC UHS-I U3 130MB/s Full HD &amp; 4K UHD Memory Card with Adapter (MB-MC128KA), Blue</v>
      </c>
      <c r="B399" s="10" t="str">
        <f>IFERROR(TRIM(LEFT(Raw_Data!A399,FIND(" ",Raw_Data!A399)-1)),Raw_Data!A399)</f>
        <v>Samsung</v>
      </c>
      <c r="C399" s="10" t="str">
        <f>IFERROR(LEFT(Raw_Data!B399,FIND("|",Raw_Data!B399)-1),Raw_Data!B399)</f>
        <v>Electronics</v>
      </c>
      <c r="D399" s="11">
        <f>IFERROR(VALUE(SUBSTITUTE(SUBSTITUTE(TRIM(Raw_Data!C399),"₹",""),",","")),"")</f>
        <v>1149</v>
      </c>
      <c r="E399" s="11">
        <f>IFERROR(VALUE(SUBSTITUTE(SUBSTITUTE(TRIM(Raw_Data!D399),"₹",""),",","")),"")</f>
        <v>3999</v>
      </c>
      <c r="F399" s="12">
        <f>IFERROR(VALUE(SUBSTITUTE(Raw_Data!E399,"%",""))/100,"")</f>
        <v>0.71</v>
      </c>
      <c r="G399" s="13">
        <f>IFERROR(VALUE(Raw_Data!F399),"")</f>
        <v>4.3</v>
      </c>
      <c r="H399" s="14">
        <f>IFERROR(VALUE(SUBSTITUTE(Raw_Data!G399,",","")),"")</f>
        <v>140036</v>
      </c>
      <c r="I399" s="11">
        <f t="shared" si="24"/>
        <v>2850</v>
      </c>
      <c r="J399" s="11">
        <f t="shared" si="25"/>
        <v>160901364</v>
      </c>
      <c r="K399" s="1">
        <f t="shared" si="26"/>
        <v>140036.00003990001</v>
      </c>
      <c r="L399" s="15">
        <f t="shared" si="27"/>
        <v>0.71003989999999995</v>
      </c>
    </row>
    <row r="400" spans="1:12" ht="15" customHeight="1" x14ac:dyDescent="0.25">
      <c r="A400" s="10" t="str">
        <f>Raw_Data!A400</f>
        <v>Portronics Adapto 20 Type C 20W Fast PD/Type C Adapter Charger with Fast Charging for iPhone 12/12 Pro/12 Mini/12 Pro Max/11/XS/XR/X/8/Plus, iPad Pro/Air/Mini, Galaxy 10/9/8 (Adapter Only) White</v>
      </c>
      <c r="B400" s="10" t="str">
        <f>IFERROR(TRIM(LEFT(Raw_Data!A400,FIND(" ",Raw_Data!A400)-1)),Raw_Data!A400)</f>
        <v>Portronics</v>
      </c>
      <c r="C400" s="10" t="str">
        <f>IFERROR(LEFT(Raw_Data!B400,FIND("|",Raw_Data!B400)-1),Raw_Data!B400)</f>
        <v>Electronics</v>
      </c>
      <c r="D400" s="11">
        <f>IFERROR(VALUE(SUBSTITUTE(SUBSTITUTE(TRIM(Raw_Data!C400),"₹",""),",","")),"")</f>
        <v>529</v>
      </c>
      <c r="E400" s="11">
        <f>IFERROR(VALUE(SUBSTITUTE(SUBSTITUTE(TRIM(Raw_Data!D400),"₹",""),",","")),"")</f>
        <v>1499</v>
      </c>
      <c r="F400" s="12">
        <f>IFERROR(VALUE(SUBSTITUTE(Raw_Data!E400,"%",""))/100,"")</f>
        <v>0.65</v>
      </c>
      <c r="G400" s="13">
        <f>IFERROR(VALUE(Raw_Data!F400),"")</f>
        <v>4.0999999999999996</v>
      </c>
      <c r="H400" s="14">
        <f>IFERROR(VALUE(SUBSTITUTE(Raw_Data!G400,",","")),"")</f>
        <v>8599</v>
      </c>
      <c r="I400" s="11">
        <f t="shared" si="24"/>
        <v>970</v>
      </c>
      <c r="J400" s="11">
        <f t="shared" si="25"/>
        <v>4548871</v>
      </c>
      <c r="K400" s="1">
        <f t="shared" si="26"/>
        <v>8599.0000400000008</v>
      </c>
      <c r="L400" s="15">
        <f t="shared" si="27"/>
        <v>0.65004000000000006</v>
      </c>
    </row>
    <row r="401" spans="1:12" ht="15" customHeight="1" x14ac:dyDescent="0.25">
      <c r="A401" s="10" t="str">
        <f>Raw_Data!A401</f>
        <v>Samsung Galaxy M13 5G (Aqua Green, 6GB, 128GB Storage) | 5000mAh Battery | Upto 12GB RAM with RAM Plus</v>
      </c>
      <c r="B401" s="10" t="str">
        <f>IFERROR(TRIM(LEFT(Raw_Data!A401,FIND(" ",Raw_Data!A401)-1)),Raw_Data!A401)</f>
        <v>Samsung</v>
      </c>
      <c r="C401" s="10" t="str">
        <f>IFERROR(LEFT(Raw_Data!B401,FIND("|",Raw_Data!B401)-1),Raw_Data!B401)</f>
        <v>Electronics</v>
      </c>
      <c r="D401" s="11">
        <f>IFERROR(VALUE(SUBSTITUTE(SUBSTITUTE(TRIM(Raw_Data!C401),"₹",""),",","")),"")</f>
        <v>13999</v>
      </c>
      <c r="E401" s="11">
        <f>IFERROR(VALUE(SUBSTITUTE(SUBSTITUTE(TRIM(Raw_Data!D401),"₹",""),",","")),"")</f>
        <v>19499</v>
      </c>
      <c r="F401" s="12">
        <f>IFERROR(VALUE(SUBSTITUTE(Raw_Data!E401,"%",""))/100,"")</f>
        <v>0.28000000000000003</v>
      </c>
      <c r="G401" s="13">
        <f>IFERROR(VALUE(Raw_Data!F401),"")</f>
        <v>4.0999999999999996</v>
      </c>
      <c r="H401" s="14">
        <f>IFERROR(VALUE(SUBSTITUTE(Raw_Data!G401,",","")),"")</f>
        <v>18998</v>
      </c>
      <c r="I401" s="11">
        <f t="shared" si="24"/>
        <v>5500</v>
      </c>
      <c r="J401" s="11">
        <f t="shared" si="25"/>
        <v>265953002</v>
      </c>
      <c r="K401" s="1">
        <f t="shared" si="26"/>
        <v>18998.0000401</v>
      </c>
      <c r="L401" s="15">
        <f t="shared" si="27"/>
        <v>0.28004010000000001</v>
      </c>
    </row>
    <row r="402" spans="1:12" ht="15" customHeight="1" x14ac:dyDescent="0.25">
      <c r="A402" s="10" t="str">
        <f>Raw_Data!A402</f>
        <v>boAt Bassheads 100 in Ear Wired Earphones with Mic(Furious Red)</v>
      </c>
      <c r="B402" s="10" t="str">
        <f>IFERROR(TRIM(LEFT(Raw_Data!A402,FIND(" ",Raw_Data!A402)-1)),Raw_Data!A402)</f>
        <v>boAt</v>
      </c>
      <c r="C402" s="10" t="str">
        <f>IFERROR(LEFT(Raw_Data!B402,FIND("|",Raw_Data!B402)-1),Raw_Data!B402)</f>
        <v>Electronics</v>
      </c>
      <c r="D402" s="11">
        <f>IFERROR(VALUE(SUBSTITUTE(SUBSTITUTE(TRIM(Raw_Data!C402),"₹",""),",","")),"")</f>
        <v>379</v>
      </c>
      <c r="E402" s="11">
        <f>IFERROR(VALUE(SUBSTITUTE(SUBSTITUTE(TRIM(Raw_Data!D402),"₹",""),",","")),"")</f>
        <v>999</v>
      </c>
      <c r="F402" s="12">
        <f>IFERROR(VALUE(SUBSTITUTE(Raw_Data!E402,"%",""))/100,"")</f>
        <v>0.62</v>
      </c>
      <c r="G402" s="13">
        <f>IFERROR(VALUE(Raw_Data!F402),"")</f>
        <v>4.0999999999999996</v>
      </c>
      <c r="H402" s="14">
        <f>IFERROR(VALUE(SUBSTITUTE(Raw_Data!G402,",","")),"")</f>
        <v>363713</v>
      </c>
      <c r="I402" s="11">
        <f t="shared" si="24"/>
        <v>620</v>
      </c>
      <c r="J402" s="11">
        <f t="shared" si="25"/>
        <v>137847227</v>
      </c>
      <c r="K402" s="1">
        <f t="shared" si="26"/>
        <v>363713.00004020002</v>
      </c>
      <c r="L402" s="15">
        <f t="shared" si="27"/>
        <v>0.62004020000000004</v>
      </c>
    </row>
    <row r="403" spans="1:12" ht="15" customHeight="1" x14ac:dyDescent="0.25">
      <c r="A403" s="10" t="str">
        <f>Raw_Data!A403</f>
        <v>iQOO Z6 44W by vivo (Lumina Blue, 4GB RAM, 128GB Storage) | 6.44" FHD+ AMOLED Display | 50% Charge in just 27 mins | in-Display Fingerprint Scanning</v>
      </c>
      <c r="B403" s="10" t="str">
        <f>IFERROR(TRIM(LEFT(Raw_Data!A403,FIND(" ",Raw_Data!A403)-1)),Raw_Data!A403)</f>
        <v>iQOO</v>
      </c>
      <c r="C403" s="10" t="str">
        <f>IFERROR(LEFT(Raw_Data!B403,FIND("|",Raw_Data!B403)-1),Raw_Data!B403)</f>
        <v>Electronics</v>
      </c>
      <c r="D403" s="11">
        <f>IFERROR(VALUE(SUBSTITUTE(SUBSTITUTE(TRIM(Raw_Data!C403),"₹",""),",","")),"")</f>
        <v>13999</v>
      </c>
      <c r="E403" s="11">
        <f>IFERROR(VALUE(SUBSTITUTE(SUBSTITUTE(TRIM(Raw_Data!D403),"₹",""),",","")),"")</f>
        <v>19999</v>
      </c>
      <c r="F403" s="12">
        <f>IFERROR(VALUE(SUBSTITUTE(Raw_Data!E403,"%",""))/100,"")</f>
        <v>0.3</v>
      </c>
      <c r="G403" s="13">
        <f>IFERROR(VALUE(Raw_Data!F403),"")</f>
        <v>4.0999999999999996</v>
      </c>
      <c r="H403" s="14">
        <f>IFERROR(VALUE(SUBSTITUTE(Raw_Data!G403,",","")),"")</f>
        <v>19252</v>
      </c>
      <c r="I403" s="11">
        <f t="shared" si="24"/>
        <v>6000</v>
      </c>
      <c r="J403" s="11">
        <f t="shared" si="25"/>
        <v>269508748</v>
      </c>
      <c r="K403" s="1">
        <f t="shared" si="26"/>
        <v>19252.000040300001</v>
      </c>
      <c r="L403" s="15">
        <f t="shared" si="27"/>
        <v>0.30004029999999998</v>
      </c>
    </row>
    <row r="404" spans="1:12" ht="15" customHeight="1" x14ac:dyDescent="0.25">
      <c r="A404" s="10" t="str">
        <f>Raw_Data!A404</f>
        <v>Fire-Boltt Gladiator 1.96" Biggest Display Smart Watch with Bluetooth Calling, Voice Assistant &amp;123 Sports Modes, 8 Unique UI Interactions, SpO2, 24/7 Heart Rate Tracking</v>
      </c>
      <c r="B404" s="10" t="str">
        <f>IFERROR(TRIM(LEFT(Raw_Data!A404,FIND(" ",Raw_Data!A404)-1)),Raw_Data!A404)</f>
        <v>Fire-Boltt</v>
      </c>
      <c r="C404" s="10" t="str">
        <f>IFERROR(LEFT(Raw_Data!B404,FIND("|",Raw_Data!B404)-1),Raw_Data!B404)</f>
        <v>Electronics</v>
      </c>
      <c r="D404" s="11">
        <f>IFERROR(VALUE(SUBSTITUTE(SUBSTITUTE(TRIM(Raw_Data!C404),"₹",""),",","")),"")</f>
        <v>3999</v>
      </c>
      <c r="E404" s="11">
        <f>IFERROR(VALUE(SUBSTITUTE(SUBSTITUTE(TRIM(Raw_Data!D404),"₹",""),",","")),"")</f>
        <v>9999</v>
      </c>
      <c r="F404" s="12">
        <f>IFERROR(VALUE(SUBSTITUTE(Raw_Data!E404,"%",""))/100,"")</f>
        <v>0.6</v>
      </c>
      <c r="G404" s="13">
        <f>IFERROR(VALUE(Raw_Data!F404),"")</f>
        <v>4.4000000000000004</v>
      </c>
      <c r="H404" s="14">
        <f>IFERROR(VALUE(SUBSTITUTE(Raw_Data!G404,",","")),"")</f>
        <v>73</v>
      </c>
      <c r="I404" s="11">
        <f t="shared" si="24"/>
        <v>6000</v>
      </c>
      <c r="J404" s="11">
        <f t="shared" si="25"/>
        <v>291927</v>
      </c>
      <c r="K404" s="1">
        <f t="shared" si="26"/>
        <v>73.000040400000003</v>
      </c>
      <c r="L404" s="15">
        <f t="shared" si="27"/>
        <v>0.60004040000000003</v>
      </c>
    </row>
    <row r="405" spans="1:12" ht="15" customHeight="1" x14ac:dyDescent="0.25">
      <c r="A405" s="10" t="str">
        <f>Raw_Data!A405</f>
        <v>pTron Solero TB301 3A Type-C Data and Fast Charging Cable, Made in India, 480Mbps Data Sync, Strong and Durable 1.5-Meter Nylon Braided USB Cable for Type-C Devices for Charging Adapter (Black)</v>
      </c>
      <c r="B405" s="10" t="str">
        <f>IFERROR(TRIM(LEFT(Raw_Data!A405,FIND(" ",Raw_Data!A405)-1)),Raw_Data!A405)</f>
        <v>pTron</v>
      </c>
      <c r="C405" s="10" t="str">
        <f>IFERROR(LEFT(Raw_Data!B405,FIND("|",Raw_Data!B405)-1),Raw_Data!B405)</f>
        <v>Computers&amp;Accessories</v>
      </c>
      <c r="D405" s="11">
        <f>IFERROR(VALUE(SUBSTITUTE(SUBSTITUTE(TRIM(Raw_Data!C405),"₹",""),",","")),"")</f>
        <v>149</v>
      </c>
      <c r="E405" s="11">
        <f>IFERROR(VALUE(SUBSTITUTE(SUBSTITUTE(TRIM(Raw_Data!D405),"₹",""),",","")),"")</f>
        <v>1000</v>
      </c>
      <c r="F405" s="12">
        <f>IFERROR(VALUE(SUBSTITUTE(Raw_Data!E405,"%",""))/100,"")</f>
        <v>0.85</v>
      </c>
      <c r="G405" s="13">
        <f>IFERROR(VALUE(Raw_Data!F405),"")</f>
        <v>3.9</v>
      </c>
      <c r="H405" s="14">
        <f>IFERROR(VALUE(SUBSTITUTE(Raw_Data!G405,",","")),"")</f>
        <v>24870</v>
      </c>
      <c r="I405" s="11">
        <f t="shared" si="24"/>
        <v>851</v>
      </c>
      <c r="J405" s="11">
        <f t="shared" si="25"/>
        <v>3705630</v>
      </c>
      <c r="K405" s="1">
        <f t="shared" si="26"/>
        <v>24870.000040499999</v>
      </c>
      <c r="L405" s="15">
        <f t="shared" si="27"/>
        <v>0.85004049999999998</v>
      </c>
    </row>
    <row r="406" spans="1:12" ht="15" customHeight="1" x14ac:dyDescent="0.25">
      <c r="A406" s="10" t="str">
        <f>Raw_Data!A406</f>
        <v>STRIFF PS2_01 Multi Angle Mobile/Tablet Tabletop Stand. Phone Holder for iPhone, Android, Samsung, OnePlus, Xiaomi. Portable, Foldable Cell Phone Stand. Perfect for Bed, Office, Home &amp; Desktop (Black)</v>
      </c>
      <c r="B406" s="10" t="str">
        <f>IFERROR(TRIM(LEFT(Raw_Data!A406,FIND(" ",Raw_Data!A406)-1)),Raw_Data!A406)</f>
        <v>STRIFF</v>
      </c>
      <c r="C406" s="10" t="str">
        <f>IFERROR(LEFT(Raw_Data!B406,FIND("|",Raw_Data!B406)-1),Raw_Data!B406)</f>
        <v>Electronics</v>
      </c>
      <c r="D406" s="11">
        <f>IFERROR(VALUE(SUBSTITUTE(SUBSTITUTE(TRIM(Raw_Data!C406),"₹",""),",","")),"")</f>
        <v>99</v>
      </c>
      <c r="E406" s="11">
        <f>IFERROR(VALUE(SUBSTITUTE(SUBSTITUTE(TRIM(Raw_Data!D406),"₹",""),",","")),"")</f>
        <v>499</v>
      </c>
      <c r="F406" s="12">
        <f>IFERROR(VALUE(SUBSTITUTE(Raw_Data!E406,"%",""))/100,"")</f>
        <v>0.8</v>
      </c>
      <c r="G406" s="13">
        <f>IFERROR(VALUE(Raw_Data!F406),"")</f>
        <v>4.3</v>
      </c>
      <c r="H406" s="14">
        <f>IFERROR(VALUE(SUBSTITUTE(Raw_Data!G406,",","")),"")</f>
        <v>42641</v>
      </c>
      <c r="I406" s="11">
        <f t="shared" si="24"/>
        <v>400</v>
      </c>
      <c r="J406" s="11">
        <f t="shared" si="25"/>
        <v>4221459</v>
      </c>
      <c r="K406" s="1">
        <f t="shared" si="26"/>
        <v>42641.000040600004</v>
      </c>
      <c r="L406" s="15">
        <f t="shared" si="27"/>
        <v>0.80004059999999999</v>
      </c>
    </row>
    <row r="407" spans="1:12" ht="15" customHeight="1" x14ac:dyDescent="0.25">
      <c r="A407" s="10" t="str">
        <f>Raw_Data!A407</f>
        <v>Samsung Galaxy Buds Live Bluetooth Truly Wireless in Ear Earbuds with Mic, Upto 21 Hours Playtime, Mystic Black</v>
      </c>
      <c r="B407" s="10" t="str">
        <f>IFERROR(TRIM(LEFT(Raw_Data!A407,FIND(" ",Raw_Data!A407)-1)),Raw_Data!A407)</f>
        <v>Samsung</v>
      </c>
      <c r="C407" s="10" t="str">
        <f>IFERROR(LEFT(Raw_Data!B407,FIND("|",Raw_Data!B407)-1),Raw_Data!B407)</f>
        <v>Electronics</v>
      </c>
      <c r="D407" s="11">
        <f>IFERROR(VALUE(SUBSTITUTE(SUBSTITUTE(TRIM(Raw_Data!C407),"₹",""),",","")),"")</f>
        <v>4790</v>
      </c>
      <c r="E407" s="11">
        <f>IFERROR(VALUE(SUBSTITUTE(SUBSTITUTE(TRIM(Raw_Data!D407),"₹",""),",","")),"")</f>
        <v>15990</v>
      </c>
      <c r="F407" s="12">
        <f>IFERROR(VALUE(SUBSTITUTE(Raw_Data!E407,"%",""))/100,"")</f>
        <v>0.7</v>
      </c>
      <c r="G407" s="13">
        <f>IFERROR(VALUE(Raw_Data!F407),"")</f>
        <v>4</v>
      </c>
      <c r="H407" s="14">
        <f>IFERROR(VALUE(SUBSTITUTE(Raw_Data!G407,",","")),"")</f>
        <v>4390</v>
      </c>
      <c r="I407" s="11">
        <f t="shared" si="24"/>
        <v>11200</v>
      </c>
      <c r="J407" s="11">
        <f t="shared" si="25"/>
        <v>21028100</v>
      </c>
      <c r="K407" s="1">
        <f t="shared" si="26"/>
        <v>4390.0000406999998</v>
      </c>
      <c r="L407" s="15">
        <f t="shared" si="27"/>
        <v>0.70004069999999996</v>
      </c>
    </row>
    <row r="408" spans="1:12" ht="15" customHeight="1" x14ac:dyDescent="0.25">
      <c r="A408" s="10" t="str">
        <f>Raw_Data!A408</f>
        <v>OnePlus Nord 2T 5G (Jade Fog, 12GB RAM, 256GB Storage)</v>
      </c>
      <c r="B408" s="10" t="str">
        <f>IFERROR(TRIM(LEFT(Raw_Data!A408,FIND(" ",Raw_Data!A408)-1)),Raw_Data!A408)</f>
        <v>OnePlus</v>
      </c>
      <c r="C408" s="10" t="str">
        <f>IFERROR(LEFT(Raw_Data!B408,FIND("|",Raw_Data!B408)-1),Raw_Data!B408)</f>
        <v>Electronics</v>
      </c>
      <c r="D408" s="11">
        <f>IFERROR(VALUE(SUBSTITUTE(SUBSTITUTE(TRIM(Raw_Data!C408),"₹",""),",","")),"")</f>
        <v>33999</v>
      </c>
      <c r="E408" s="11">
        <f>IFERROR(VALUE(SUBSTITUTE(SUBSTITUTE(TRIM(Raw_Data!D408),"₹",""),",","")),"")</f>
        <v>33999</v>
      </c>
      <c r="F408" s="12">
        <f>IFERROR(VALUE(SUBSTITUTE(Raw_Data!E408,"%",""))/100,"")</f>
        <v>0</v>
      </c>
      <c r="G408" s="13">
        <f>IFERROR(VALUE(Raw_Data!F408),"")</f>
        <v>4.3</v>
      </c>
      <c r="H408" s="14">
        <f>IFERROR(VALUE(SUBSTITUTE(Raw_Data!G408,",","")),"")</f>
        <v>17415</v>
      </c>
      <c r="I408" s="11">
        <f t="shared" si="24"/>
        <v>0</v>
      </c>
      <c r="J408" s="11">
        <f t="shared" si="25"/>
        <v>592092585</v>
      </c>
      <c r="K408" s="1">
        <f t="shared" si="26"/>
        <v>17415.000040800001</v>
      </c>
      <c r="L408" s="15">
        <f t="shared" si="27"/>
        <v>4.0800000000000002E-5</v>
      </c>
    </row>
    <row r="409" spans="1:12" ht="15" customHeight="1" x14ac:dyDescent="0.25">
      <c r="A409" s="10" t="str">
        <f>Raw_Data!A409</f>
        <v>Sounce Spiral Charger Cable Protector Data Cable Saver Charging Cord Protective Cable Cover Headphone MacBook Laptop Earphone Cell Phone Set of 3 (Cable Protector (12 Units))</v>
      </c>
      <c r="B409" s="10" t="str">
        <f>IFERROR(TRIM(LEFT(Raw_Data!A409,FIND(" ",Raw_Data!A409)-1)),Raw_Data!A409)</f>
        <v>Sounce</v>
      </c>
      <c r="C409" s="10" t="str">
        <f>IFERROR(LEFT(Raw_Data!B409,FIND("|",Raw_Data!B409)-1),Raw_Data!B409)</f>
        <v>Computers&amp;Accessories</v>
      </c>
      <c r="D409" s="11">
        <f>IFERROR(VALUE(SUBSTITUTE(SUBSTITUTE(TRIM(Raw_Data!C409),"₹",""),",","")),"")</f>
        <v>99</v>
      </c>
      <c r="E409" s="11">
        <f>IFERROR(VALUE(SUBSTITUTE(SUBSTITUTE(TRIM(Raw_Data!D409),"₹",""),",","")),"")</f>
        <v>999</v>
      </c>
      <c r="F409" s="12">
        <f>IFERROR(VALUE(SUBSTITUTE(Raw_Data!E409,"%",""))/100,"")</f>
        <v>0.9</v>
      </c>
      <c r="G409" s="13">
        <f>IFERROR(VALUE(Raw_Data!F409),"")</f>
        <v>4</v>
      </c>
      <c r="H409" s="14">
        <f>IFERROR(VALUE(SUBSTITUTE(Raw_Data!G409,",","")),"")</f>
        <v>1396</v>
      </c>
      <c r="I409" s="11">
        <f t="shared" si="24"/>
        <v>900</v>
      </c>
      <c r="J409" s="11">
        <f t="shared" si="25"/>
        <v>138204</v>
      </c>
      <c r="K409" s="1">
        <f t="shared" si="26"/>
        <v>1396.0000408999999</v>
      </c>
      <c r="L409" s="15">
        <f t="shared" si="27"/>
        <v>0.90004090000000003</v>
      </c>
    </row>
    <row r="410" spans="1:12" ht="15" customHeight="1" x14ac:dyDescent="0.25">
      <c r="A410" s="10" t="str">
        <f>Raw_Data!A410</f>
        <v>PTron Boom Ultima 4D Dual Driver, in-Ear Gaming Wired Headphones with in-line Mic, Volume Control &amp; Passive Noise Cancelling Boom 3 Earphones - (Dark Blue)</v>
      </c>
      <c r="B410" s="10" t="str">
        <f>IFERROR(TRIM(LEFT(Raw_Data!A410,FIND(" ",Raw_Data!A410)-1)),Raw_Data!A410)</f>
        <v>PTron</v>
      </c>
      <c r="C410" s="10" t="str">
        <f>IFERROR(LEFT(Raw_Data!B410,FIND("|",Raw_Data!B410)-1),Raw_Data!B410)</f>
        <v>Electronics</v>
      </c>
      <c r="D410" s="11">
        <f>IFERROR(VALUE(SUBSTITUTE(SUBSTITUTE(TRIM(Raw_Data!C410),"₹",""),",","")),"")</f>
        <v>299</v>
      </c>
      <c r="E410" s="11">
        <f>IFERROR(VALUE(SUBSTITUTE(SUBSTITUTE(TRIM(Raw_Data!D410),"₹",""),",","")),"")</f>
        <v>1900</v>
      </c>
      <c r="F410" s="12">
        <f>IFERROR(VALUE(SUBSTITUTE(Raw_Data!E410,"%",""))/100,"")</f>
        <v>0.84</v>
      </c>
      <c r="G410" s="13">
        <f>IFERROR(VALUE(Raw_Data!F410),"")</f>
        <v>3.6</v>
      </c>
      <c r="H410" s="14">
        <f>IFERROR(VALUE(SUBSTITUTE(Raw_Data!G410,",","")),"")</f>
        <v>18202</v>
      </c>
      <c r="I410" s="11">
        <f t="shared" si="24"/>
        <v>1601</v>
      </c>
      <c r="J410" s="11">
        <f t="shared" si="25"/>
        <v>5442398</v>
      </c>
      <c r="K410" s="1">
        <f t="shared" si="26"/>
        <v>18202.000040999999</v>
      </c>
      <c r="L410" s="15">
        <f t="shared" si="27"/>
        <v>0.84004099999999993</v>
      </c>
    </row>
    <row r="411" spans="1:12" ht="15" customHeight="1" x14ac:dyDescent="0.25">
      <c r="A411" s="10" t="str">
        <f>Raw_Data!A411</f>
        <v>Samsung Galaxy M13 (Aqua Green, 4GB, 64GB Storage) | 6000mAh Battery | Upto 8GB RAM with RAM Plus</v>
      </c>
      <c r="B411" s="10" t="str">
        <f>IFERROR(TRIM(LEFT(Raw_Data!A411,FIND(" ",Raw_Data!A411)-1)),Raw_Data!A411)</f>
        <v>Samsung</v>
      </c>
      <c r="C411" s="10" t="str">
        <f>IFERROR(LEFT(Raw_Data!B411,FIND("|",Raw_Data!B411)-1),Raw_Data!B411)</f>
        <v>Electronics</v>
      </c>
      <c r="D411" s="11">
        <f>IFERROR(VALUE(SUBSTITUTE(SUBSTITUTE(TRIM(Raw_Data!C411),"₹",""),",","")),"")</f>
        <v>10999</v>
      </c>
      <c r="E411" s="11">
        <f>IFERROR(VALUE(SUBSTITUTE(SUBSTITUTE(TRIM(Raw_Data!D411),"₹",""),",","")),"")</f>
        <v>14999</v>
      </c>
      <c r="F411" s="12">
        <f>IFERROR(VALUE(SUBSTITUTE(Raw_Data!E411,"%",""))/100,"")</f>
        <v>0.27</v>
      </c>
      <c r="G411" s="13">
        <f>IFERROR(VALUE(Raw_Data!F411),"")</f>
        <v>4.0999999999999996</v>
      </c>
      <c r="H411" s="14">
        <f>IFERROR(VALUE(SUBSTITUTE(Raw_Data!G411,",","")),"")</f>
        <v>18998</v>
      </c>
      <c r="I411" s="11">
        <f t="shared" si="24"/>
        <v>4000</v>
      </c>
      <c r="J411" s="11">
        <f t="shared" si="25"/>
        <v>208959002</v>
      </c>
      <c r="K411" s="1">
        <f t="shared" si="26"/>
        <v>18998.0000411</v>
      </c>
      <c r="L411" s="15">
        <f t="shared" si="27"/>
        <v>0.27004110000000003</v>
      </c>
    </row>
    <row r="412" spans="1:12" ht="15" customHeight="1" x14ac:dyDescent="0.25">
      <c r="A412" s="10" t="str">
        <f>Raw_Data!A412</f>
        <v>OnePlus 10R 5G (Forest Green, 8GB RAM, 128GB Storage, 80W SuperVOOC)</v>
      </c>
      <c r="B412" s="10" t="str">
        <f>IFERROR(TRIM(LEFT(Raw_Data!A412,FIND(" ",Raw_Data!A412)-1)),Raw_Data!A412)</f>
        <v>OnePlus</v>
      </c>
      <c r="C412" s="10" t="str">
        <f>IFERROR(LEFT(Raw_Data!B412,FIND("|",Raw_Data!B412)-1),Raw_Data!B412)</f>
        <v>Electronics</v>
      </c>
      <c r="D412" s="11">
        <f>IFERROR(VALUE(SUBSTITUTE(SUBSTITUTE(TRIM(Raw_Data!C412),"₹",""),",","")),"")</f>
        <v>34999</v>
      </c>
      <c r="E412" s="11">
        <f>IFERROR(VALUE(SUBSTITUTE(SUBSTITUTE(TRIM(Raw_Data!D412),"₹",""),",","")),"")</f>
        <v>38999</v>
      </c>
      <c r="F412" s="12">
        <f>IFERROR(VALUE(SUBSTITUTE(Raw_Data!E412,"%",""))/100,"")</f>
        <v>0.1</v>
      </c>
      <c r="G412" s="13">
        <f>IFERROR(VALUE(Raw_Data!F412),"")</f>
        <v>4.2</v>
      </c>
      <c r="H412" s="14">
        <f>IFERROR(VALUE(SUBSTITUTE(Raw_Data!G412,",","")),"")</f>
        <v>11029</v>
      </c>
      <c r="I412" s="11">
        <f t="shared" si="24"/>
        <v>4000</v>
      </c>
      <c r="J412" s="11">
        <f t="shared" si="25"/>
        <v>386003971</v>
      </c>
      <c r="K412" s="1">
        <f t="shared" si="26"/>
        <v>11029.000041200001</v>
      </c>
      <c r="L412" s="15">
        <f t="shared" si="27"/>
        <v>0.10004120000000001</v>
      </c>
    </row>
    <row r="413" spans="1:12" ht="15" customHeight="1" x14ac:dyDescent="0.25">
      <c r="A413" s="10" t="str">
        <f>Raw_Data!A413</f>
        <v>Samsung Galaxy M33 5G (Emerald Brown, 6GB, 128GB Storage) | 6000mAh Battery | Upto 12GB RAM with RAM Plus | Travel Adapter to be Purchased Separately</v>
      </c>
      <c r="B413" s="10" t="str">
        <f>IFERROR(TRIM(LEFT(Raw_Data!A413,FIND(" ",Raw_Data!A413)-1)),Raw_Data!A413)</f>
        <v>Samsung</v>
      </c>
      <c r="C413" s="10" t="str">
        <f>IFERROR(LEFT(Raw_Data!B413,FIND("|",Raw_Data!B413)-1),Raw_Data!B413)</f>
        <v>Electronics</v>
      </c>
      <c r="D413" s="11">
        <f>IFERROR(VALUE(SUBSTITUTE(SUBSTITUTE(TRIM(Raw_Data!C413),"₹",""),",","")),"")</f>
        <v>16999</v>
      </c>
      <c r="E413" s="11">
        <f>IFERROR(VALUE(SUBSTITUTE(SUBSTITUTE(TRIM(Raw_Data!D413),"₹",""),",","")),"")</f>
        <v>24999</v>
      </c>
      <c r="F413" s="12">
        <f>IFERROR(VALUE(SUBSTITUTE(Raw_Data!E413,"%",""))/100,"")</f>
        <v>0.32</v>
      </c>
      <c r="G413" s="13">
        <f>IFERROR(VALUE(Raw_Data!F413),"")</f>
        <v>4.0999999999999996</v>
      </c>
      <c r="H413" s="14">
        <f>IFERROR(VALUE(SUBSTITUTE(Raw_Data!G413,",","")),"")</f>
        <v>22318</v>
      </c>
      <c r="I413" s="11">
        <f t="shared" si="24"/>
        <v>8000</v>
      </c>
      <c r="J413" s="11">
        <f t="shared" si="25"/>
        <v>379383682</v>
      </c>
      <c r="K413" s="1">
        <f t="shared" si="26"/>
        <v>22318.000041300002</v>
      </c>
      <c r="L413" s="15">
        <f t="shared" si="27"/>
        <v>0.32004130000000003</v>
      </c>
    </row>
    <row r="414" spans="1:12" ht="15" customHeight="1" x14ac:dyDescent="0.25">
      <c r="A414" s="10" t="str">
        <f>Raw_Data!A414</f>
        <v>Ambrane Mobile Holding Stand, 180° Perfect View, Height Adjustment, Wide Compatibility, Multipurpose, Anti-Skid Design (Twistand, Black)</v>
      </c>
      <c r="B414" s="10" t="str">
        <f>IFERROR(TRIM(LEFT(Raw_Data!A414,FIND(" ",Raw_Data!A414)-1)),Raw_Data!A414)</f>
        <v>Ambrane</v>
      </c>
      <c r="C414" s="10" t="str">
        <f>IFERROR(LEFT(Raw_Data!B414,FIND("|",Raw_Data!B414)-1),Raw_Data!B414)</f>
        <v>Electronics</v>
      </c>
      <c r="D414" s="11">
        <f>IFERROR(VALUE(SUBSTITUTE(SUBSTITUTE(TRIM(Raw_Data!C414),"₹",""),",","")),"")</f>
        <v>199</v>
      </c>
      <c r="E414" s="11">
        <f>IFERROR(VALUE(SUBSTITUTE(SUBSTITUTE(TRIM(Raw_Data!D414),"₹",""),",","")),"")</f>
        <v>499</v>
      </c>
      <c r="F414" s="12">
        <f>IFERROR(VALUE(SUBSTITUTE(Raw_Data!E414,"%",""))/100,"")</f>
        <v>0.6</v>
      </c>
      <c r="G414" s="13">
        <f>IFERROR(VALUE(Raw_Data!F414),"")</f>
        <v>4.0999999999999996</v>
      </c>
      <c r="H414" s="14">
        <f>IFERROR(VALUE(SUBSTITUTE(Raw_Data!G414,",","")),"")</f>
        <v>1786</v>
      </c>
      <c r="I414" s="11">
        <f t="shared" si="24"/>
        <v>300</v>
      </c>
      <c r="J414" s="11">
        <f t="shared" si="25"/>
        <v>355414</v>
      </c>
      <c r="K414" s="1">
        <f t="shared" si="26"/>
        <v>1786.0000414000001</v>
      </c>
      <c r="L414" s="15">
        <f t="shared" si="27"/>
        <v>0.60004139999999995</v>
      </c>
    </row>
    <row r="415" spans="1:12" ht="15" customHeight="1" x14ac:dyDescent="0.25">
      <c r="A415" s="10" t="str">
        <f>Raw_Data!A415</f>
        <v>Ambrane 10000mAh Slim Power Bank, 20W Fast Charging, Dual Output, Type C PD (Input &amp; Output), Quick Charge, Li-Polymer, Multi-Layer Protection for iPhone, Anrdoid &amp; Other Devices (Stylo 10K, Black)</v>
      </c>
      <c r="B415" s="10" t="str">
        <f>IFERROR(TRIM(LEFT(Raw_Data!A415,FIND(" ",Raw_Data!A415)-1)),Raw_Data!A415)</f>
        <v>Ambrane</v>
      </c>
      <c r="C415" s="10" t="str">
        <f>IFERROR(LEFT(Raw_Data!B415,FIND("|",Raw_Data!B415)-1),Raw_Data!B415)</f>
        <v>Electronics</v>
      </c>
      <c r="D415" s="11">
        <f>IFERROR(VALUE(SUBSTITUTE(SUBSTITUTE(TRIM(Raw_Data!C415),"₹",""),",","")),"")</f>
        <v>999</v>
      </c>
      <c r="E415" s="11">
        <f>IFERROR(VALUE(SUBSTITUTE(SUBSTITUTE(TRIM(Raw_Data!D415),"₹",""),",","")),"")</f>
        <v>1599</v>
      </c>
      <c r="F415" s="12">
        <f>IFERROR(VALUE(SUBSTITUTE(Raw_Data!E415,"%",""))/100,"")</f>
        <v>0.38</v>
      </c>
      <c r="G415" s="13">
        <f>IFERROR(VALUE(Raw_Data!F415),"")</f>
        <v>4</v>
      </c>
      <c r="H415" s="14">
        <f>IFERROR(VALUE(SUBSTITUTE(Raw_Data!G415,",","")),"")</f>
        <v>7222</v>
      </c>
      <c r="I415" s="11">
        <f t="shared" si="24"/>
        <v>600</v>
      </c>
      <c r="J415" s="11">
        <f t="shared" si="25"/>
        <v>7214778</v>
      </c>
      <c r="K415" s="1">
        <f t="shared" si="26"/>
        <v>7222.0000415000004</v>
      </c>
      <c r="L415" s="15">
        <f t="shared" si="27"/>
        <v>0.38004150000000003</v>
      </c>
    </row>
    <row r="416" spans="1:12" ht="15" customHeight="1" x14ac:dyDescent="0.25">
      <c r="A416" s="10" t="str">
        <f>Raw_Data!A416</f>
        <v>Nokia 105 Single SIM, Keypad Mobile Phone with Wireless FM Radio | Blue</v>
      </c>
      <c r="B416" s="10" t="str">
        <f>IFERROR(TRIM(LEFT(Raw_Data!A416,FIND(" ",Raw_Data!A416)-1)),Raw_Data!A416)</f>
        <v>Nokia</v>
      </c>
      <c r="C416" s="10" t="str">
        <f>IFERROR(LEFT(Raw_Data!B416,FIND("|",Raw_Data!B416)-1),Raw_Data!B416)</f>
        <v>Electronics</v>
      </c>
      <c r="D416" s="11">
        <f>IFERROR(VALUE(SUBSTITUTE(SUBSTITUTE(TRIM(Raw_Data!C416),"₹",""),",","")),"")</f>
        <v>1299</v>
      </c>
      <c r="E416" s="11">
        <f>IFERROR(VALUE(SUBSTITUTE(SUBSTITUTE(TRIM(Raw_Data!D416),"₹",""),",","")),"")</f>
        <v>1599</v>
      </c>
      <c r="F416" s="12">
        <f>IFERROR(VALUE(SUBSTITUTE(Raw_Data!E416,"%",""))/100,"")</f>
        <v>0.19</v>
      </c>
      <c r="G416" s="13">
        <f>IFERROR(VALUE(Raw_Data!F416),"")</f>
        <v>4</v>
      </c>
      <c r="H416" s="14">
        <f>IFERROR(VALUE(SUBSTITUTE(Raw_Data!G416,",","")),"")</f>
        <v>128311</v>
      </c>
      <c r="I416" s="11">
        <f t="shared" si="24"/>
        <v>300</v>
      </c>
      <c r="J416" s="11">
        <f t="shared" si="25"/>
        <v>166675989</v>
      </c>
      <c r="K416" s="1">
        <f t="shared" si="26"/>
        <v>128311.0000416</v>
      </c>
      <c r="L416" s="15">
        <f t="shared" si="27"/>
        <v>0.1900416</v>
      </c>
    </row>
    <row r="417" spans="1:12" ht="15" customHeight="1" x14ac:dyDescent="0.25">
      <c r="A417" s="10" t="str">
        <f>Raw_Data!A417</f>
        <v>PTron Tangent Lite Bluetooth 5.0 Earphones with Mic, Hi-Fi Stereo Sound Neckband, 8Hrs Playtime, Lightweight Snug-fit in-Ear Headphones, IPX4 Water Resistant, Fast Charge &amp; Voice Assistant (Black)</v>
      </c>
      <c r="B417" s="10" t="str">
        <f>IFERROR(TRIM(LEFT(Raw_Data!A417,FIND(" ",Raw_Data!A417)-1)),Raw_Data!A417)</f>
        <v>PTron</v>
      </c>
      <c r="C417" s="10" t="str">
        <f>IFERROR(LEFT(Raw_Data!B417,FIND("|",Raw_Data!B417)-1),Raw_Data!B417)</f>
        <v>Electronics</v>
      </c>
      <c r="D417" s="11">
        <f>IFERROR(VALUE(SUBSTITUTE(SUBSTITUTE(TRIM(Raw_Data!C417),"₹",""),",","")),"")</f>
        <v>599</v>
      </c>
      <c r="E417" s="11">
        <f>IFERROR(VALUE(SUBSTITUTE(SUBSTITUTE(TRIM(Raw_Data!D417),"₹",""),",","")),"")</f>
        <v>1800</v>
      </c>
      <c r="F417" s="12">
        <f>IFERROR(VALUE(SUBSTITUTE(Raw_Data!E417,"%",""))/100,"")</f>
        <v>0.67</v>
      </c>
      <c r="G417" s="13">
        <f>IFERROR(VALUE(Raw_Data!F417),"")</f>
        <v>3.5</v>
      </c>
      <c r="H417" s="14">
        <f>IFERROR(VALUE(SUBSTITUTE(Raw_Data!G417,",","")),"")</f>
        <v>83996</v>
      </c>
      <c r="I417" s="11">
        <f t="shared" si="24"/>
        <v>1201</v>
      </c>
      <c r="J417" s="11">
        <f t="shared" si="25"/>
        <v>50313604</v>
      </c>
      <c r="K417" s="1">
        <f t="shared" si="26"/>
        <v>83996.000041699997</v>
      </c>
      <c r="L417" s="15">
        <f t="shared" si="27"/>
        <v>0.67004170000000007</v>
      </c>
    </row>
    <row r="418" spans="1:12" ht="15" customHeight="1" x14ac:dyDescent="0.25">
      <c r="A418" s="10" t="str">
        <f>Raw_Data!A418</f>
        <v>Samsung EVO Plus 64GB microSDXC UHS-I U1 130MB/s Full HD &amp; 4K UHD Memory Card with Adapter (MB-MC64KA), Blue</v>
      </c>
      <c r="B418" s="10" t="str">
        <f>IFERROR(TRIM(LEFT(Raw_Data!A418,FIND(" ",Raw_Data!A418)-1)),Raw_Data!A418)</f>
        <v>Samsung</v>
      </c>
      <c r="C418" s="10" t="str">
        <f>IFERROR(LEFT(Raw_Data!B418,FIND("|",Raw_Data!B418)-1),Raw_Data!B418)</f>
        <v>Electronics</v>
      </c>
      <c r="D418" s="11">
        <f>IFERROR(VALUE(SUBSTITUTE(SUBSTITUTE(TRIM(Raw_Data!C418),"₹",""),",","")),"")</f>
        <v>599</v>
      </c>
      <c r="E418" s="11">
        <f>IFERROR(VALUE(SUBSTITUTE(SUBSTITUTE(TRIM(Raw_Data!D418),"₹",""),",","")),"")</f>
        <v>1899</v>
      </c>
      <c r="F418" s="12">
        <f>IFERROR(VALUE(SUBSTITUTE(Raw_Data!E418,"%",""))/100,"")</f>
        <v>0.68</v>
      </c>
      <c r="G418" s="13">
        <f>IFERROR(VALUE(Raw_Data!F418),"")</f>
        <v>4.3</v>
      </c>
      <c r="H418" s="14">
        <f>IFERROR(VALUE(SUBSTITUTE(Raw_Data!G418,",","")),"")</f>
        <v>140036</v>
      </c>
      <c r="I418" s="11">
        <f t="shared" si="24"/>
        <v>1300</v>
      </c>
      <c r="J418" s="11">
        <f t="shared" si="25"/>
        <v>83881564</v>
      </c>
      <c r="K418" s="1">
        <f t="shared" si="26"/>
        <v>140036.0000418</v>
      </c>
      <c r="L418" s="15">
        <f t="shared" si="27"/>
        <v>0.68004180000000003</v>
      </c>
    </row>
    <row r="419" spans="1:12" ht="15" customHeight="1" x14ac:dyDescent="0.25">
      <c r="A419" s="10" t="str">
        <f>Raw_Data!A419</f>
        <v>Ambrane 20000mAh Power Bank with 20W Fast Charging, Triple Output, Power Delivery, Type C Input, Made in India, Multi-Layer Protection, Li-Polymer + Type C Cable (Stylo-20k, Black)</v>
      </c>
      <c r="B419" s="10" t="str">
        <f>IFERROR(TRIM(LEFT(Raw_Data!A419,FIND(" ",Raw_Data!A419)-1)),Raw_Data!A419)</f>
        <v>Ambrane</v>
      </c>
      <c r="C419" s="10" t="str">
        <f>IFERROR(LEFT(Raw_Data!B419,FIND("|",Raw_Data!B419)-1),Raw_Data!B419)</f>
        <v>Electronics</v>
      </c>
      <c r="D419" s="11">
        <f>IFERROR(VALUE(SUBSTITUTE(SUBSTITUTE(TRIM(Raw_Data!C419),"₹",""),",","")),"")</f>
        <v>1799</v>
      </c>
      <c r="E419" s="11">
        <f>IFERROR(VALUE(SUBSTITUTE(SUBSTITUTE(TRIM(Raw_Data!D419),"₹",""),",","")),"")</f>
        <v>2499</v>
      </c>
      <c r="F419" s="12">
        <f>IFERROR(VALUE(SUBSTITUTE(Raw_Data!E419,"%",""))/100,"")</f>
        <v>0.28000000000000003</v>
      </c>
      <c r="G419" s="13">
        <f>IFERROR(VALUE(Raw_Data!F419),"")</f>
        <v>4.0999999999999996</v>
      </c>
      <c r="H419" s="14">
        <f>IFERROR(VALUE(SUBSTITUTE(Raw_Data!G419,",","")),"")</f>
        <v>18678</v>
      </c>
      <c r="I419" s="11">
        <f t="shared" si="24"/>
        <v>700</v>
      </c>
      <c r="J419" s="11">
        <f t="shared" si="25"/>
        <v>33601722</v>
      </c>
      <c r="K419" s="1">
        <f t="shared" si="26"/>
        <v>18678.000041899999</v>
      </c>
      <c r="L419" s="15">
        <f t="shared" si="27"/>
        <v>0.28004190000000001</v>
      </c>
    </row>
    <row r="420" spans="1:12" ht="15" customHeight="1" x14ac:dyDescent="0.25">
      <c r="A420" s="10" t="str">
        <f>Raw_Data!A420</f>
        <v>boAt Micro USB 55 Tangle-free, Sturdy Micro USB Cable with 3A Fast Charging &amp; 480mbps Data Transmission (Black)</v>
      </c>
      <c r="B420" s="10" t="str">
        <f>IFERROR(TRIM(LEFT(Raw_Data!A420,FIND(" ",Raw_Data!A420)-1)),Raw_Data!A420)</f>
        <v>boAt</v>
      </c>
      <c r="C420" s="10" t="str">
        <f>IFERROR(LEFT(Raw_Data!B420,FIND("|",Raw_Data!B420)-1),Raw_Data!B420)</f>
        <v>Computers&amp;Accessories</v>
      </c>
      <c r="D420" s="11">
        <f>IFERROR(VALUE(SUBSTITUTE(SUBSTITUTE(TRIM(Raw_Data!C420),"₹",""),",","")),"")</f>
        <v>176.63</v>
      </c>
      <c r="E420" s="11">
        <f>IFERROR(VALUE(SUBSTITUTE(SUBSTITUTE(TRIM(Raw_Data!D420),"₹",""),",","")),"")</f>
        <v>499</v>
      </c>
      <c r="F420" s="12">
        <f>IFERROR(VALUE(SUBSTITUTE(Raw_Data!E420,"%",""))/100,"")</f>
        <v>0.65</v>
      </c>
      <c r="G420" s="13">
        <f>IFERROR(VALUE(Raw_Data!F420),"")</f>
        <v>4.0999999999999996</v>
      </c>
      <c r="H420" s="14">
        <f>IFERROR(VALUE(SUBSTITUTE(Raw_Data!G420,",","")),"")</f>
        <v>15189</v>
      </c>
      <c r="I420" s="11">
        <f t="shared" si="24"/>
        <v>322.37</v>
      </c>
      <c r="J420" s="11">
        <f t="shared" si="25"/>
        <v>2682833.0699999998</v>
      </c>
      <c r="K420" s="1">
        <f t="shared" si="26"/>
        <v>15189.000042</v>
      </c>
      <c r="L420" s="15">
        <f t="shared" si="27"/>
        <v>0.65004200000000001</v>
      </c>
    </row>
    <row r="421" spans="1:12" ht="15" customHeight="1" x14ac:dyDescent="0.25">
      <c r="A421" s="10" t="str">
        <f>Raw_Data!A421</f>
        <v>Samsung Galaxy M13 (Midnight Blue, 4GB, 64GB Storage) | 6000mAh Battery | Upto 8GB RAM with RAM Plus</v>
      </c>
      <c r="B421" s="10" t="str">
        <f>IFERROR(TRIM(LEFT(Raw_Data!A421,FIND(" ",Raw_Data!A421)-1)),Raw_Data!A421)</f>
        <v>Samsung</v>
      </c>
      <c r="C421" s="10" t="str">
        <f>IFERROR(LEFT(Raw_Data!B421,FIND("|",Raw_Data!B421)-1),Raw_Data!B421)</f>
        <v>Electronics</v>
      </c>
      <c r="D421" s="11">
        <f>IFERROR(VALUE(SUBSTITUTE(SUBSTITUTE(TRIM(Raw_Data!C421),"₹",""),",","")),"")</f>
        <v>10999</v>
      </c>
      <c r="E421" s="11">
        <f>IFERROR(VALUE(SUBSTITUTE(SUBSTITUTE(TRIM(Raw_Data!D421),"₹",""),",","")),"")</f>
        <v>14999</v>
      </c>
      <c r="F421" s="12">
        <f>IFERROR(VALUE(SUBSTITUTE(Raw_Data!E421,"%",""))/100,"")</f>
        <v>0.27</v>
      </c>
      <c r="G421" s="13">
        <f>IFERROR(VALUE(Raw_Data!F421),"")</f>
        <v>4.0999999999999996</v>
      </c>
      <c r="H421" s="14">
        <f>IFERROR(VALUE(SUBSTITUTE(Raw_Data!G421,",","")),"")</f>
        <v>18998</v>
      </c>
      <c r="I421" s="11">
        <f t="shared" si="24"/>
        <v>4000</v>
      </c>
      <c r="J421" s="11">
        <f t="shared" si="25"/>
        <v>208959002</v>
      </c>
      <c r="K421" s="1">
        <f t="shared" si="26"/>
        <v>18998.0000421</v>
      </c>
      <c r="L421" s="15">
        <f t="shared" si="27"/>
        <v>0.27004210000000001</v>
      </c>
    </row>
    <row r="422" spans="1:12" ht="15" customHeight="1" x14ac:dyDescent="0.25">
      <c r="A422" s="10" t="str">
        <f>Raw_Data!A422</f>
        <v>boAt Xtend Smartwatch with Alexa Built-in, 1.69” HD Display, Multiple Watch Faces, Stress Monitor, Heart &amp; SpO2 Monitoring, 14 Sports Modes, Sleep Monitor, 5 ATM &amp; 7 Days Battery(Pitch Black)</v>
      </c>
      <c r="B422" s="10" t="str">
        <f>IFERROR(TRIM(LEFT(Raw_Data!A422,FIND(" ",Raw_Data!A422)-1)),Raw_Data!A422)</f>
        <v>boAt</v>
      </c>
      <c r="C422" s="10" t="str">
        <f>IFERROR(LEFT(Raw_Data!B422,FIND("|",Raw_Data!B422)-1),Raw_Data!B422)</f>
        <v>Electronics</v>
      </c>
      <c r="D422" s="11">
        <f>IFERROR(VALUE(SUBSTITUTE(SUBSTITUTE(TRIM(Raw_Data!C422),"₹",""),",","")),"")</f>
        <v>2999</v>
      </c>
      <c r="E422" s="11">
        <f>IFERROR(VALUE(SUBSTITUTE(SUBSTITUTE(TRIM(Raw_Data!D422),"₹",""),",","")),"")</f>
        <v>7990</v>
      </c>
      <c r="F422" s="12">
        <f>IFERROR(VALUE(SUBSTITUTE(Raw_Data!E422,"%",""))/100,"")</f>
        <v>0.62</v>
      </c>
      <c r="G422" s="13">
        <f>IFERROR(VALUE(Raw_Data!F422),"")</f>
        <v>4.0999999999999996</v>
      </c>
      <c r="H422" s="14">
        <f>IFERROR(VALUE(SUBSTITUTE(Raw_Data!G422,",","")),"")</f>
        <v>48449</v>
      </c>
      <c r="I422" s="11">
        <f t="shared" si="24"/>
        <v>4991</v>
      </c>
      <c r="J422" s="11">
        <f t="shared" si="25"/>
        <v>145298551</v>
      </c>
      <c r="K422" s="1">
        <f t="shared" si="26"/>
        <v>48449.000042200001</v>
      </c>
      <c r="L422" s="15">
        <f t="shared" si="27"/>
        <v>0.62004219999999999</v>
      </c>
    </row>
    <row r="423" spans="1:12" ht="15" customHeight="1" x14ac:dyDescent="0.25">
      <c r="A423" s="10" t="str">
        <f>Raw_Data!A423</f>
        <v>boAt Wave Call Smart Watch, Smart Talk with Advanced Dedicated Bluetooth Calling Chip, 1.69” HD Display with 550 NITS &amp; 70% Color Gamut, 150+ Watch Faces, Multi-Sport Modes, HR, SpO2, IP68(Deep Blue)</v>
      </c>
      <c r="B423" s="10" t="str">
        <f>IFERROR(TRIM(LEFT(Raw_Data!A423,FIND(" ",Raw_Data!A423)-1)),Raw_Data!A423)</f>
        <v>boAt</v>
      </c>
      <c r="C423" s="10" t="str">
        <f>IFERROR(LEFT(Raw_Data!B423,FIND("|",Raw_Data!B423)-1),Raw_Data!B423)</f>
        <v>Electronics</v>
      </c>
      <c r="D423" s="11">
        <f>IFERROR(VALUE(SUBSTITUTE(SUBSTITUTE(TRIM(Raw_Data!C423),"₹",""),",","")),"")</f>
        <v>1999</v>
      </c>
      <c r="E423" s="11">
        <f>IFERROR(VALUE(SUBSTITUTE(SUBSTITUTE(TRIM(Raw_Data!D423),"₹",""),",","")),"")</f>
        <v>7990</v>
      </c>
      <c r="F423" s="12">
        <f>IFERROR(VALUE(SUBSTITUTE(Raw_Data!E423,"%",""))/100,"")</f>
        <v>0.75</v>
      </c>
      <c r="G423" s="13">
        <f>IFERROR(VALUE(Raw_Data!F423),"")</f>
        <v>3.8</v>
      </c>
      <c r="H423" s="14">
        <f>IFERROR(VALUE(SUBSTITUTE(Raw_Data!G423,",","")),"")</f>
        <v>17831</v>
      </c>
      <c r="I423" s="11">
        <f t="shared" si="24"/>
        <v>5991</v>
      </c>
      <c r="J423" s="11">
        <f t="shared" si="25"/>
        <v>35644169</v>
      </c>
      <c r="K423" s="1">
        <f t="shared" si="26"/>
        <v>17831.000042299998</v>
      </c>
      <c r="L423" s="15">
        <f t="shared" si="27"/>
        <v>0.75004230000000005</v>
      </c>
    </row>
    <row r="424" spans="1:12" ht="15" customHeight="1" x14ac:dyDescent="0.25">
      <c r="A424" s="10" t="str">
        <f>Raw_Data!A424</f>
        <v>MI Usb Type-C Cable Smartphone (Black)</v>
      </c>
      <c r="B424" s="10" t="str">
        <f>IFERROR(TRIM(LEFT(Raw_Data!A424,FIND(" ",Raw_Data!A424)-1)),Raw_Data!A424)</f>
        <v>MI</v>
      </c>
      <c r="C424" s="10" t="str">
        <f>IFERROR(LEFT(Raw_Data!B424,FIND("|",Raw_Data!B424)-1),Raw_Data!B424)</f>
        <v>Computers&amp;Accessories</v>
      </c>
      <c r="D424" s="11">
        <f>IFERROR(VALUE(SUBSTITUTE(SUBSTITUTE(TRIM(Raw_Data!C424),"₹",""),",","")),"")</f>
        <v>229</v>
      </c>
      <c r="E424" s="11">
        <f>IFERROR(VALUE(SUBSTITUTE(SUBSTITUTE(TRIM(Raw_Data!D424),"₹",""),",","")),"")</f>
        <v>299</v>
      </c>
      <c r="F424" s="12">
        <f>IFERROR(VALUE(SUBSTITUTE(Raw_Data!E424,"%",""))/100,"")</f>
        <v>0.23</v>
      </c>
      <c r="G424" s="13">
        <f>IFERROR(VALUE(Raw_Data!F424),"")</f>
        <v>4.3</v>
      </c>
      <c r="H424" s="14">
        <f>IFERROR(VALUE(SUBSTITUTE(Raw_Data!G424,",","")),"")</f>
        <v>30411</v>
      </c>
      <c r="I424" s="11">
        <f t="shared" si="24"/>
        <v>70</v>
      </c>
      <c r="J424" s="11">
        <f t="shared" si="25"/>
        <v>6964119</v>
      </c>
      <c r="K424" s="1">
        <f t="shared" si="26"/>
        <v>30411.000042399999</v>
      </c>
      <c r="L424" s="15">
        <f t="shared" si="27"/>
        <v>0.23004240000000001</v>
      </c>
    </row>
    <row r="425" spans="1:12" ht="15" customHeight="1" x14ac:dyDescent="0.25">
      <c r="A425" s="10" t="str">
        <f>Raw_Data!A425</f>
        <v>Ambrane Unbreakable 60W / 3A Fast Charging 1.5m Braided Micro USB Cable for Smartphones, Tablets, Laptops &amp; Other Micro USB Devices, 480Mbps Data Sync, Quick Charge 3.0 (RCM15, Black)</v>
      </c>
      <c r="B425" s="10" t="str">
        <f>IFERROR(TRIM(LEFT(Raw_Data!A425,FIND(" ",Raw_Data!A425)-1)),Raw_Data!A425)</f>
        <v>Ambrane</v>
      </c>
      <c r="C425" s="10" t="str">
        <f>IFERROR(LEFT(Raw_Data!B425,FIND("|",Raw_Data!B425)-1),Raw_Data!B425)</f>
        <v>Computers&amp;Accessories</v>
      </c>
      <c r="D425" s="11">
        <f>IFERROR(VALUE(SUBSTITUTE(SUBSTITUTE(TRIM(Raw_Data!C425),"₹",""),",","")),"")</f>
        <v>199</v>
      </c>
      <c r="E425" s="11">
        <f>IFERROR(VALUE(SUBSTITUTE(SUBSTITUTE(TRIM(Raw_Data!D425),"₹",""),",","")),"")</f>
        <v>299</v>
      </c>
      <c r="F425" s="12">
        <f>IFERROR(VALUE(SUBSTITUTE(Raw_Data!E425,"%",""))/100,"")</f>
        <v>0.33</v>
      </c>
      <c r="G425" s="13">
        <f>IFERROR(VALUE(Raw_Data!F425),"")</f>
        <v>4</v>
      </c>
      <c r="H425" s="14">
        <f>IFERROR(VALUE(SUBSTITUTE(Raw_Data!G425,",","")),"")</f>
        <v>43994</v>
      </c>
      <c r="I425" s="11">
        <f t="shared" si="24"/>
        <v>100</v>
      </c>
      <c r="J425" s="11">
        <f t="shared" si="25"/>
        <v>8754806</v>
      </c>
      <c r="K425" s="1">
        <f t="shared" si="26"/>
        <v>43994.000042500003</v>
      </c>
      <c r="L425" s="15">
        <f t="shared" si="27"/>
        <v>0.33004250000000002</v>
      </c>
    </row>
    <row r="426" spans="1:12" ht="15" customHeight="1" x14ac:dyDescent="0.25">
      <c r="A426" s="10" t="str">
        <f>Raw_Data!A426</f>
        <v>MI Xiaomi 22.5W Fast USB Type C Charger Combo for Tablets - White</v>
      </c>
      <c r="B426" s="10" t="str">
        <f>IFERROR(TRIM(LEFT(Raw_Data!A426,FIND(" ",Raw_Data!A426)-1)),Raw_Data!A426)</f>
        <v>MI</v>
      </c>
      <c r="C426" s="10" t="str">
        <f>IFERROR(LEFT(Raw_Data!B426,FIND("|",Raw_Data!B426)-1),Raw_Data!B426)</f>
        <v>Electronics</v>
      </c>
      <c r="D426" s="11">
        <f>IFERROR(VALUE(SUBSTITUTE(SUBSTITUTE(TRIM(Raw_Data!C426),"₹",""),",","")),"")</f>
        <v>649</v>
      </c>
      <c r="E426" s="11">
        <f>IFERROR(VALUE(SUBSTITUTE(SUBSTITUTE(TRIM(Raw_Data!D426),"₹",""),",","")),"")</f>
        <v>999</v>
      </c>
      <c r="F426" s="12">
        <f>IFERROR(VALUE(SUBSTITUTE(Raw_Data!E426,"%",""))/100,"")</f>
        <v>0.35</v>
      </c>
      <c r="G426" s="13">
        <f>IFERROR(VALUE(Raw_Data!F426),"")</f>
        <v>4.2</v>
      </c>
      <c r="H426" s="14">
        <f>IFERROR(VALUE(SUBSTITUTE(Raw_Data!G426,",","")),"")</f>
        <v>1315</v>
      </c>
      <c r="I426" s="11">
        <f t="shared" si="24"/>
        <v>350</v>
      </c>
      <c r="J426" s="11">
        <f t="shared" si="25"/>
        <v>853435</v>
      </c>
      <c r="K426" s="1">
        <f t="shared" si="26"/>
        <v>1315.0000425999999</v>
      </c>
      <c r="L426" s="15">
        <f t="shared" si="27"/>
        <v>0.35004259999999998</v>
      </c>
    </row>
    <row r="427" spans="1:12" ht="15" customHeight="1" x14ac:dyDescent="0.25">
      <c r="A427" s="10" t="str">
        <f>Raw_Data!A427</f>
        <v>Samsung Galaxy M13 5G (Aqua Green, 6GB, 128GB Storage) | 5000mAh Battery | Upto 12GB RAM with RAM Plus</v>
      </c>
      <c r="B427" s="10" t="str">
        <f>IFERROR(TRIM(LEFT(Raw_Data!A427,FIND(" ",Raw_Data!A427)-1)),Raw_Data!A427)</f>
        <v>Samsung</v>
      </c>
      <c r="C427" s="10" t="str">
        <f>IFERROR(LEFT(Raw_Data!B427,FIND("|",Raw_Data!B427)-1),Raw_Data!B427)</f>
        <v>Electronics</v>
      </c>
      <c r="D427" s="11">
        <f>IFERROR(VALUE(SUBSTITUTE(SUBSTITUTE(TRIM(Raw_Data!C427),"₹",""),",","")),"")</f>
        <v>13999</v>
      </c>
      <c r="E427" s="11">
        <f>IFERROR(VALUE(SUBSTITUTE(SUBSTITUTE(TRIM(Raw_Data!D427),"₹",""),",","")),"")</f>
        <v>19499</v>
      </c>
      <c r="F427" s="12">
        <f>IFERROR(VALUE(SUBSTITUTE(Raw_Data!E427,"%",""))/100,"")</f>
        <v>0.28000000000000003</v>
      </c>
      <c r="G427" s="13">
        <f>IFERROR(VALUE(Raw_Data!F427),"")</f>
        <v>4.0999999999999996</v>
      </c>
      <c r="H427" s="14">
        <f>IFERROR(VALUE(SUBSTITUTE(Raw_Data!G427,",","")),"")</f>
        <v>18998</v>
      </c>
      <c r="I427" s="11">
        <f t="shared" si="24"/>
        <v>5500</v>
      </c>
      <c r="J427" s="11">
        <f t="shared" si="25"/>
        <v>265953002</v>
      </c>
      <c r="K427" s="1">
        <f t="shared" si="26"/>
        <v>18998.000042700001</v>
      </c>
      <c r="L427" s="15">
        <f t="shared" si="27"/>
        <v>0.28004270000000003</v>
      </c>
    </row>
    <row r="428" spans="1:12" ht="15" customHeight="1" x14ac:dyDescent="0.25">
      <c r="A428" s="10" t="str">
        <f>Raw_Data!A428</f>
        <v>Gizga Essentials Spiral Cable Protector Cord Saver for Mac Charger, iPhone Charger, Wire Protector, Lightweight Durable Flexible Wire Winder for Charging Cables, Data Cables, Earphones, Pack of 10</v>
      </c>
      <c r="B428" s="10" t="str">
        <f>IFERROR(TRIM(LEFT(Raw_Data!A428,FIND(" ",Raw_Data!A428)-1)),Raw_Data!A428)</f>
        <v>Gizga</v>
      </c>
      <c r="C428" s="10" t="str">
        <f>IFERROR(LEFT(Raw_Data!B428,FIND("|",Raw_Data!B428)-1),Raw_Data!B428)</f>
        <v>Electronics</v>
      </c>
      <c r="D428" s="11">
        <f>IFERROR(VALUE(SUBSTITUTE(SUBSTITUTE(TRIM(Raw_Data!C428),"₹",""),",","")),"")</f>
        <v>119</v>
      </c>
      <c r="E428" s="11">
        <f>IFERROR(VALUE(SUBSTITUTE(SUBSTITUTE(TRIM(Raw_Data!D428),"₹",""),",","")),"")</f>
        <v>299</v>
      </c>
      <c r="F428" s="12">
        <f>IFERROR(VALUE(SUBSTITUTE(Raw_Data!E428,"%",""))/100,"")</f>
        <v>0.6</v>
      </c>
      <c r="G428" s="13">
        <f>IFERROR(VALUE(Raw_Data!F428),"")</f>
        <v>4.0999999999999996</v>
      </c>
      <c r="H428" s="14">
        <f>IFERROR(VALUE(SUBSTITUTE(Raw_Data!G428,",","")),"")</f>
        <v>5999</v>
      </c>
      <c r="I428" s="11">
        <f t="shared" si="24"/>
        <v>180</v>
      </c>
      <c r="J428" s="11">
        <f t="shared" si="25"/>
        <v>713881</v>
      </c>
      <c r="K428" s="1">
        <f t="shared" si="26"/>
        <v>5999.0000428000003</v>
      </c>
      <c r="L428" s="15">
        <f t="shared" si="27"/>
        <v>0.60004279999999999</v>
      </c>
    </row>
    <row r="429" spans="1:12" ht="15" customHeight="1" x14ac:dyDescent="0.25">
      <c r="A429" s="10" t="str">
        <f>Raw_Data!A429</f>
        <v>Redmi Note 11 (Space Black, 4GB RAM, 64GB Storage)|90Hz FHD+ AMOLED Display | Qualcomm® Snapdragon™ 680-6nm | 33W Charger Included</v>
      </c>
      <c r="B429" s="10" t="str">
        <f>IFERROR(TRIM(LEFT(Raw_Data!A429,FIND(" ",Raw_Data!A429)-1)),Raw_Data!A429)</f>
        <v>Redmi</v>
      </c>
      <c r="C429" s="10" t="str">
        <f>IFERROR(LEFT(Raw_Data!B429,FIND("|",Raw_Data!B429)-1),Raw_Data!B429)</f>
        <v>Electronics</v>
      </c>
      <c r="D429" s="11">
        <f>IFERROR(VALUE(SUBSTITUTE(SUBSTITUTE(TRIM(Raw_Data!C429),"₹",""),",","")),"")</f>
        <v>12999</v>
      </c>
      <c r="E429" s="11">
        <f>IFERROR(VALUE(SUBSTITUTE(SUBSTITUTE(TRIM(Raw_Data!D429),"₹",""),",","")),"")</f>
        <v>17999</v>
      </c>
      <c r="F429" s="12">
        <f>IFERROR(VALUE(SUBSTITUTE(Raw_Data!E429,"%",""))/100,"")</f>
        <v>0.28000000000000003</v>
      </c>
      <c r="G429" s="13">
        <f>IFERROR(VALUE(Raw_Data!F429),"")</f>
        <v>4.0999999999999996</v>
      </c>
      <c r="H429" s="14">
        <f>IFERROR(VALUE(SUBSTITUTE(Raw_Data!G429,",","")),"")</f>
        <v>50772</v>
      </c>
      <c r="I429" s="11">
        <f t="shared" si="24"/>
        <v>5000</v>
      </c>
      <c r="J429" s="11">
        <f t="shared" si="25"/>
        <v>659985228</v>
      </c>
      <c r="K429" s="1">
        <f t="shared" si="26"/>
        <v>50772.000042899999</v>
      </c>
      <c r="L429" s="15">
        <f t="shared" si="27"/>
        <v>0.28004290000000004</v>
      </c>
    </row>
    <row r="430" spans="1:12" ht="15" customHeight="1" x14ac:dyDescent="0.25">
      <c r="A430" s="10" t="str">
        <f>Raw_Data!A430</f>
        <v>Portronics Konnect L POR-1081 Fast Charging 3A Type-C Cable 1.2Meter with Charge &amp; Sync Function for All Type-C Devices (Grey)</v>
      </c>
      <c r="B430" s="10" t="str">
        <f>IFERROR(TRIM(LEFT(Raw_Data!A430,FIND(" ",Raw_Data!A430)-1)),Raw_Data!A430)</f>
        <v>Portronics</v>
      </c>
      <c r="C430" s="10" t="str">
        <f>IFERROR(LEFT(Raw_Data!B430,FIND("|",Raw_Data!B430)-1),Raw_Data!B430)</f>
        <v>Computers&amp;Accessories</v>
      </c>
      <c r="D430" s="11">
        <f>IFERROR(VALUE(SUBSTITUTE(SUBSTITUTE(TRIM(Raw_Data!C430),"₹",""),",","")),"")</f>
        <v>154</v>
      </c>
      <c r="E430" s="11">
        <f>IFERROR(VALUE(SUBSTITUTE(SUBSTITUTE(TRIM(Raw_Data!D430),"₹",""),",","")),"")</f>
        <v>339</v>
      </c>
      <c r="F430" s="12">
        <f>IFERROR(VALUE(SUBSTITUTE(Raw_Data!E430,"%",""))/100,"")</f>
        <v>0.55000000000000004</v>
      </c>
      <c r="G430" s="13">
        <f>IFERROR(VALUE(Raw_Data!F430),"")</f>
        <v>4.3</v>
      </c>
      <c r="H430" s="14">
        <f>IFERROR(VALUE(SUBSTITUTE(Raw_Data!G430,",","")),"")</f>
        <v>13391</v>
      </c>
      <c r="I430" s="11">
        <f t="shared" si="24"/>
        <v>185</v>
      </c>
      <c r="J430" s="11">
        <f t="shared" si="25"/>
        <v>2062214</v>
      </c>
      <c r="K430" s="1">
        <f t="shared" si="26"/>
        <v>13391.000043</v>
      </c>
      <c r="L430" s="15">
        <f t="shared" si="27"/>
        <v>0.55004300000000006</v>
      </c>
    </row>
    <row r="431" spans="1:12" ht="15" customHeight="1" x14ac:dyDescent="0.25">
      <c r="A431" s="10" t="str">
        <f>Raw_Data!A431</f>
        <v>Redmi Note 11 Pro + 5G (Phantom White, 8GB RAM, 128GB Storage) | 67W Turbo Charge | 120Hz Super AMOLED Display | Additional Exchange Offers | Charger Included</v>
      </c>
      <c r="B431" s="10" t="str">
        <f>IFERROR(TRIM(LEFT(Raw_Data!A431,FIND(" ",Raw_Data!A431)-1)),Raw_Data!A431)</f>
        <v>Redmi</v>
      </c>
      <c r="C431" s="10" t="str">
        <f>IFERROR(LEFT(Raw_Data!B431,FIND("|",Raw_Data!B431)-1),Raw_Data!B431)</f>
        <v>Electronics</v>
      </c>
      <c r="D431" s="11">
        <f>IFERROR(VALUE(SUBSTITUTE(SUBSTITUTE(TRIM(Raw_Data!C431),"₹",""),",","")),"")</f>
        <v>20999</v>
      </c>
      <c r="E431" s="11">
        <f>IFERROR(VALUE(SUBSTITUTE(SUBSTITUTE(TRIM(Raw_Data!D431),"₹",""),",","")),"")</f>
        <v>26999</v>
      </c>
      <c r="F431" s="12">
        <f>IFERROR(VALUE(SUBSTITUTE(Raw_Data!E431,"%",""))/100,"")</f>
        <v>0.22</v>
      </c>
      <c r="G431" s="13">
        <f>IFERROR(VALUE(Raw_Data!F431),"")</f>
        <v>3.9</v>
      </c>
      <c r="H431" s="14">
        <f>IFERROR(VALUE(SUBSTITUTE(Raw_Data!G431,",","")),"")</f>
        <v>25824</v>
      </c>
      <c r="I431" s="11">
        <f t="shared" si="24"/>
        <v>6000</v>
      </c>
      <c r="J431" s="11">
        <f t="shared" si="25"/>
        <v>542278176</v>
      </c>
      <c r="K431" s="1">
        <f t="shared" si="26"/>
        <v>25824.000043100001</v>
      </c>
      <c r="L431" s="15">
        <f t="shared" si="27"/>
        <v>0.22004309999999999</v>
      </c>
    </row>
    <row r="432" spans="1:12" ht="15" customHeight="1" x14ac:dyDescent="0.25">
      <c r="A432" s="10" t="str">
        <f>Raw_Data!A432</f>
        <v>USB Charger, Oraimo Elite Dual Port 5V/2.4A Wall Charger, USB Wall Charger Adapter for iPhone 11/Xs/XS Max/XR/X/8/7/6/Plus, iPad Pro/Air 2/Mini 3/Mini 4, Samsung S4/S5, and More</v>
      </c>
      <c r="B432" s="10" t="str">
        <f>IFERROR(TRIM(LEFT(Raw_Data!A432,FIND(" ",Raw_Data!A432)-1)),Raw_Data!A432)</f>
        <v>USB</v>
      </c>
      <c r="C432" s="10" t="str">
        <f>IFERROR(LEFT(Raw_Data!B432,FIND("|",Raw_Data!B432)-1),Raw_Data!B432)</f>
        <v>Electronics</v>
      </c>
      <c r="D432" s="11">
        <f>IFERROR(VALUE(SUBSTITUTE(SUBSTITUTE(TRIM(Raw_Data!C432),"₹",""),",","")),"")</f>
        <v>249</v>
      </c>
      <c r="E432" s="11">
        <f>IFERROR(VALUE(SUBSTITUTE(SUBSTITUTE(TRIM(Raw_Data!D432),"₹",""),",","")),"")</f>
        <v>649</v>
      </c>
      <c r="F432" s="12">
        <f>IFERROR(VALUE(SUBSTITUTE(Raw_Data!E432,"%",""))/100,"")</f>
        <v>0.62</v>
      </c>
      <c r="G432" s="13">
        <f>IFERROR(VALUE(Raw_Data!F432),"")</f>
        <v>4</v>
      </c>
      <c r="H432" s="14">
        <f>IFERROR(VALUE(SUBSTITUTE(Raw_Data!G432,",","")),"")</f>
        <v>14404</v>
      </c>
      <c r="I432" s="11">
        <f t="shared" si="24"/>
        <v>400</v>
      </c>
      <c r="J432" s="11">
        <f t="shared" si="25"/>
        <v>3586596</v>
      </c>
      <c r="K432" s="1">
        <f t="shared" si="26"/>
        <v>14404.0000432</v>
      </c>
      <c r="L432" s="15">
        <f t="shared" si="27"/>
        <v>0.62004320000000002</v>
      </c>
    </row>
    <row r="433" spans="1:12" ht="15" customHeight="1" x14ac:dyDescent="0.25">
      <c r="A433" s="10" t="str">
        <f>Raw_Data!A433</f>
        <v>Goldmedal Curve Plus 202042 Plastic Spice 3-Pin 240V Universal Travel Adaptor (White)</v>
      </c>
      <c r="B433" s="10" t="str">
        <f>IFERROR(TRIM(LEFT(Raw_Data!A433,FIND(" ",Raw_Data!A433)-1)),Raw_Data!A433)</f>
        <v>Goldmedal</v>
      </c>
      <c r="C433" s="10" t="str">
        <f>IFERROR(LEFT(Raw_Data!B433,FIND("|",Raw_Data!B433)-1),Raw_Data!B433)</f>
        <v>Electronics</v>
      </c>
      <c r="D433" s="11">
        <f>IFERROR(VALUE(SUBSTITUTE(SUBSTITUTE(TRIM(Raw_Data!C433),"₹",""),",","")),"")</f>
        <v>99</v>
      </c>
      <c r="E433" s="11">
        <f>IFERROR(VALUE(SUBSTITUTE(SUBSTITUTE(TRIM(Raw_Data!D433),"₹",""),",","")),"")</f>
        <v>171</v>
      </c>
      <c r="F433" s="12">
        <f>IFERROR(VALUE(SUBSTITUTE(Raw_Data!E433,"%",""))/100,"")</f>
        <v>0.42</v>
      </c>
      <c r="G433" s="13">
        <f>IFERROR(VALUE(Raw_Data!F433),"")</f>
        <v>4.5</v>
      </c>
      <c r="H433" s="14">
        <f>IFERROR(VALUE(SUBSTITUTE(Raw_Data!G433,",","")),"")</f>
        <v>11339</v>
      </c>
      <c r="I433" s="11">
        <f t="shared" si="24"/>
        <v>72</v>
      </c>
      <c r="J433" s="11">
        <f t="shared" si="25"/>
        <v>1122561</v>
      </c>
      <c r="K433" s="1">
        <f t="shared" si="26"/>
        <v>11339.0000433</v>
      </c>
      <c r="L433" s="15">
        <f t="shared" si="27"/>
        <v>0.42004330000000001</v>
      </c>
    </row>
    <row r="434" spans="1:12" ht="15" customHeight="1" x14ac:dyDescent="0.25">
      <c r="A434" s="10" t="str">
        <f>Raw_Data!A434</f>
        <v>WeCool C1 Car Mobile Holder with One Click Technology,360° Rotational, Strong Suction Cup,Compatible with 4 to 6 Inch Devices, Wildshield and Dashboard Mobile Holder for Car, and Use</v>
      </c>
      <c r="B434" s="10" t="str">
        <f>IFERROR(TRIM(LEFT(Raw_Data!A434,FIND(" ",Raw_Data!A434)-1)),Raw_Data!A434)</f>
        <v>WeCool</v>
      </c>
      <c r="C434" s="10" t="str">
        <f>IFERROR(LEFT(Raw_Data!B434,FIND("|",Raw_Data!B434)-1),Raw_Data!B434)</f>
        <v>Electronics</v>
      </c>
      <c r="D434" s="11">
        <f>IFERROR(VALUE(SUBSTITUTE(SUBSTITUTE(TRIM(Raw_Data!C434),"₹",""),",","")),"")</f>
        <v>489</v>
      </c>
      <c r="E434" s="11">
        <f>IFERROR(VALUE(SUBSTITUTE(SUBSTITUTE(TRIM(Raw_Data!D434),"₹",""),",","")),"")</f>
        <v>1999</v>
      </c>
      <c r="F434" s="12">
        <f>IFERROR(VALUE(SUBSTITUTE(Raw_Data!E434,"%",""))/100,"")</f>
        <v>0.76</v>
      </c>
      <c r="G434" s="13">
        <f>IFERROR(VALUE(Raw_Data!F434),"")</f>
        <v>4</v>
      </c>
      <c r="H434" s="14">
        <f>IFERROR(VALUE(SUBSTITUTE(Raw_Data!G434,",","")),"")</f>
        <v>3626</v>
      </c>
      <c r="I434" s="11">
        <f t="shared" si="24"/>
        <v>1510</v>
      </c>
      <c r="J434" s="11">
        <f t="shared" si="25"/>
        <v>1773114</v>
      </c>
      <c r="K434" s="1">
        <f t="shared" si="26"/>
        <v>3626.0000433999999</v>
      </c>
      <c r="L434" s="15">
        <f t="shared" si="27"/>
        <v>0.76004340000000004</v>
      </c>
    </row>
    <row r="435" spans="1:12" ht="15" customHeight="1" x14ac:dyDescent="0.25">
      <c r="A435" s="10" t="str">
        <f>Raw_Data!A435</f>
        <v>HP 32GB Class 10 MicroSD Memory Card (U1 TF Card 32GB)</v>
      </c>
      <c r="B435" s="10" t="str">
        <f>IFERROR(TRIM(LEFT(Raw_Data!A435,FIND(" ",Raw_Data!A435)-1)),Raw_Data!A435)</f>
        <v>HP</v>
      </c>
      <c r="C435" s="10" t="str">
        <f>IFERROR(LEFT(Raw_Data!B435,FIND("|",Raw_Data!B435)-1),Raw_Data!B435)</f>
        <v>Electronics</v>
      </c>
      <c r="D435" s="11">
        <f>IFERROR(VALUE(SUBSTITUTE(SUBSTITUTE(TRIM(Raw_Data!C435),"₹",""),",","")),"")</f>
        <v>369</v>
      </c>
      <c r="E435" s="11">
        <f>IFERROR(VALUE(SUBSTITUTE(SUBSTITUTE(TRIM(Raw_Data!D435),"₹",""),",","")),"")</f>
        <v>1600</v>
      </c>
      <c r="F435" s="12">
        <f>IFERROR(VALUE(SUBSTITUTE(Raw_Data!E435,"%",""))/100,"")</f>
        <v>0.77</v>
      </c>
      <c r="G435" s="13">
        <f>IFERROR(VALUE(Raw_Data!F435),"")</f>
        <v>4</v>
      </c>
      <c r="H435" s="14">
        <f>IFERROR(VALUE(SUBSTITUTE(Raw_Data!G435,",","")),"")</f>
        <v>32625</v>
      </c>
      <c r="I435" s="11">
        <f t="shared" si="24"/>
        <v>1231</v>
      </c>
      <c r="J435" s="11">
        <f t="shared" si="25"/>
        <v>12038625</v>
      </c>
      <c r="K435" s="1">
        <f t="shared" si="26"/>
        <v>32625.0000435</v>
      </c>
      <c r="L435" s="15">
        <f t="shared" si="27"/>
        <v>0.77004349999999999</v>
      </c>
    </row>
    <row r="436" spans="1:12" ht="15" customHeight="1" x14ac:dyDescent="0.25">
      <c r="A436" s="10" t="str">
        <f>Raw_Data!A436</f>
        <v>iQOO Z6 44W by vivo (Lumina Blue, 6GB RAM, 128GB Storage) | 6.44" FHD+ AMOLED Display | 50% Charge in just 27 mins | in-Display Fingerprint Scanning</v>
      </c>
      <c r="B436" s="10" t="str">
        <f>IFERROR(TRIM(LEFT(Raw_Data!A436,FIND(" ",Raw_Data!A436)-1)),Raw_Data!A436)</f>
        <v>iQOO</v>
      </c>
      <c r="C436" s="10" t="str">
        <f>IFERROR(LEFT(Raw_Data!B436,FIND("|",Raw_Data!B436)-1),Raw_Data!B436)</f>
        <v>Electronics</v>
      </c>
      <c r="D436" s="11">
        <f>IFERROR(VALUE(SUBSTITUTE(SUBSTITUTE(TRIM(Raw_Data!C436),"₹",""),",","")),"")</f>
        <v>15499</v>
      </c>
      <c r="E436" s="11">
        <f>IFERROR(VALUE(SUBSTITUTE(SUBSTITUTE(TRIM(Raw_Data!D436),"₹",""),",","")),"")</f>
        <v>20999</v>
      </c>
      <c r="F436" s="12">
        <f>IFERROR(VALUE(SUBSTITUTE(Raw_Data!E436,"%",""))/100,"")</f>
        <v>0.26</v>
      </c>
      <c r="G436" s="13">
        <f>IFERROR(VALUE(Raw_Data!F436),"")</f>
        <v>4.0999999999999996</v>
      </c>
      <c r="H436" s="14">
        <f>IFERROR(VALUE(SUBSTITUTE(Raw_Data!G436,",","")),"")</f>
        <v>19252</v>
      </c>
      <c r="I436" s="11">
        <f t="shared" si="24"/>
        <v>5500</v>
      </c>
      <c r="J436" s="11">
        <f t="shared" si="25"/>
        <v>298386748</v>
      </c>
      <c r="K436" s="1">
        <f t="shared" si="26"/>
        <v>19252.000043600001</v>
      </c>
      <c r="L436" s="15">
        <f t="shared" si="27"/>
        <v>0.26004359999999999</v>
      </c>
    </row>
    <row r="437" spans="1:12" ht="15" customHeight="1" x14ac:dyDescent="0.25">
      <c r="A437" s="10" t="str">
        <f>Raw_Data!A437</f>
        <v>iQOO Z6 Lite 5G by vivo (Mystic Night, 6GB RAM, 128GB Storage) | World's First Snapdragon 4 Gen 1 | 120Hz Refresh Rate | 5000mAh Battery | Travel Adapter to be Purchased Separately</v>
      </c>
      <c r="B437" s="10" t="str">
        <f>IFERROR(TRIM(LEFT(Raw_Data!A437,FIND(" ",Raw_Data!A437)-1)),Raw_Data!A437)</f>
        <v>iQOO</v>
      </c>
      <c r="C437" s="10" t="str">
        <f>IFERROR(LEFT(Raw_Data!B437,FIND("|",Raw_Data!B437)-1),Raw_Data!B437)</f>
        <v>Electronics</v>
      </c>
      <c r="D437" s="11">
        <f>IFERROR(VALUE(SUBSTITUTE(SUBSTITUTE(TRIM(Raw_Data!C437),"₹",""),",","")),"")</f>
        <v>15499</v>
      </c>
      <c r="E437" s="11">
        <f>IFERROR(VALUE(SUBSTITUTE(SUBSTITUTE(TRIM(Raw_Data!D437),"₹",""),",","")),"")</f>
        <v>18999</v>
      </c>
      <c r="F437" s="12">
        <f>IFERROR(VALUE(SUBSTITUTE(Raw_Data!E437,"%",""))/100,"")</f>
        <v>0.18</v>
      </c>
      <c r="G437" s="13">
        <f>IFERROR(VALUE(Raw_Data!F437),"")</f>
        <v>4.0999999999999996</v>
      </c>
      <c r="H437" s="14">
        <f>IFERROR(VALUE(SUBSTITUTE(Raw_Data!G437,",","")),"")</f>
        <v>19252</v>
      </c>
      <c r="I437" s="11">
        <f t="shared" si="24"/>
        <v>3500</v>
      </c>
      <c r="J437" s="11">
        <f t="shared" si="25"/>
        <v>298386748</v>
      </c>
      <c r="K437" s="1">
        <f t="shared" si="26"/>
        <v>19252.000043700002</v>
      </c>
      <c r="L437" s="15">
        <f t="shared" si="27"/>
        <v>0.1800437</v>
      </c>
    </row>
    <row r="438" spans="1:12" ht="15" customHeight="1" x14ac:dyDescent="0.25">
      <c r="A438" s="10" t="str">
        <f>Raw_Data!A438</f>
        <v>Redmi Note 11 Pro + 5G (Stealth Black, 8GB RAM, 256GB Storage) | 67W Turbo Charge | 120Hz Super AMOLED Display | Additional Exchange Offers | Charger Included</v>
      </c>
      <c r="B438" s="10" t="str">
        <f>IFERROR(TRIM(LEFT(Raw_Data!A438,FIND(" ",Raw_Data!A438)-1)),Raw_Data!A438)</f>
        <v>Redmi</v>
      </c>
      <c r="C438" s="10" t="str">
        <f>IFERROR(LEFT(Raw_Data!B438,FIND("|",Raw_Data!B438)-1),Raw_Data!B438)</f>
        <v>Electronics</v>
      </c>
      <c r="D438" s="11">
        <f>IFERROR(VALUE(SUBSTITUTE(SUBSTITUTE(TRIM(Raw_Data!C438),"₹",""),",","")),"")</f>
        <v>22999</v>
      </c>
      <c r="E438" s="11">
        <f>IFERROR(VALUE(SUBSTITUTE(SUBSTITUTE(TRIM(Raw_Data!D438),"₹",""),",","")),"")</f>
        <v>28999</v>
      </c>
      <c r="F438" s="12">
        <f>IFERROR(VALUE(SUBSTITUTE(Raw_Data!E438,"%",""))/100,"")</f>
        <v>0.21</v>
      </c>
      <c r="G438" s="13">
        <f>IFERROR(VALUE(Raw_Data!F438),"")</f>
        <v>3.9</v>
      </c>
      <c r="H438" s="14">
        <f>IFERROR(VALUE(SUBSTITUTE(Raw_Data!G438,",","")),"")</f>
        <v>25824</v>
      </c>
      <c r="I438" s="11">
        <f t="shared" si="24"/>
        <v>6000</v>
      </c>
      <c r="J438" s="11">
        <f t="shared" si="25"/>
        <v>593926176</v>
      </c>
      <c r="K438" s="1">
        <f t="shared" si="26"/>
        <v>25824.000043799999</v>
      </c>
      <c r="L438" s="15">
        <f t="shared" si="27"/>
        <v>0.2100438</v>
      </c>
    </row>
    <row r="439" spans="1:12" ht="15" customHeight="1" x14ac:dyDescent="0.25">
      <c r="A439" s="10" t="str">
        <f>Raw_Data!A439</f>
        <v>boAt Bassheads 242 in Ear Wired Earphones with Mic(Active Black)</v>
      </c>
      <c r="B439" s="10" t="str">
        <f>IFERROR(TRIM(LEFT(Raw_Data!A439,FIND(" ",Raw_Data!A439)-1)),Raw_Data!A439)</f>
        <v>boAt</v>
      </c>
      <c r="C439" s="10" t="str">
        <f>IFERROR(LEFT(Raw_Data!B439,FIND("|",Raw_Data!B439)-1),Raw_Data!B439)</f>
        <v>Electronics</v>
      </c>
      <c r="D439" s="11">
        <f>IFERROR(VALUE(SUBSTITUTE(SUBSTITUTE(TRIM(Raw_Data!C439),"₹",""),",","")),"")</f>
        <v>599</v>
      </c>
      <c r="E439" s="11">
        <f>IFERROR(VALUE(SUBSTITUTE(SUBSTITUTE(TRIM(Raw_Data!D439),"₹",""),",","")),"")</f>
        <v>1490</v>
      </c>
      <c r="F439" s="12">
        <f>IFERROR(VALUE(SUBSTITUTE(Raw_Data!E439,"%",""))/100,"")</f>
        <v>0.6</v>
      </c>
      <c r="G439" s="13">
        <f>IFERROR(VALUE(Raw_Data!F439),"")</f>
        <v>4.0999999999999996</v>
      </c>
      <c r="H439" s="14">
        <f>IFERROR(VALUE(SUBSTITUTE(Raw_Data!G439,",","")),"")</f>
        <v>161679</v>
      </c>
      <c r="I439" s="11">
        <f t="shared" si="24"/>
        <v>891</v>
      </c>
      <c r="J439" s="11">
        <f t="shared" si="25"/>
        <v>96845721</v>
      </c>
      <c r="K439" s="1">
        <f t="shared" si="26"/>
        <v>161679.00004390001</v>
      </c>
      <c r="L439" s="15">
        <f t="shared" si="27"/>
        <v>0.60004389999999996</v>
      </c>
    </row>
    <row r="440" spans="1:12" ht="15" customHeight="1" x14ac:dyDescent="0.25">
      <c r="A440" s="10" t="str">
        <f>Raw_Data!A440</f>
        <v>Portronics MODESK POR-122 Universal Mobile Tabletop Holder (Black)</v>
      </c>
      <c r="B440" s="10" t="str">
        <f>IFERROR(TRIM(LEFT(Raw_Data!A440,FIND(" ",Raw_Data!A440)-1)),Raw_Data!A440)</f>
        <v>Portronics</v>
      </c>
      <c r="C440" s="10" t="str">
        <f>IFERROR(LEFT(Raw_Data!B440,FIND("|",Raw_Data!B440)-1),Raw_Data!B440)</f>
        <v>Electronics</v>
      </c>
      <c r="D440" s="11">
        <f>IFERROR(VALUE(SUBSTITUTE(SUBSTITUTE(TRIM(Raw_Data!C440),"₹",""),",","")),"")</f>
        <v>134</v>
      </c>
      <c r="E440" s="11">
        <f>IFERROR(VALUE(SUBSTITUTE(SUBSTITUTE(TRIM(Raw_Data!D440),"₹",""),",","")),"")</f>
        <v>699</v>
      </c>
      <c r="F440" s="12">
        <f>IFERROR(VALUE(SUBSTITUTE(Raw_Data!E440,"%",""))/100,"")</f>
        <v>0.81</v>
      </c>
      <c r="G440" s="13">
        <f>IFERROR(VALUE(Raw_Data!F440),"")</f>
        <v>4.0999999999999996</v>
      </c>
      <c r="H440" s="14">
        <f>IFERROR(VALUE(SUBSTITUTE(Raw_Data!G440,",","")),"")</f>
        <v>16685</v>
      </c>
      <c r="I440" s="11">
        <f t="shared" si="24"/>
        <v>565</v>
      </c>
      <c r="J440" s="11">
        <f t="shared" si="25"/>
        <v>2235790</v>
      </c>
      <c r="K440" s="1">
        <f t="shared" si="26"/>
        <v>16685.000044</v>
      </c>
      <c r="L440" s="15">
        <f t="shared" si="27"/>
        <v>0.8100440000000001</v>
      </c>
    </row>
    <row r="441" spans="1:12" ht="15" customHeight="1" x14ac:dyDescent="0.25">
      <c r="A441" s="10" t="str">
        <f>Raw_Data!A441</f>
        <v>realme narzo 50i (Mint Green, 2GB RAM+32GB Storage) Octa Core Processor | 6.5" inch Large Display</v>
      </c>
      <c r="B441" s="10" t="str">
        <f>IFERROR(TRIM(LEFT(Raw_Data!A441,FIND(" ",Raw_Data!A441)-1)),Raw_Data!A441)</f>
        <v>realme</v>
      </c>
      <c r="C441" s="10" t="str">
        <f>IFERROR(LEFT(Raw_Data!B441,FIND("|",Raw_Data!B441)-1),Raw_Data!B441)</f>
        <v>Electronics</v>
      </c>
      <c r="D441" s="11">
        <f>IFERROR(VALUE(SUBSTITUTE(SUBSTITUTE(TRIM(Raw_Data!C441),"₹",""),",","")),"")</f>
        <v>7499</v>
      </c>
      <c r="E441" s="11">
        <f>IFERROR(VALUE(SUBSTITUTE(SUBSTITUTE(TRIM(Raw_Data!D441),"₹",""),",","")),"")</f>
        <v>7999</v>
      </c>
      <c r="F441" s="12">
        <f>IFERROR(VALUE(SUBSTITUTE(Raw_Data!E441,"%",""))/100,"")</f>
        <v>0.06</v>
      </c>
      <c r="G441" s="13">
        <f>IFERROR(VALUE(Raw_Data!F441),"")</f>
        <v>4</v>
      </c>
      <c r="H441" s="14">
        <f>IFERROR(VALUE(SUBSTITUTE(Raw_Data!G441,",","")),"")</f>
        <v>30907</v>
      </c>
      <c r="I441" s="11">
        <f t="shared" si="24"/>
        <v>500</v>
      </c>
      <c r="J441" s="11">
        <f t="shared" si="25"/>
        <v>231771593</v>
      </c>
      <c r="K441" s="1">
        <f t="shared" si="26"/>
        <v>30907.000044100001</v>
      </c>
      <c r="L441" s="15">
        <f t="shared" si="27"/>
        <v>6.0044099999999996E-2</v>
      </c>
    </row>
    <row r="442" spans="1:12" ht="15" customHeight="1" x14ac:dyDescent="0.25">
      <c r="A442" s="10" t="str">
        <f>Raw_Data!A442</f>
        <v>MI 10000mAh 3i Lithium Polymer Power Bank Dual Input(Micro-USB and Type C) and Output Ports 18W Fast Charging (Metallic Blue)</v>
      </c>
      <c r="B442" s="10" t="str">
        <f>IFERROR(TRIM(LEFT(Raw_Data!A442,FIND(" ",Raw_Data!A442)-1)),Raw_Data!A442)</f>
        <v>MI</v>
      </c>
      <c r="C442" s="10" t="str">
        <f>IFERROR(LEFT(Raw_Data!B442,FIND("|",Raw_Data!B442)-1),Raw_Data!B442)</f>
        <v>Electronics</v>
      </c>
      <c r="D442" s="11">
        <f>IFERROR(VALUE(SUBSTITUTE(SUBSTITUTE(TRIM(Raw_Data!C442),"₹",""),",","")),"")</f>
        <v>1149</v>
      </c>
      <c r="E442" s="11">
        <f>IFERROR(VALUE(SUBSTITUTE(SUBSTITUTE(TRIM(Raw_Data!D442),"₹",""),",","")),"")</f>
        <v>2199</v>
      </c>
      <c r="F442" s="12">
        <f>IFERROR(VALUE(SUBSTITUTE(Raw_Data!E442,"%",""))/100,"")</f>
        <v>0.48</v>
      </c>
      <c r="G442" s="13">
        <f>IFERROR(VALUE(Raw_Data!F442),"")</f>
        <v>4.3</v>
      </c>
      <c r="H442" s="14">
        <f>IFERROR(VALUE(SUBSTITUTE(Raw_Data!G442,",","")),"")</f>
        <v>178912</v>
      </c>
      <c r="I442" s="11">
        <f t="shared" si="24"/>
        <v>1050</v>
      </c>
      <c r="J442" s="11">
        <f t="shared" si="25"/>
        <v>205569888</v>
      </c>
      <c r="K442" s="1">
        <f t="shared" si="26"/>
        <v>178912.00004419999</v>
      </c>
      <c r="L442" s="15">
        <f t="shared" si="27"/>
        <v>0.48004419999999998</v>
      </c>
    </row>
    <row r="443" spans="1:12" ht="15" customHeight="1" x14ac:dyDescent="0.25">
      <c r="A443" s="10" t="str">
        <f>Raw_Data!A443</f>
        <v>Nokia 105 Plus Single SIM, Keypad Mobile Phone with Wireless FM Radio, Memory Card Slot and MP3 Player | Red</v>
      </c>
      <c r="B443" s="10" t="str">
        <f>IFERROR(TRIM(LEFT(Raw_Data!A443,FIND(" ",Raw_Data!A443)-1)),Raw_Data!A443)</f>
        <v>Nokia</v>
      </c>
      <c r="C443" s="10" t="str">
        <f>IFERROR(LEFT(Raw_Data!B443,FIND("|",Raw_Data!B443)-1),Raw_Data!B443)</f>
        <v>Electronics</v>
      </c>
      <c r="D443" s="11">
        <f>IFERROR(VALUE(SUBSTITUTE(SUBSTITUTE(TRIM(Raw_Data!C443),"₹",""),",","")),"")</f>
        <v>1324</v>
      </c>
      <c r="E443" s="11">
        <f>IFERROR(VALUE(SUBSTITUTE(SUBSTITUTE(TRIM(Raw_Data!D443),"₹",""),",","")),"")</f>
        <v>1699</v>
      </c>
      <c r="F443" s="12">
        <f>IFERROR(VALUE(SUBSTITUTE(Raw_Data!E443,"%",""))/100,"")</f>
        <v>0.22</v>
      </c>
      <c r="G443" s="13">
        <f>IFERROR(VALUE(Raw_Data!F443),"")</f>
        <v>4</v>
      </c>
      <c r="H443" s="14">
        <f>IFERROR(VALUE(SUBSTITUTE(Raw_Data!G443,",","")),"")</f>
        <v>128311</v>
      </c>
      <c r="I443" s="11">
        <f t="shared" si="24"/>
        <v>375</v>
      </c>
      <c r="J443" s="11">
        <f t="shared" si="25"/>
        <v>169883764</v>
      </c>
      <c r="K443" s="1">
        <f t="shared" si="26"/>
        <v>128311.0000443</v>
      </c>
      <c r="L443" s="15">
        <f t="shared" si="27"/>
        <v>0.2200443</v>
      </c>
    </row>
    <row r="444" spans="1:12" ht="15" customHeight="1" x14ac:dyDescent="0.25">
      <c r="A444" s="10" t="str">
        <f>Raw_Data!A444</f>
        <v>iQOO Z6 44W by vivo (Raven Black, 4GB RAM, 128GB Storage) | 6.44" FHD+ AMOLED Display | 50% Charge in just 27 mins | in-Display Fingerprint Scanning</v>
      </c>
      <c r="B444" s="10" t="str">
        <f>IFERROR(TRIM(LEFT(Raw_Data!A444,FIND(" ",Raw_Data!A444)-1)),Raw_Data!A444)</f>
        <v>iQOO</v>
      </c>
      <c r="C444" s="10" t="str">
        <f>IFERROR(LEFT(Raw_Data!B444,FIND("|",Raw_Data!B444)-1),Raw_Data!B444)</f>
        <v>Electronics</v>
      </c>
      <c r="D444" s="11">
        <f>IFERROR(VALUE(SUBSTITUTE(SUBSTITUTE(TRIM(Raw_Data!C444),"₹",""),",","")),"")</f>
        <v>13999</v>
      </c>
      <c r="E444" s="11">
        <f>IFERROR(VALUE(SUBSTITUTE(SUBSTITUTE(TRIM(Raw_Data!D444),"₹",""),",","")),"")</f>
        <v>19999</v>
      </c>
      <c r="F444" s="12">
        <f>IFERROR(VALUE(SUBSTITUTE(Raw_Data!E444,"%",""))/100,"")</f>
        <v>0.3</v>
      </c>
      <c r="G444" s="13">
        <f>IFERROR(VALUE(Raw_Data!F444),"")</f>
        <v>4.0999999999999996</v>
      </c>
      <c r="H444" s="14">
        <f>IFERROR(VALUE(SUBSTITUTE(Raw_Data!G444,",","")),"")</f>
        <v>19252</v>
      </c>
      <c r="I444" s="11">
        <f t="shared" si="24"/>
        <v>6000</v>
      </c>
      <c r="J444" s="11">
        <f t="shared" si="25"/>
        <v>269508748</v>
      </c>
      <c r="K444" s="1">
        <f t="shared" si="26"/>
        <v>19252.0000444</v>
      </c>
      <c r="L444" s="15">
        <f t="shared" si="27"/>
        <v>0.30004439999999999</v>
      </c>
    </row>
    <row r="445" spans="1:12" ht="15" customHeight="1" x14ac:dyDescent="0.25">
      <c r="A445" s="10" t="str">
        <f>Raw_Data!A445</f>
        <v>boAt Rugged v3 Extra Tough Unbreakable Braided Micro USB Cable 1.5 Meter (Black)</v>
      </c>
      <c r="B445" s="10" t="str">
        <f>IFERROR(TRIM(LEFT(Raw_Data!A445,FIND(" ",Raw_Data!A445)-1)),Raw_Data!A445)</f>
        <v>boAt</v>
      </c>
      <c r="C445" s="10" t="str">
        <f>IFERROR(LEFT(Raw_Data!B445,FIND("|",Raw_Data!B445)-1),Raw_Data!B445)</f>
        <v>Computers&amp;Accessories</v>
      </c>
      <c r="D445" s="11">
        <f>IFERROR(VALUE(SUBSTITUTE(SUBSTITUTE(TRIM(Raw_Data!C445),"₹",""),",","")),"")</f>
        <v>299</v>
      </c>
      <c r="E445" s="11">
        <f>IFERROR(VALUE(SUBSTITUTE(SUBSTITUTE(TRIM(Raw_Data!D445),"₹",""),",","")),"")</f>
        <v>799</v>
      </c>
      <c r="F445" s="12">
        <f>IFERROR(VALUE(SUBSTITUTE(Raw_Data!E445,"%",""))/100,"")</f>
        <v>0.63</v>
      </c>
      <c r="G445" s="13">
        <f>IFERROR(VALUE(Raw_Data!F445),"")</f>
        <v>4.2</v>
      </c>
      <c r="H445" s="14">
        <f>IFERROR(VALUE(SUBSTITUTE(Raw_Data!G445,",","")),"")</f>
        <v>94364</v>
      </c>
      <c r="I445" s="11">
        <f t="shared" si="24"/>
        <v>500</v>
      </c>
      <c r="J445" s="11">
        <f t="shared" si="25"/>
        <v>28214836</v>
      </c>
      <c r="K445" s="1">
        <f t="shared" si="26"/>
        <v>94364.000044500004</v>
      </c>
      <c r="L445" s="15">
        <f t="shared" si="27"/>
        <v>0.63004450000000001</v>
      </c>
    </row>
    <row r="446" spans="1:12" ht="15" customHeight="1" x14ac:dyDescent="0.25">
      <c r="A446" s="10" t="str">
        <f>Raw_Data!A446</f>
        <v>Ambrane 10000mAh Slim Power Bank, 20W Fast Charging, Dual Output, Type C PD (Input &amp; Output), Quick Charge, Li-Polymer, Multi-Layer Protection for iPhone, Anrdoid &amp; Other Devices (Stylo 10K, Green)</v>
      </c>
      <c r="B446" s="10" t="str">
        <f>IFERROR(TRIM(LEFT(Raw_Data!A446,FIND(" ",Raw_Data!A446)-1)),Raw_Data!A446)</f>
        <v>Ambrane</v>
      </c>
      <c r="C446" s="10" t="str">
        <f>IFERROR(LEFT(Raw_Data!B446,FIND("|",Raw_Data!B446)-1),Raw_Data!B446)</f>
        <v>Electronics</v>
      </c>
      <c r="D446" s="11">
        <f>IFERROR(VALUE(SUBSTITUTE(SUBSTITUTE(TRIM(Raw_Data!C446),"₹",""),",","")),"")</f>
        <v>999</v>
      </c>
      <c r="E446" s="11">
        <f>IFERROR(VALUE(SUBSTITUTE(SUBSTITUTE(TRIM(Raw_Data!D446),"₹",""),",","")),"")</f>
        <v>1599</v>
      </c>
      <c r="F446" s="12">
        <f>IFERROR(VALUE(SUBSTITUTE(Raw_Data!E446,"%",""))/100,"")</f>
        <v>0.38</v>
      </c>
      <c r="G446" s="13">
        <f>IFERROR(VALUE(Raw_Data!F446),"")</f>
        <v>4</v>
      </c>
      <c r="H446" s="14">
        <f>IFERROR(VALUE(SUBSTITUTE(Raw_Data!G446,",","")),"")</f>
        <v>7222</v>
      </c>
      <c r="I446" s="11">
        <f t="shared" si="24"/>
        <v>600</v>
      </c>
      <c r="J446" s="11">
        <f t="shared" si="25"/>
        <v>7214778</v>
      </c>
      <c r="K446" s="1">
        <f t="shared" si="26"/>
        <v>7222.0000446000004</v>
      </c>
      <c r="L446" s="15">
        <f t="shared" si="27"/>
        <v>0.38004460000000001</v>
      </c>
    </row>
    <row r="447" spans="1:12" ht="15" customHeight="1" x14ac:dyDescent="0.25">
      <c r="A447" s="10" t="str">
        <f>Raw_Data!A447</f>
        <v>Samsung Galaxy M13 (Stardust Brown, 6GB, 128GB Storage) | 6000mAh Battery | Upto 12GB RAM with RAM Plus</v>
      </c>
      <c r="B447" s="10" t="str">
        <f>IFERROR(TRIM(LEFT(Raw_Data!A447,FIND(" ",Raw_Data!A447)-1)),Raw_Data!A447)</f>
        <v>Samsung</v>
      </c>
      <c r="C447" s="10" t="str">
        <f>IFERROR(LEFT(Raw_Data!B447,FIND("|",Raw_Data!B447)-1),Raw_Data!B447)</f>
        <v>Electronics</v>
      </c>
      <c r="D447" s="11">
        <f>IFERROR(VALUE(SUBSTITUTE(SUBSTITUTE(TRIM(Raw_Data!C447),"₹",""),",","")),"")</f>
        <v>12999</v>
      </c>
      <c r="E447" s="11">
        <f>IFERROR(VALUE(SUBSTITUTE(SUBSTITUTE(TRIM(Raw_Data!D447),"₹",""),",","")),"")</f>
        <v>17999</v>
      </c>
      <c r="F447" s="12">
        <f>IFERROR(VALUE(SUBSTITUTE(Raw_Data!E447,"%",""))/100,"")</f>
        <v>0.28000000000000003</v>
      </c>
      <c r="G447" s="13">
        <f>IFERROR(VALUE(Raw_Data!F447),"")</f>
        <v>4.0999999999999996</v>
      </c>
      <c r="H447" s="14">
        <f>IFERROR(VALUE(SUBSTITUTE(Raw_Data!G447,",","")),"")</f>
        <v>18998</v>
      </c>
      <c r="I447" s="11">
        <f t="shared" si="24"/>
        <v>5000</v>
      </c>
      <c r="J447" s="11">
        <f t="shared" si="25"/>
        <v>246955002</v>
      </c>
      <c r="K447" s="1">
        <f t="shared" si="26"/>
        <v>18998.000044699998</v>
      </c>
      <c r="L447" s="15">
        <f t="shared" si="27"/>
        <v>0.28004470000000004</v>
      </c>
    </row>
    <row r="448" spans="1:12" ht="15" customHeight="1" x14ac:dyDescent="0.25">
      <c r="A448" s="10" t="str">
        <f>Raw_Data!A448</f>
        <v>OPPO A74 5G (Fluid Black, 6GB RAM, 128GB Storage) with No Cost EMI/Additional Exchange Offers</v>
      </c>
      <c r="B448" s="10" t="str">
        <f>IFERROR(TRIM(LEFT(Raw_Data!A448,FIND(" ",Raw_Data!A448)-1)),Raw_Data!A448)</f>
        <v>OPPO</v>
      </c>
      <c r="C448" s="10" t="str">
        <f>IFERROR(LEFT(Raw_Data!B448,FIND("|",Raw_Data!B448)-1),Raw_Data!B448)</f>
        <v>Electronics</v>
      </c>
      <c r="D448" s="11">
        <f>IFERROR(VALUE(SUBSTITUTE(SUBSTITUTE(TRIM(Raw_Data!C448),"₹",""),",","")),"")</f>
        <v>15490</v>
      </c>
      <c r="E448" s="11">
        <f>IFERROR(VALUE(SUBSTITUTE(SUBSTITUTE(TRIM(Raw_Data!D448),"₹",""),",","")),"")</f>
        <v>20990</v>
      </c>
      <c r="F448" s="12">
        <f>IFERROR(VALUE(SUBSTITUTE(Raw_Data!E448,"%",""))/100,"")</f>
        <v>0.26</v>
      </c>
      <c r="G448" s="13">
        <f>IFERROR(VALUE(Raw_Data!F448),"")</f>
        <v>4.2</v>
      </c>
      <c r="H448" s="14">
        <f>IFERROR(VALUE(SUBSTITUTE(Raw_Data!G448,",","")),"")</f>
        <v>32916</v>
      </c>
      <c r="I448" s="11">
        <f t="shared" si="24"/>
        <v>5500</v>
      </c>
      <c r="J448" s="11">
        <f t="shared" si="25"/>
        <v>509868840</v>
      </c>
      <c r="K448" s="1">
        <f t="shared" si="26"/>
        <v>32916.000044799999</v>
      </c>
      <c r="L448" s="15">
        <f t="shared" si="27"/>
        <v>0.26004480000000002</v>
      </c>
    </row>
    <row r="449" spans="1:12" ht="15" customHeight="1" x14ac:dyDescent="0.25">
      <c r="A449" s="10" t="str">
        <f>Raw_Data!A449</f>
        <v>Spigen EZ Fit Tempered Glass Screen Protector Guard for iPhone 14/13/13 Pro - 2 Pack</v>
      </c>
      <c r="B449" s="10" t="str">
        <f>IFERROR(TRIM(LEFT(Raw_Data!A449,FIND(" ",Raw_Data!A449)-1)),Raw_Data!A449)</f>
        <v>Spigen</v>
      </c>
      <c r="C449" s="10" t="str">
        <f>IFERROR(LEFT(Raw_Data!B449,FIND("|",Raw_Data!B449)-1),Raw_Data!B449)</f>
        <v>Electronics</v>
      </c>
      <c r="D449" s="11">
        <f>IFERROR(VALUE(SUBSTITUTE(SUBSTITUTE(TRIM(Raw_Data!C449),"₹",""),",","")),"")</f>
        <v>999</v>
      </c>
      <c r="E449" s="11">
        <f>IFERROR(VALUE(SUBSTITUTE(SUBSTITUTE(TRIM(Raw_Data!D449),"₹",""),",","")),"")</f>
        <v>2899</v>
      </c>
      <c r="F449" s="12">
        <f>IFERROR(VALUE(SUBSTITUTE(Raw_Data!E449,"%",""))/100,"")</f>
        <v>0.66</v>
      </c>
      <c r="G449" s="13">
        <f>IFERROR(VALUE(Raw_Data!F449),"")</f>
        <v>4.5999999999999996</v>
      </c>
      <c r="H449" s="14">
        <f>IFERROR(VALUE(SUBSTITUTE(Raw_Data!G449,",","")),"")</f>
        <v>26603</v>
      </c>
      <c r="I449" s="11">
        <f t="shared" si="24"/>
        <v>1900</v>
      </c>
      <c r="J449" s="11">
        <f t="shared" si="25"/>
        <v>26576397</v>
      </c>
      <c r="K449" s="1">
        <f t="shared" si="26"/>
        <v>26603.0000449</v>
      </c>
      <c r="L449" s="15">
        <f t="shared" si="27"/>
        <v>0.66004490000000005</v>
      </c>
    </row>
    <row r="450" spans="1:12" ht="15" customHeight="1" x14ac:dyDescent="0.25">
      <c r="A450" s="10" t="str">
        <f>Raw_Data!A450</f>
        <v>Noise ColorFit Pulse Smartwatch with 3.56 cm (1.4") Full Touch HD Display, SpO2, Heart Rate, Sleep Monitors &amp; 10-Day Battery - Jet Black</v>
      </c>
      <c r="B450" s="10" t="str">
        <f>IFERROR(TRIM(LEFT(Raw_Data!A450,FIND(" ",Raw_Data!A450)-1)),Raw_Data!A450)</f>
        <v>Noise</v>
      </c>
      <c r="C450" s="10" t="str">
        <f>IFERROR(LEFT(Raw_Data!B450,FIND("|",Raw_Data!B450)-1),Raw_Data!B450)</f>
        <v>Electronics</v>
      </c>
      <c r="D450" s="11">
        <f>IFERROR(VALUE(SUBSTITUTE(SUBSTITUTE(TRIM(Raw_Data!C450),"₹",""),",","")),"")</f>
        <v>1599</v>
      </c>
      <c r="E450" s="11">
        <f>IFERROR(VALUE(SUBSTITUTE(SUBSTITUTE(TRIM(Raw_Data!D450),"₹",""),",","")),"")</f>
        <v>4999</v>
      </c>
      <c r="F450" s="12">
        <f>IFERROR(VALUE(SUBSTITUTE(Raw_Data!E450,"%",""))/100,"")</f>
        <v>0.68</v>
      </c>
      <c r="G450" s="13">
        <f>IFERROR(VALUE(Raw_Data!F450),"")</f>
        <v>4</v>
      </c>
      <c r="H450" s="14">
        <f>IFERROR(VALUE(SUBSTITUTE(Raw_Data!G450,",","")),"")</f>
        <v>67950</v>
      </c>
      <c r="I450" s="11">
        <f t="shared" ref="I450:I513" si="28">IFERROR(E450-D450,"")</f>
        <v>3400</v>
      </c>
      <c r="J450" s="11">
        <f t="shared" ref="J450:J513" si="29">IFERROR(D450*H450,"")</f>
        <v>108652050</v>
      </c>
      <c r="K450" s="1">
        <f t="shared" ref="K450:K513" si="30">IF(ISNUMBER(H450),H450+ROW()/10000000,"")</f>
        <v>67950.000044999993</v>
      </c>
      <c r="L450" s="15">
        <f t="shared" ref="L450:L513" si="31">IF(ISNUMBER(F450),F450+ROW()/10000000,"")</f>
        <v>0.68004500000000001</v>
      </c>
    </row>
    <row r="451" spans="1:12" ht="15" customHeight="1" x14ac:dyDescent="0.25">
      <c r="A451" s="10" t="str">
        <f>Raw_Data!A451</f>
        <v>Nokia 105 Plus Single SIM, Keypad Mobile Phone with Wireless FM Radio, Memory Card Slot and MP3 Player | Charcoal</v>
      </c>
      <c r="B451" s="10" t="str">
        <f>IFERROR(TRIM(LEFT(Raw_Data!A451,FIND(" ",Raw_Data!A451)-1)),Raw_Data!A451)</f>
        <v>Nokia</v>
      </c>
      <c r="C451" s="10" t="str">
        <f>IFERROR(LEFT(Raw_Data!B451,FIND("|",Raw_Data!B451)-1),Raw_Data!B451)</f>
        <v>Electronics</v>
      </c>
      <c r="D451" s="11">
        <f>IFERROR(VALUE(SUBSTITUTE(SUBSTITUTE(TRIM(Raw_Data!C451),"₹",""),",","")),"")</f>
        <v>1324</v>
      </c>
      <c r="E451" s="11">
        <f>IFERROR(VALUE(SUBSTITUTE(SUBSTITUTE(TRIM(Raw_Data!D451),"₹",""),",","")),"")</f>
        <v>1699</v>
      </c>
      <c r="F451" s="12">
        <f>IFERROR(VALUE(SUBSTITUTE(Raw_Data!E451,"%",""))/100,"")</f>
        <v>0.22</v>
      </c>
      <c r="G451" s="13">
        <f>IFERROR(VALUE(Raw_Data!F451),"")</f>
        <v>4</v>
      </c>
      <c r="H451" s="14">
        <f>IFERROR(VALUE(SUBSTITUTE(Raw_Data!G451,",","")),"")</f>
        <v>128311</v>
      </c>
      <c r="I451" s="11">
        <f t="shared" si="28"/>
        <v>375</v>
      </c>
      <c r="J451" s="11">
        <f t="shared" si="29"/>
        <v>169883764</v>
      </c>
      <c r="K451" s="1">
        <f t="shared" si="30"/>
        <v>128311.00004509999</v>
      </c>
      <c r="L451" s="15">
        <f t="shared" si="31"/>
        <v>0.22004509999999999</v>
      </c>
    </row>
    <row r="452" spans="1:12" ht="15" customHeight="1" x14ac:dyDescent="0.25">
      <c r="A452" s="10" t="str">
        <f>Raw_Data!A452</f>
        <v>iQOO Z6 Pro 5G by vivo (Legion Sky, 8GB RAM, 128GB Storage) | Snapdragon 778G 5G | 66W FlashCharge | 1300 nits Peak Brightness | HDR10+</v>
      </c>
      <c r="B452" s="10" t="str">
        <f>IFERROR(TRIM(LEFT(Raw_Data!A452,FIND(" ",Raw_Data!A452)-1)),Raw_Data!A452)</f>
        <v>iQOO</v>
      </c>
      <c r="C452" s="10" t="str">
        <f>IFERROR(LEFT(Raw_Data!B452,FIND("|",Raw_Data!B452)-1),Raw_Data!B452)</f>
        <v>Electronics</v>
      </c>
      <c r="D452" s="11">
        <f>IFERROR(VALUE(SUBSTITUTE(SUBSTITUTE(TRIM(Raw_Data!C452),"₹",""),",","")),"")</f>
        <v>20999</v>
      </c>
      <c r="E452" s="11">
        <f>IFERROR(VALUE(SUBSTITUTE(SUBSTITUTE(TRIM(Raw_Data!D452),"₹",""),",","")),"")</f>
        <v>29990</v>
      </c>
      <c r="F452" s="12">
        <f>IFERROR(VALUE(SUBSTITUTE(Raw_Data!E452,"%",""))/100,"")</f>
        <v>0.3</v>
      </c>
      <c r="G452" s="13">
        <f>IFERROR(VALUE(Raw_Data!F452),"")</f>
        <v>4.3</v>
      </c>
      <c r="H452" s="14">
        <f>IFERROR(VALUE(SUBSTITUTE(Raw_Data!G452,",","")),"")</f>
        <v>9499</v>
      </c>
      <c r="I452" s="11">
        <f t="shared" si="28"/>
        <v>8991</v>
      </c>
      <c r="J452" s="11">
        <f t="shared" si="29"/>
        <v>199469501</v>
      </c>
      <c r="K452" s="1">
        <f t="shared" si="30"/>
        <v>9499.0000452000004</v>
      </c>
      <c r="L452" s="15">
        <f t="shared" si="31"/>
        <v>0.30004520000000001</v>
      </c>
    </row>
    <row r="453" spans="1:12" ht="15" customHeight="1" x14ac:dyDescent="0.25">
      <c r="A453" s="10" t="str">
        <f>Raw_Data!A453</f>
        <v>MI 33W SonicCharge 2.0 USB Charger for Cellular Phones - White</v>
      </c>
      <c r="B453" s="10" t="str">
        <f>IFERROR(TRIM(LEFT(Raw_Data!A453,FIND(" ",Raw_Data!A453)-1)),Raw_Data!A453)</f>
        <v>MI</v>
      </c>
      <c r="C453" s="10" t="str">
        <f>IFERROR(LEFT(Raw_Data!B453,FIND("|",Raw_Data!B453)-1),Raw_Data!B453)</f>
        <v>Electronics</v>
      </c>
      <c r="D453" s="11">
        <f>IFERROR(VALUE(SUBSTITUTE(SUBSTITUTE(TRIM(Raw_Data!C453),"₹",""),",","")),"")</f>
        <v>999</v>
      </c>
      <c r="E453" s="11">
        <f>IFERROR(VALUE(SUBSTITUTE(SUBSTITUTE(TRIM(Raw_Data!D453),"₹",""),",","")),"")</f>
        <v>1999</v>
      </c>
      <c r="F453" s="12">
        <f>IFERROR(VALUE(SUBSTITUTE(Raw_Data!E453,"%",""))/100,"")</f>
        <v>0.5</v>
      </c>
      <c r="G453" s="13">
        <f>IFERROR(VALUE(Raw_Data!F453),"")</f>
        <v>4.3</v>
      </c>
      <c r="H453" s="14">
        <f>IFERROR(VALUE(SUBSTITUTE(Raw_Data!G453,",","")),"")</f>
        <v>1777</v>
      </c>
      <c r="I453" s="11">
        <f t="shared" si="28"/>
        <v>1000</v>
      </c>
      <c r="J453" s="11">
        <f t="shared" si="29"/>
        <v>1775223</v>
      </c>
      <c r="K453" s="1">
        <f t="shared" si="30"/>
        <v>1777.0000453</v>
      </c>
      <c r="L453" s="15">
        <f t="shared" si="31"/>
        <v>0.50004530000000003</v>
      </c>
    </row>
    <row r="454" spans="1:12" ht="15" customHeight="1" x14ac:dyDescent="0.25">
      <c r="A454" s="10" t="str">
        <f>Raw_Data!A454</f>
        <v>OPPO A31 (Mystery Black, 6GB RAM, 128GB Storage) with No Cost EMI/Additional Exchange Offers</v>
      </c>
      <c r="B454" s="10" t="str">
        <f>IFERROR(TRIM(LEFT(Raw_Data!A454,FIND(" ",Raw_Data!A454)-1)),Raw_Data!A454)</f>
        <v>OPPO</v>
      </c>
      <c r="C454" s="10" t="str">
        <f>IFERROR(LEFT(Raw_Data!B454,FIND("|",Raw_Data!B454)-1),Raw_Data!B454)</f>
        <v>Electronics</v>
      </c>
      <c r="D454" s="11">
        <f>IFERROR(VALUE(SUBSTITUTE(SUBSTITUTE(TRIM(Raw_Data!C454),"₹",""),",","")),"")</f>
        <v>12490</v>
      </c>
      <c r="E454" s="11">
        <f>IFERROR(VALUE(SUBSTITUTE(SUBSTITUTE(TRIM(Raw_Data!D454),"₹",""),",","")),"")</f>
        <v>15990</v>
      </c>
      <c r="F454" s="12">
        <f>IFERROR(VALUE(SUBSTITUTE(Raw_Data!E454,"%",""))/100,"")</f>
        <v>0.22</v>
      </c>
      <c r="G454" s="13">
        <f>IFERROR(VALUE(Raw_Data!F454),"")</f>
        <v>4.2</v>
      </c>
      <c r="H454" s="14">
        <f>IFERROR(VALUE(SUBSTITUTE(Raw_Data!G454,",","")),"")</f>
        <v>58506</v>
      </c>
      <c r="I454" s="11">
        <f t="shared" si="28"/>
        <v>3500</v>
      </c>
      <c r="J454" s="11">
        <f t="shared" si="29"/>
        <v>730739940</v>
      </c>
      <c r="K454" s="1">
        <f t="shared" si="30"/>
        <v>58506.000045399996</v>
      </c>
      <c r="L454" s="15">
        <f t="shared" si="31"/>
        <v>0.2200454</v>
      </c>
    </row>
    <row r="455" spans="1:12" ht="15" customHeight="1" x14ac:dyDescent="0.25">
      <c r="A455" s="10" t="str">
        <f>Raw_Data!A455</f>
        <v>iQOO vivo Z6 5G (Chromatic Blue, 8GB RAM, 128GB Storage) | Snapdragon 695-6nm Processor | 120Hz FHD+ Display | 5000mAh Battery</v>
      </c>
      <c r="B455" s="10" t="str">
        <f>IFERROR(TRIM(LEFT(Raw_Data!A455,FIND(" ",Raw_Data!A455)-1)),Raw_Data!A455)</f>
        <v>iQOO</v>
      </c>
      <c r="C455" s="10" t="str">
        <f>IFERROR(LEFT(Raw_Data!B455,FIND("|",Raw_Data!B455)-1),Raw_Data!B455)</f>
        <v>Electronics</v>
      </c>
      <c r="D455" s="11">
        <f>IFERROR(VALUE(SUBSTITUTE(SUBSTITUTE(TRIM(Raw_Data!C455),"₹",""),",","")),"")</f>
        <v>17999</v>
      </c>
      <c r="E455" s="11">
        <f>IFERROR(VALUE(SUBSTITUTE(SUBSTITUTE(TRIM(Raw_Data!D455),"₹",""),",","")),"")</f>
        <v>21990</v>
      </c>
      <c r="F455" s="12">
        <f>IFERROR(VALUE(SUBSTITUTE(Raw_Data!E455,"%",""))/100,"")</f>
        <v>0.18</v>
      </c>
      <c r="G455" s="13">
        <f>IFERROR(VALUE(Raw_Data!F455),"")</f>
        <v>4</v>
      </c>
      <c r="H455" s="14">
        <f>IFERROR(VALUE(SUBSTITUTE(Raw_Data!G455,",","")),"")</f>
        <v>21350</v>
      </c>
      <c r="I455" s="11">
        <f t="shared" si="28"/>
        <v>3991</v>
      </c>
      <c r="J455" s="11">
        <f t="shared" si="29"/>
        <v>384278650</v>
      </c>
      <c r="K455" s="1">
        <f t="shared" si="30"/>
        <v>21350.000045500001</v>
      </c>
      <c r="L455" s="15">
        <f t="shared" si="31"/>
        <v>0.1800455</v>
      </c>
    </row>
    <row r="456" spans="1:12" ht="15" customHeight="1" x14ac:dyDescent="0.25">
      <c r="A456" s="10" t="str">
        <f>Raw_Data!A456</f>
        <v>Portronics Konnect CL 20W POR-1067 Type-C to 8 Pin USB 1.2M Cable with Power Delivery &amp; 3A Quick Charge Support, Nylon Braided for All Type-C and 8 Pin Devices, Green</v>
      </c>
      <c r="B456" s="10" t="str">
        <f>IFERROR(TRIM(LEFT(Raw_Data!A456,FIND(" ",Raw_Data!A456)-1)),Raw_Data!A456)</f>
        <v>Portronics</v>
      </c>
      <c r="C456" s="10" t="str">
        <f>IFERROR(LEFT(Raw_Data!B456,FIND("|",Raw_Data!B456)-1),Raw_Data!B456)</f>
        <v>Computers&amp;Accessories</v>
      </c>
      <c r="D456" s="11">
        <f>IFERROR(VALUE(SUBSTITUTE(SUBSTITUTE(TRIM(Raw_Data!C456),"₹",""),",","")),"")</f>
        <v>350</v>
      </c>
      <c r="E456" s="11">
        <f>IFERROR(VALUE(SUBSTITUTE(SUBSTITUTE(TRIM(Raw_Data!D456),"₹",""),",","")),"")</f>
        <v>899</v>
      </c>
      <c r="F456" s="12">
        <f>IFERROR(VALUE(SUBSTITUTE(Raw_Data!E456,"%",""))/100,"")</f>
        <v>0.61</v>
      </c>
      <c r="G456" s="13">
        <f>IFERROR(VALUE(Raw_Data!F456),"")</f>
        <v>4.2</v>
      </c>
      <c r="H456" s="14">
        <f>IFERROR(VALUE(SUBSTITUTE(Raw_Data!G456,",","")),"")</f>
        <v>2263</v>
      </c>
      <c r="I456" s="11">
        <f t="shared" si="28"/>
        <v>549</v>
      </c>
      <c r="J456" s="11">
        <f t="shared" si="29"/>
        <v>792050</v>
      </c>
      <c r="K456" s="1">
        <f t="shared" si="30"/>
        <v>2263.0000455999998</v>
      </c>
      <c r="L456" s="15">
        <f t="shared" si="31"/>
        <v>0.61004559999999997</v>
      </c>
    </row>
    <row r="457" spans="1:12" ht="15" customHeight="1" x14ac:dyDescent="0.25">
      <c r="A457" s="10" t="str">
        <f>Raw_Data!A457</f>
        <v>Motorola a10 Dual Sim keypad Mobile with 1750 mAh Battery, Expandable Storage Upto 32GB, Wireless FM with Recording - Rose Gold</v>
      </c>
      <c r="B457" s="10" t="str">
        <f>IFERROR(TRIM(LEFT(Raw_Data!A457,FIND(" ",Raw_Data!A457)-1)),Raw_Data!A457)</f>
        <v>Motorola</v>
      </c>
      <c r="C457" s="10" t="str">
        <f>IFERROR(LEFT(Raw_Data!B457,FIND("|",Raw_Data!B457)-1),Raw_Data!B457)</f>
        <v>Electronics</v>
      </c>
      <c r="D457" s="11">
        <f>IFERROR(VALUE(SUBSTITUTE(SUBSTITUTE(TRIM(Raw_Data!C457),"₹",""),",","")),"")</f>
        <v>1399</v>
      </c>
      <c r="E457" s="11">
        <f>IFERROR(VALUE(SUBSTITUTE(SUBSTITUTE(TRIM(Raw_Data!D457),"₹",""),",","")),"")</f>
        <v>1630</v>
      </c>
      <c r="F457" s="12">
        <f>IFERROR(VALUE(SUBSTITUTE(Raw_Data!E457,"%",""))/100,"")</f>
        <v>0.14000000000000001</v>
      </c>
      <c r="G457" s="13">
        <f>IFERROR(VALUE(Raw_Data!F457),"")</f>
        <v>4</v>
      </c>
      <c r="H457" s="14">
        <f>IFERROR(VALUE(SUBSTITUTE(Raw_Data!G457,",","")),"")</f>
        <v>9378</v>
      </c>
      <c r="I457" s="11">
        <f t="shared" si="28"/>
        <v>231</v>
      </c>
      <c r="J457" s="11">
        <f t="shared" si="29"/>
        <v>13119822</v>
      </c>
      <c r="K457" s="1">
        <f t="shared" si="30"/>
        <v>9378.0000457000006</v>
      </c>
      <c r="L457" s="15">
        <f t="shared" si="31"/>
        <v>0.14004570000000002</v>
      </c>
    </row>
    <row r="458" spans="1:12" ht="15" customHeight="1" x14ac:dyDescent="0.25">
      <c r="A458" s="10" t="str">
        <f>Raw_Data!A458</f>
        <v>Portronics Konnect L 1.2M POR-1401 Fast Charging 3A 8 Pin USB Cable with Charge &amp; Sync Function (White)</v>
      </c>
      <c r="B458" s="10" t="str">
        <f>IFERROR(TRIM(LEFT(Raw_Data!A458,FIND(" ",Raw_Data!A458)-1)),Raw_Data!A458)</f>
        <v>Portronics</v>
      </c>
      <c r="C458" s="10" t="str">
        <f>IFERROR(LEFT(Raw_Data!B458,FIND("|",Raw_Data!B458)-1),Raw_Data!B458)</f>
        <v>Computers&amp;Accessories</v>
      </c>
      <c r="D458" s="11">
        <f>IFERROR(VALUE(SUBSTITUTE(SUBSTITUTE(TRIM(Raw_Data!C458),"₹",""),",","")),"")</f>
        <v>159</v>
      </c>
      <c r="E458" s="11">
        <f>IFERROR(VALUE(SUBSTITUTE(SUBSTITUTE(TRIM(Raw_Data!D458),"₹",""),",","")),"")</f>
        <v>399</v>
      </c>
      <c r="F458" s="12">
        <f>IFERROR(VALUE(SUBSTITUTE(Raw_Data!E458,"%",""))/100,"")</f>
        <v>0.6</v>
      </c>
      <c r="G458" s="13">
        <f>IFERROR(VALUE(Raw_Data!F458),"")</f>
        <v>4.0999999999999996</v>
      </c>
      <c r="H458" s="14">
        <f>IFERROR(VALUE(SUBSTITUTE(Raw_Data!G458,",","")),"")</f>
        <v>4768</v>
      </c>
      <c r="I458" s="11">
        <f t="shared" si="28"/>
        <v>240</v>
      </c>
      <c r="J458" s="11">
        <f t="shared" si="29"/>
        <v>758112</v>
      </c>
      <c r="K458" s="1">
        <f t="shared" si="30"/>
        <v>4768.0000458000004</v>
      </c>
      <c r="L458" s="15">
        <f t="shared" si="31"/>
        <v>0.60004579999999996</v>
      </c>
    </row>
    <row r="459" spans="1:12" ht="15" customHeight="1" x14ac:dyDescent="0.25">
      <c r="A459" s="10" t="str">
        <f>Raw_Data!A459</f>
        <v>boAt Wave Lite Smartwatch with 1.69" HD Display, Heart Rate &amp; SpO2 Level Monitor, Multiple Watch Faces, Activity Tracker, Multiple Sports Modes &amp; IP68 (Deep Blue)</v>
      </c>
      <c r="B459" s="10" t="str">
        <f>IFERROR(TRIM(LEFT(Raw_Data!A459,FIND(" ",Raw_Data!A459)-1)),Raw_Data!A459)</f>
        <v>boAt</v>
      </c>
      <c r="C459" s="10" t="str">
        <f>IFERROR(LEFT(Raw_Data!B459,FIND("|",Raw_Data!B459)-1),Raw_Data!B459)</f>
        <v>Electronics</v>
      </c>
      <c r="D459" s="11">
        <f>IFERROR(VALUE(SUBSTITUTE(SUBSTITUTE(TRIM(Raw_Data!C459),"₹",""),",","")),"")</f>
        <v>1499</v>
      </c>
      <c r="E459" s="11">
        <f>IFERROR(VALUE(SUBSTITUTE(SUBSTITUTE(TRIM(Raw_Data!D459),"₹",""),",","")),"")</f>
        <v>6990</v>
      </c>
      <c r="F459" s="12">
        <f>IFERROR(VALUE(SUBSTITUTE(Raw_Data!E459,"%",""))/100,"")</f>
        <v>0.79</v>
      </c>
      <c r="G459" s="13">
        <f>IFERROR(VALUE(Raw_Data!F459),"")</f>
        <v>3.9</v>
      </c>
      <c r="H459" s="14">
        <f>IFERROR(VALUE(SUBSTITUTE(Raw_Data!G459,",","")),"")</f>
        <v>21796</v>
      </c>
      <c r="I459" s="11">
        <f t="shared" si="28"/>
        <v>5491</v>
      </c>
      <c r="J459" s="11">
        <f t="shared" si="29"/>
        <v>32672204</v>
      </c>
      <c r="K459" s="1">
        <f t="shared" si="30"/>
        <v>21796.0000459</v>
      </c>
      <c r="L459" s="15">
        <f t="shared" si="31"/>
        <v>0.79004590000000008</v>
      </c>
    </row>
    <row r="460" spans="1:12" ht="15" customHeight="1" x14ac:dyDescent="0.25">
      <c r="A460" s="10" t="str">
        <f>Raw_Data!A460</f>
        <v>boAt Wave Call Smart Watch, Smart Talk with Advanced Dedicated Bluetooth Calling Chip, 1.69” HD Display with 550 NITS &amp; 70% Color Gamut, 150+ Watch Faces, Multi-Sport Modes,HR,SpO2(Caribbean Green)</v>
      </c>
      <c r="B460" s="10" t="str">
        <f>IFERROR(TRIM(LEFT(Raw_Data!A460,FIND(" ",Raw_Data!A460)-1)),Raw_Data!A460)</f>
        <v>boAt</v>
      </c>
      <c r="C460" s="10" t="str">
        <f>IFERROR(LEFT(Raw_Data!B460,FIND("|",Raw_Data!B460)-1),Raw_Data!B460)</f>
        <v>Electronics</v>
      </c>
      <c r="D460" s="11">
        <f>IFERROR(VALUE(SUBSTITUTE(SUBSTITUTE(TRIM(Raw_Data!C460),"₹",""),",","")),"")</f>
        <v>1999</v>
      </c>
      <c r="E460" s="11">
        <f>IFERROR(VALUE(SUBSTITUTE(SUBSTITUTE(TRIM(Raw_Data!D460),"₹",""),",","")),"")</f>
        <v>7990</v>
      </c>
      <c r="F460" s="12">
        <f>IFERROR(VALUE(SUBSTITUTE(Raw_Data!E460,"%",""))/100,"")</f>
        <v>0.75</v>
      </c>
      <c r="G460" s="13">
        <f>IFERROR(VALUE(Raw_Data!F460),"")</f>
        <v>3.8</v>
      </c>
      <c r="H460" s="14">
        <f>IFERROR(VALUE(SUBSTITUTE(Raw_Data!G460,",","")),"")</f>
        <v>17833</v>
      </c>
      <c r="I460" s="11">
        <f t="shared" si="28"/>
        <v>5991</v>
      </c>
      <c r="J460" s="11">
        <f t="shared" si="29"/>
        <v>35648167</v>
      </c>
      <c r="K460" s="1">
        <f t="shared" si="30"/>
        <v>17833.000046000001</v>
      </c>
      <c r="L460" s="15">
        <f t="shared" si="31"/>
        <v>0.75004599999999999</v>
      </c>
    </row>
    <row r="461" spans="1:12" ht="15" customHeight="1" x14ac:dyDescent="0.25">
      <c r="A461" s="10" t="str">
        <f>Raw_Data!A461</f>
        <v>Spigen EZ Fit Tempered Glass Screen Protector for iPhone 14 Pro Max - 2 Pack (Sensor Protection)</v>
      </c>
      <c r="B461" s="10" t="str">
        <f>IFERROR(TRIM(LEFT(Raw_Data!A461,FIND(" ",Raw_Data!A461)-1)),Raw_Data!A461)</f>
        <v>Spigen</v>
      </c>
      <c r="C461" s="10" t="str">
        <f>IFERROR(LEFT(Raw_Data!B461,FIND("|",Raw_Data!B461)-1),Raw_Data!B461)</f>
        <v>Electronics</v>
      </c>
      <c r="D461" s="11">
        <f>IFERROR(VALUE(SUBSTITUTE(SUBSTITUTE(TRIM(Raw_Data!C461),"₹",""),",","")),"")</f>
        <v>999</v>
      </c>
      <c r="E461" s="11">
        <f>IFERROR(VALUE(SUBSTITUTE(SUBSTITUTE(TRIM(Raw_Data!D461),"₹",""),",","")),"")</f>
        <v>2899</v>
      </c>
      <c r="F461" s="12">
        <f>IFERROR(VALUE(SUBSTITUTE(Raw_Data!E461,"%",""))/100,"")</f>
        <v>0.66</v>
      </c>
      <c r="G461" s="13">
        <f>IFERROR(VALUE(Raw_Data!F461),"")</f>
        <v>4.7</v>
      </c>
      <c r="H461" s="14">
        <f>IFERROR(VALUE(SUBSTITUTE(Raw_Data!G461,",","")),"")</f>
        <v>7779</v>
      </c>
      <c r="I461" s="11">
        <f t="shared" si="28"/>
        <v>1900</v>
      </c>
      <c r="J461" s="11">
        <f t="shared" si="29"/>
        <v>7771221</v>
      </c>
      <c r="K461" s="1">
        <f t="shared" si="30"/>
        <v>7779.0000461</v>
      </c>
      <c r="L461" s="15">
        <f t="shared" si="31"/>
        <v>0.66004610000000008</v>
      </c>
    </row>
    <row r="462" spans="1:12" ht="15" customHeight="1" x14ac:dyDescent="0.25">
      <c r="A462" s="10" t="str">
        <f>Raw_Data!A462</f>
        <v>KINGONE Upgraded Stylus Pen, iPad Pencil, Ultra High Precision &amp; Sensitivity, Palm Rejection, Prevents False ON/Off Touch, Power Display, Tilt Sensitivity, Magnetic Adsorption for iPad 2018 and Later</v>
      </c>
      <c r="B462" s="10" t="str">
        <f>IFERROR(TRIM(LEFT(Raw_Data!A462,FIND(" ",Raw_Data!A462)-1)),Raw_Data!A462)</f>
        <v>KINGONE</v>
      </c>
      <c r="C462" s="10" t="str">
        <f>IFERROR(LEFT(Raw_Data!B462,FIND("|",Raw_Data!B462)-1),Raw_Data!B462)</f>
        <v>Electronics</v>
      </c>
      <c r="D462" s="11">
        <f>IFERROR(VALUE(SUBSTITUTE(SUBSTITUTE(TRIM(Raw_Data!C462),"₹",""),",","")),"")</f>
        <v>2099</v>
      </c>
      <c r="E462" s="11">
        <f>IFERROR(VALUE(SUBSTITUTE(SUBSTITUTE(TRIM(Raw_Data!D462),"₹",""),",","")),"")</f>
        <v>5999</v>
      </c>
      <c r="F462" s="12">
        <f>IFERROR(VALUE(SUBSTITUTE(Raw_Data!E462,"%",""))/100,"")</f>
        <v>0.65</v>
      </c>
      <c r="G462" s="13">
        <f>IFERROR(VALUE(Raw_Data!F462),"")</f>
        <v>4.3</v>
      </c>
      <c r="H462" s="14">
        <f>IFERROR(VALUE(SUBSTITUTE(Raw_Data!G462,",","")),"")</f>
        <v>17129</v>
      </c>
      <c r="I462" s="11">
        <f t="shared" si="28"/>
        <v>3900</v>
      </c>
      <c r="J462" s="11">
        <f t="shared" si="29"/>
        <v>35953771</v>
      </c>
      <c r="K462" s="1">
        <f t="shared" si="30"/>
        <v>17129.000046199999</v>
      </c>
      <c r="L462" s="15">
        <f t="shared" si="31"/>
        <v>0.65004620000000002</v>
      </c>
    </row>
    <row r="463" spans="1:12" ht="15" customHeight="1" x14ac:dyDescent="0.25">
      <c r="A463" s="10" t="str">
        <f>Raw_Data!A463</f>
        <v>Portronics CarPower Mini Car Charger with Dual Output, Fast Charging (Type C PD 18W + QC 3.0A) Compatible with All Smartphones(Black)</v>
      </c>
      <c r="B463" s="10" t="str">
        <f>IFERROR(TRIM(LEFT(Raw_Data!A463,FIND(" ",Raw_Data!A463)-1)),Raw_Data!A463)</f>
        <v>Portronics</v>
      </c>
      <c r="C463" s="10" t="str">
        <f>IFERROR(LEFT(Raw_Data!B463,FIND("|",Raw_Data!B463)-1),Raw_Data!B463)</f>
        <v>Electronics</v>
      </c>
      <c r="D463" s="11">
        <f>IFERROR(VALUE(SUBSTITUTE(SUBSTITUTE(TRIM(Raw_Data!C463),"₹",""),",","")),"")</f>
        <v>337</v>
      </c>
      <c r="E463" s="11">
        <f>IFERROR(VALUE(SUBSTITUTE(SUBSTITUTE(TRIM(Raw_Data!D463),"₹",""),",","")),"")</f>
        <v>699</v>
      </c>
      <c r="F463" s="12">
        <f>IFERROR(VALUE(SUBSTITUTE(Raw_Data!E463,"%",""))/100,"")</f>
        <v>0.52</v>
      </c>
      <c r="G463" s="13">
        <f>IFERROR(VALUE(Raw_Data!F463),"")</f>
        <v>4.2</v>
      </c>
      <c r="H463" s="14">
        <f>IFERROR(VALUE(SUBSTITUTE(Raw_Data!G463,",","")),"")</f>
        <v>4969</v>
      </c>
      <c r="I463" s="11">
        <f t="shared" si="28"/>
        <v>362</v>
      </c>
      <c r="J463" s="11">
        <f t="shared" si="29"/>
        <v>1674553</v>
      </c>
      <c r="K463" s="1">
        <f t="shared" si="30"/>
        <v>4969.0000462999997</v>
      </c>
      <c r="L463" s="15">
        <f t="shared" si="31"/>
        <v>0.52004630000000007</v>
      </c>
    </row>
    <row r="464" spans="1:12" ht="15" customHeight="1" x14ac:dyDescent="0.25">
      <c r="A464" s="10" t="str">
        <f>Raw_Data!A464</f>
        <v>boAt Newly Launched Wave Electra with 1.81" HD Display, Smart Calling with Ultra-Seamless BT Calling Chip,20 Built-In Watch Faces,100 + Sports Modes,Menu Personalization,In-Built Games(Charcoal Black)</v>
      </c>
      <c r="B464" s="10" t="str">
        <f>IFERROR(TRIM(LEFT(Raw_Data!A464,FIND(" ",Raw_Data!A464)-1)),Raw_Data!A464)</f>
        <v>boAt</v>
      </c>
      <c r="C464" s="10" t="str">
        <f>IFERROR(LEFT(Raw_Data!B464,FIND("|",Raw_Data!B464)-1),Raw_Data!B464)</f>
        <v>Electronics</v>
      </c>
      <c r="D464" s="11">
        <f>IFERROR(VALUE(SUBSTITUTE(SUBSTITUTE(TRIM(Raw_Data!C464),"₹",""),",","")),"")</f>
        <v>2999</v>
      </c>
      <c r="E464" s="11">
        <f>IFERROR(VALUE(SUBSTITUTE(SUBSTITUTE(TRIM(Raw_Data!D464),"₹",""),",","")),"")</f>
        <v>7990</v>
      </c>
      <c r="F464" s="12">
        <f>IFERROR(VALUE(SUBSTITUTE(Raw_Data!E464,"%",""))/100,"")</f>
        <v>0.62</v>
      </c>
      <c r="G464" s="13">
        <f>IFERROR(VALUE(Raw_Data!F464),"")</f>
        <v>4.0999999999999996</v>
      </c>
      <c r="H464" s="14">
        <f>IFERROR(VALUE(SUBSTITUTE(Raw_Data!G464,",","")),"")</f>
        <v>154</v>
      </c>
      <c r="I464" s="11">
        <f t="shared" si="28"/>
        <v>4991</v>
      </c>
      <c r="J464" s="11">
        <f t="shared" si="29"/>
        <v>461846</v>
      </c>
      <c r="K464" s="1">
        <f t="shared" si="30"/>
        <v>154.0000464</v>
      </c>
      <c r="L464" s="15">
        <f t="shared" si="31"/>
        <v>0.6200464</v>
      </c>
    </row>
    <row r="465" spans="1:12" ht="15" customHeight="1" x14ac:dyDescent="0.25">
      <c r="A465" s="10" t="str">
        <f>Raw_Data!A465</f>
        <v>PTron Newly Launched Force X10 Bluetooth Calling Smartwatch with 1.7" Full Touch Color Display, Real Heart Rate Monitor, SpO2, Watch Faces, 5 Days Runtime, Fitness Trackers &amp; IP68 Waterproof (Pink)</v>
      </c>
      <c r="B465" s="10" t="str">
        <f>IFERROR(TRIM(LEFT(Raw_Data!A465,FIND(" ",Raw_Data!A465)-1)),Raw_Data!A465)</f>
        <v>PTron</v>
      </c>
      <c r="C465" s="10" t="str">
        <f>IFERROR(LEFT(Raw_Data!B465,FIND("|",Raw_Data!B465)-1),Raw_Data!B465)</f>
        <v>Electronics</v>
      </c>
      <c r="D465" s="11">
        <f>IFERROR(VALUE(SUBSTITUTE(SUBSTITUTE(TRIM(Raw_Data!C465),"₹",""),",","")),"")</f>
        <v>1299</v>
      </c>
      <c r="E465" s="11">
        <f>IFERROR(VALUE(SUBSTITUTE(SUBSTITUTE(TRIM(Raw_Data!D465),"₹",""),",","")),"")</f>
        <v>5999</v>
      </c>
      <c r="F465" s="12">
        <f>IFERROR(VALUE(SUBSTITUTE(Raw_Data!E465,"%",""))/100,"")</f>
        <v>0.78</v>
      </c>
      <c r="G465" s="13">
        <f>IFERROR(VALUE(Raw_Data!F465),"")</f>
        <v>3.3</v>
      </c>
      <c r="H465" s="14">
        <f>IFERROR(VALUE(SUBSTITUTE(Raw_Data!G465,",","")),"")</f>
        <v>4415</v>
      </c>
      <c r="I465" s="11">
        <f t="shared" si="28"/>
        <v>4700</v>
      </c>
      <c r="J465" s="11">
        <f t="shared" si="29"/>
        <v>5735085</v>
      </c>
      <c r="K465" s="1">
        <f t="shared" si="30"/>
        <v>4415.0000465000003</v>
      </c>
      <c r="L465" s="15">
        <f t="shared" si="31"/>
        <v>0.78004649999999998</v>
      </c>
    </row>
    <row r="466" spans="1:12" ht="15" customHeight="1" x14ac:dyDescent="0.25">
      <c r="A466" s="10" t="str">
        <f>Raw_Data!A466</f>
        <v>MI Braided USB Type-C Cable for Charging Adapter (Red)</v>
      </c>
      <c r="B466" s="10" t="str">
        <f>IFERROR(TRIM(LEFT(Raw_Data!A466,FIND(" ",Raw_Data!A466)-1)),Raw_Data!A466)</f>
        <v>MI</v>
      </c>
      <c r="C466" s="10" t="str">
        <f>IFERROR(LEFT(Raw_Data!B466,FIND("|",Raw_Data!B466)-1),Raw_Data!B466)</f>
        <v>Computers&amp;Accessories</v>
      </c>
      <c r="D466" s="11">
        <f>IFERROR(VALUE(SUBSTITUTE(SUBSTITUTE(TRIM(Raw_Data!C466),"₹",""),",","")),"")</f>
        <v>349</v>
      </c>
      <c r="E466" s="11">
        <f>IFERROR(VALUE(SUBSTITUTE(SUBSTITUTE(TRIM(Raw_Data!D466),"₹",""),",","")),"")</f>
        <v>399</v>
      </c>
      <c r="F466" s="12">
        <f>IFERROR(VALUE(SUBSTITUTE(Raw_Data!E466,"%",""))/100,"")</f>
        <v>0.13</v>
      </c>
      <c r="G466" s="13">
        <f>IFERROR(VALUE(Raw_Data!F466),"")</f>
        <v>4.4000000000000004</v>
      </c>
      <c r="H466" s="14">
        <f>IFERROR(VALUE(SUBSTITUTE(Raw_Data!G466,",","")),"")</f>
        <v>18757</v>
      </c>
      <c r="I466" s="11">
        <f t="shared" si="28"/>
        <v>50</v>
      </c>
      <c r="J466" s="11">
        <f t="shared" si="29"/>
        <v>6546193</v>
      </c>
      <c r="K466" s="1">
        <f t="shared" si="30"/>
        <v>18757.000046599998</v>
      </c>
      <c r="L466" s="15">
        <f t="shared" si="31"/>
        <v>0.13004660000000001</v>
      </c>
    </row>
    <row r="467" spans="1:12" ht="15" customHeight="1" x14ac:dyDescent="0.25">
      <c r="A467" s="10" t="str">
        <f>Raw_Data!A467</f>
        <v>iQOO vivo Z6 5G (Dynamo Black, 6GB RAM, 128GB Storage) | Snapdragon 695-6nm Processor | 120Hz FHD+ Display | 5000mAh Battery</v>
      </c>
      <c r="B467" s="10" t="str">
        <f>IFERROR(TRIM(LEFT(Raw_Data!A467,FIND(" ",Raw_Data!A467)-1)),Raw_Data!A467)</f>
        <v>iQOO</v>
      </c>
      <c r="C467" s="10" t="str">
        <f>IFERROR(LEFT(Raw_Data!B467,FIND("|",Raw_Data!B467)-1),Raw_Data!B467)</f>
        <v>Electronics</v>
      </c>
      <c r="D467" s="11">
        <f>IFERROR(VALUE(SUBSTITUTE(SUBSTITUTE(TRIM(Raw_Data!C467),"₹",""),",","")),"")</f>
        <v>16499</v>
      </c>
      <c r="E467" s="11">
        <f>IFERROR(VALUE(SUBSTITUTE(SUBSTITUTE(TRIM(Raw_Data!D467),"₹",""),",","")),"")</f>
        <v>20990</v>
      </c>
      <c r="F467" s="12">
        <f>IFERROR(VALUE(SUBSTITUTE(Raw_Data!E467,"%",""))/100,"")</f>
        <v>0.21</v>
      </c>
      <c r="G467" s="13">
        <f>IFERROR(VALUE(Raw_Data!F467),"")</f>
        <v>4</v>
      </c>
      <c r="H467" s="14">
        <f>IFERROR(VALUE(SUBSTITUTE(Raw_Data!G467,",","")),"")</f>
        <v>21350</v>
      </c>
      <c r="I467" s="11">
        <f t="shared" si="28"/>
        <v>4491</v>
      </c>
      <c r="J467" s="11">
        <f t="shared" si="29"/>
        <v>352253650</v>
      </c>
      <c r="K467" s="1">
        <f t="shared" si="30"/>
        <v>21350.000046699999</v>
      </c>
      <c r="L467" s="15">
        <f t="shared" si="31"/>
        <v>0.2100467</v>
      </c>
    </row>
    <row r="468" spans="1:12" ht="15" customHeight="1" x14ac:dyDescent="0.25">
      <c r="A468" s="10" t="str">
        <f>Raw_Data!A468</f>
        <v>Samsung Ehs64 Ehs64Avfwecinu Hands-Free Wired In Ear Earphones With Mic With Remote Note (White)</v>
      </c>
      <c r="B468" s="10" t="str">
        <f>IFERROR(TRIM(LEFT(Raw_Data!A468,FIND(" ",Raw_Data!A468)-1)),Raw_Data!A468)</f>
        <v>Samsung</v>
      </c>
      <c r="C468" s="10" t="str">
        <f>IFERROR(LEFT(Raw_Data!B468,FIND("|",Raw_Data!B468)-1),Raw_Data!B468)</f>
        <v>Electronics</v>
      </c>
      <c r="D468" s="11">
        <f>IFERROR(VALUE(SUBSTITUTE(SUBSTITUTE(TRIM(Raw_Data!C468),"₹",""),",","")),"")</f>
        <v>499</v>
      </c>
      <c r="E468" s="11">
        <f>IFERROR(VALUE(SUBSTITUTE(SUBSTITUTE(TRIM(Raw_Data!D468),"₹",""),",","")),"")</f>
        <v>499</v>
      </c>
      <c r="F468" s="12">
        <f>IFERROR(VALUE(SUBSTITUTE(Raw_Data!E468,"%",""))/100,"")</f>
        <v>0</v>
      </c>
      <c r="G468" s="13">
        <f>IFERROR(VALUE(Raw_Data!F468),"")</f>
        <v>4.2</v>
      </c>
      <c r="H468" s="14">
        <f>IFERROR(VALUE(SUBSTITUTE(Raw_Data!G468,",","")),"")</f>
        <v>31539</v>
      </c>
      <c r="I468" s="11">
        <f t="shared" si="28"/>
        <v>0</v>
      </c>
      <c r="J468" s="11">
        <f t="shared" si="29"/>
        <v>15737961</v>
      </c>
      <c r="K468" s="1">
        <f t="shared" si="30"/>
        <v>31539.0000468</v>
      </c>
      <c r="L468" s="15">
        <f t="shared" si="31"/>
        <v>4.6799999999999999E-5</v>
      </c>
    </row>
    <row r="469" spans="1:12" ht="15" customHeight="1" x14ac:dyDescent="0.25">
      <c r="A469" s="10" t="str">
        <f>Raw_Data!A469</f>
        <v>Duracell USB Lightning Apple Certified (Mfi) Braided Sync &amp; Charge Cable For Iphone, Ipad And Ipod. Fast Charging Lightning Cable, 3.9 Feet (1.2M) - Black</v>
      </c>
      <c r="B469" s="10" t="str">
        <f>IFERROR(TRIM(LEFT(Raw_Data!A469,FIND(" ",Raw_Data!A469)-1)),Raw_Data!A469)</f>
        <v>Duracell</v>
      </c>
      <c r="C469" s="10" t="str">
        <f>IFERROR(LEFT(Raw_Data!B469,FIND("|",Raw_Data!B469)-1),Raw_Data!B469)</f>
        <v>Computers&amp;Accessories</v>
      </c>
      <c r="D469" s="11">
        <f>IFERROR(VALUE(SUBSTITUTE(SUBSTITUTE(TRIM(Raw_Data!C469),"₹",""),",","")),"")</f>
        <v>970</v>
      </c>
      <c r="E469" s="11">
        <f>IFERROR(VALUE(SUBSTITUTE(SUBSTITUTE(TRIM(Raw_Data!D469),"₹",""),",","")),"")</f>
        <v>1799</v>
      </c>
      <c r="F469" s="12">
        <f>IFERROR(VALUE(SUBSTITUTE(Raw_Data!E469,"%",""))/100,"")</f>
        <v>0.46</v>
      </c>
      <c r="G469" s="13">
        <f>IFERROR(VALUE(Raw_Data!F469),"")</f>
        <v>4.5</v>
      </c>
      <c r="H469" s="14">
        <f>IFERROR(VALUE(SUBSTITUTE(Raw_Data!G469,",","")),"")</f>
        <v>815</v>
      </c>
      <c r="I469" s="11">
        <f t="shared" si="28"/>
        <v>829</v>
      </c>
      <c r="J469" s="11">
        <f t="shared" si="29"/>
        <v>790550</v>
      </c>
      <c r="K469" s="1">
        <f t="shared" si="30"/>
        <v>815.00004690000003</v>
      </c>
      <c r="L469" s="15">
        <f t="shared" si="31"/>
        <v>0.46004690000000004</v>
      </c>
    </row>
    <row r="470" spans="1:12" ht="15" customHeight="1" x14ac:dyDescent="0.25">
      <c r="A470" s="10" t="str">
        <f>Raw_Data!A470</f>
        <v>Spigen EZ Fit Tempered Glass Screen Protector for iPhone 14 Pro - 2 Pack (Sensor Protection)</v>
      </c>
      <c r="B470" s="10" t="str">
        <f>IFERROR(TRIM(LEFT(Raw_Data!A470,FIND(" ",Raw_Data!A470)-1)),Raw_Data!A470)</f>
        <v>Spigen</v>
      </c>
      <c r="C470" s="10" t="str">
        <f>IFERROR(LEFT(Raw_Data!B470,FIND("|",Raw_Data!B470)-1),Raw_Data!B470)</f>
        <v>Electronics</v>
      </c>
      <c r="D470" s="11">
        <f>IFERROR(VALUE(SUBSTITUTE(SUBSTITUTE(TRIM(Raw_Data!C470),"₹",""),",","")),"")</f>
        <v>999</v>
      </c>
      <c r="E470" s="11">
        <f>IFERROR(VALUE(SUBSTITUTE(SUBSTITUTE(TRIM(Raw_Data!D470),"₹",""),",","")),"")</f>
        <v>2899</v>
      </c>
      <c r="F470" s="12">
        <f>IFERROR(VALUE(SUBSTITUTE(Raw_Data!E470,"%",""))/100,"")</f>
        <v>0.66</v>
      </c>
      <c r="G470" s="13">
        <f>IFERROR(VALUE(Raw_Data!F470),"")</f>
        <v>4.5999999999999996</v>
      </c>
      <c r="H470" s="14">
        <f>IFERROR(VALUE(SUBSTITUTE(Raw_Data!G470,",","")),"")</f>
        <v>6129</v>
      </c>
      <c r="I470" s="11">
        <f t="shared" si="28"/>
        <v>1900</v>
      </c>
      <c r="J470" s="11">
        <f t="shared" si="29"/>
        <v>6122871</v>
      </c>
      <c r="K470" s="1">
        <f t="shared" si="30"/>
        <v>6129.0000470000004</v>
      </c>
      <c r="L470" s="15">
        <f t="shared" si="31"/>
        <v>0.66004700000000005</v>
      </c>
    </row>
    <row r="471" spans="1:12" ht="15" customHeight="1" x14ac:dyDescent="0.25">
      <c r="A471" s="10" t="str">
        <f>Raw_Data!A471</f>
        <v>Samsung Galaxy M04 Dark Blue, 4GB RAM, 128GB Storage | Upto 8GB RAM with RAM Plus | MediaTek Helio P35 | 5000 mAh Battery</v>
      </c>
      <c r="B471" s="10" t="str">
        <f>IFERROR(TRIM(LEFT(Raw_Data!A471,FIND(" ",Raw_Data!A471)-1)),Raw_Data!A471)</f>
        <v>Samsung</v>
      </c>
      <c r="C471" s="10" t="str">
        <f>IFERROR(LEFT(Raw_Data!B471,FIND("|",Raw_Data!B471)-1),Raw_Data!B471)</f>
        <v>Electronics</v>
      </c>
      <c r="D471" s="11">
        <f>IFERROR(VALUE(SUBSTITUTE(SUBSTITUTE(TRIM(Raw_Data!C471),"₹",""),",","")),"")</f>
        <v>10499</v>
      </c>
      <c r="E471" s="11">
        <f>IFERROR(VALUE(SUBSTITUTE(SUBSTITUTE(TRIM(Raw_Data!D471),"₹",""),",","")),"")</f>
        <v>13499</v>
      </c>
      <c r="F471" s="12">
        <f>IFERROR(VALUE(SUBSTITUTE(Raw_Data!E471,"%",""))/100,"")</f>
        <v>0.22</v>
      </c>
      <c r="G471" s="13">
        <f>IFERROR(VALUE(Raw_Data!F471),"")</f>
        <v>4.2</v>
      </c>
      <c r="H471" s="14">
        <f>IFERROR(VALUE(SUBSTITUTE(Raw_Data!G471,",","")),"")</f>
        <v>284</v>
      </c>
      <c r="I471" s="11">
        <f t="shared" si="28"/>
        <v>3000</v>
      </c>
      <c r="J471" s="11">
        <f t="shared" si="29"/>
        <v>2981716</v>
      </c>
      <c r="K471" s="1">
        <f t="shared" si="30"/>
        <v>284.00004710000002</v>
      </c>
      <c r="L471" s="15">
        <f t="shared" si="31"/>
        <v>0.2200471</v>
      </c>
    </row>
    <row r="472" spans="1:12" ht="15" customHeight="1" x14ac:dyDescent="0.25">
      <c r="A472" s="10" t="str">
        <f>Raw_Data!A472</f>
        <v>Ambrane Unbreakable 60W / 3A Fast Charging 1.5m Braided Type C to Type C Cable for Smartphones, Tablets, Laptops &amp; Other Type C Devices, PD Technology, 480Mbps Data Sync (RCTT15, Black)</v>
      </c>
      <c r="B472" s="10" t="str">
        <f>IFERROR(TRIM(LEFT(Raw_Data!A472,FIND(" ",Raw_Data!A472)-1)),Raw_Data!A472)</f>
        <v>Ambrane</v>
      </c>
      <c r="C472" s="10" t="str">
        <f>IFERROR(LEFT(Raw_Data!B472,FIND("|",Raw_Data!B472)-1),Raw_Data!B472)</f>
        <v>Computers&amp;Accessories</v>
      </c>
      <c r="D472" s="11">
        <f>IFERROR(VALUE(SUBSTITUTE(SUBSTITUTE(TRIM(Raw_Data!C472),"₹",""),",","")),"")</f>
        <v>249</v>
      </c>
      <c r="E472" s="11">
        <f>IFERROR(VALUE(SUBSTITUTE(SUBSTITUTE(TRIM(Raw_Data!D472),"₹",""),",","")),"")</f>
        <v>399</v>
      </c>
      <c r="F472" s="12">
        <f>IFERROR(VALUE(SUBSTITUTE(Raw_Data!E472,"%",""))/100,"")</f>
        <v>0.38</v>
      </c>
      <c r="G472" s="13">
        <f>IFERROR(VALUE(Raw_Data!F472),"")</f>
        <v>4</v>
      </c>
      <c r="H472" s="14">
        <f>IFERROR(VALUE(SUBSTITUTE(Raw_Data!G472,",","")),"")</f>
        <v>43994</v>
      </c>
      <c r="I472" s="11">
        <f t="shared" si="28"/>
        <v>150</v>
      </c>
      <c r="J472" s="11">
        <f t="shared" si="29"/>
        <v>10954506</v>
      </c>
      <c r="K472" s="1">
        <f t="shared" si="30"/>
        <v>43994.000047200003</v>
      </c>
      <c r="L472" s="15">
        <f t="shared" si="31"/>
        <v>0.38004720000000003</v>
      </c>
    </row>
    <row r="473" spans="1:12" ht="15" customHeight="1" x14ac:dyDescent="0.25">
      <c r="A473" s="10" t="str">
        <f>Raw_Data!A473</f>
        <v>SWAPKART Flexible Mobile Tabletop Stand, Metal Built, Heavy Duty Foldable Lazy Bracket Clip Mount Multi Angle Clamp for All Smartphones (Pack of 1), Multi Color</v>
      </c>
      <c r="B473" s="10" t="str">
        <f>IFERROR(TRIM(LEFT(Raw_Data!A473,FIND(" ",Raw_Data!A473)-1)),Raw_Data!A473)</f>
        <v>SWAPKART</v>
      </c>
      <c r="C473" s="10" t="str">
        <f>IFERROR(LEFT(Raw_Data!B473,FIND("|",Raw_Data!B473)-1),Raw_Data!B473)</f>
        <v>Electronics</v>
      </c>
      <c r="D473" s="11">
        <f>IFERROR(VALUE(SUBSTITUTE(SUBSTITUTE(TRIM(Raw_Data!C473),"₹",""),",","")),"")</f>
        <v>251</v>
      </c>
      <c r="E473" s="11">
        <f>IFERROR(VALUE(SUBSTITUTE(SUBSTITUTE(TRIM(Raw_Data!D473),"₹",""),",","")),"")</f>
        <v>999</v>
      </c>
      <c r="F473" s="12">
        <f>IFERROR(VALUE(SUBSTITUTE(Raw_Data!E473,"%",""))/100,"")</f>
        <v>0.75</v>
      </c>
      <c r="G473" s="13">
        <f>IFERROR(VALUE(Raw_Data!F473),"")</f>
        <v>3.7</v>
      </c>
      <c r="H473" s="14">
        <f>IFERROR(VALUE(SUBSTITUTE(Raw_Data!G473,",","")),"")</f>
        <v>3234</v>
      </c>
      <c r="I473" s="11">
        <f t="shared" si="28"/>
        <v>748</v>
      </c>
      <c r="J473" s="11">
        <f t="shared" si="29"/>
        <v>811734</v>
      </c>
      <c r="K473" s="1">
        <f t="shared" si="30"/>
        <v>3234.0000473</v>
      </c>
      <c r="L473" s="15">
        <f t="shared" si="31"/>
        <v>0.75004729999999997</v>
      </c>
    </row>
    <row r="474" spans="1:12" ht="15" customHeight="1" x14ac:dyDescent="0.25">
      <c r="A474" s="10" t="str">
        <f>Raw_Data!A474</f>
        <v>boAt Type C A325 Tangle-free, Sturdy Type C Cable with 3A Rapid Charging &amp; 480mbps Data Transmission(Black)</v>
      </c>
      <c r="B474" s="10" t="str">
        <f>IFERROR(TRIM(LEFT(Raw_Data!A474,FIND(" ",Raw_Data!A474)-1)),Raw_Data!A474)</f>
        <v>boAt</v>
      </c>
      <c r="C474" s="10" t="str">
        <f>IFERROR(LEFT(Raw_Data!B474,FIND("|",Raw_Data!B474)-1),Raw_Data!B474)</f>
        <v>Computers&amp;Accessories</v>
      </c>
      <c r="D474" s="11">
        <f>IFERROR(VALUE(SUBSTITUTE(SUBSTITUTE(TRIM(Raw_Data!C474),"₹",""),",","")),"")</f>
        <v>199</v>
      </c>
      <c r="E474" s="11">
        <f>IFERROR(VALUE(SUBSTITUTE(SUBSTITUTE(TRIM(Raw_Data!D474),"₹",""),",","")),"")</f>
        <v>499</v>
      </c>
      <c r="F474" s="12">
        <f>IFERROR(VALUE(SUBSTITUTE(Raw_Data!E474,"%",""))/100,"")</f>
        <v>0.6</v>
      </c>
      <c r="G474" s="13">
        <f>IFERROR(VALUE(Raw_Data!F474),"")</f>
        <v>4.0999999999999996</v>
      </c>
      <c r="H474" s="14">
        <f>IFERROR(VALUE(SUBSTITUTE(Raw_Data!G474,",","")),"")</f>
        <v>13045</v>
      </c>
      <c r="I474" s="11">
        <f t="shared" si="28"/>
        <v>300</v>
      </c>
      <c r="J474" s="11">
        <f t="shared" si="29"/>
        <v>2595955</v>
      </c>
      <c r="K474" s="1">
        <f t="shared" si="30"/>
        <v>13045.000047400001</v>
      </c>
      <c r="L474" s="15">
        <f t="shared" si="31"/>
        <v>0.60004740000000001</v>
      </c>
    </row>
    <row r="475" spans="1:12" ht="15" customHeight="1" x14ac:dyDescent="0.25">
      <c r="A475" s="10" t="str">
        <f>Raw_Data!A475</f>
        <v>Redmi 9A Sport (Carbon Black, 2GB RAM, 32GB Storage) | 2GHz Octa-core Helio G25 Processor | 5000 mAh Battery</v>
      </c>
      <c r="B475" s="10" t="str">
        <f>IFERROR(TRIM(LEFT(Raw_Data!A475,FIND(" ",Raw_Data!A475)-1)),Raw_Data!A475)</f>
        <v>Redmi</v>
      </c>
      <c r="C475" s="10" t="str">
        <f>IFERROR(LEFT(Raw_Data!B475,FIND("|",Raw_Data!B475)-1),Raw_Data!B475)</f>
        <v>Electronics</v>
      </c>
      <c r="D475" s="11">
        <f>IFERROR(VALUE(SUBSTITUTE(SUBSTITUTE(TRIM(Raw_Data!C475),"₹",""),",","")),"")</f>
        <v>6499</v>
      </c>
      <c r="E475" s="11">
        <f>IFERROR(VALUE(SUBSTITUTE(SUBSTITUTE(TRIM(Raw_Data!D475),"₹",""),",","")),"")</f>
        <v>7999</v>
      </c>
      <c r="F475" s="12">
        <f>IFERROR(VALUE(SUBSTITUTE(Raw_Data!E475,"%",""))/100,"")</f>
        <v>0.19</v>
      </c>
      <c r="G475" s="13">
        <f>IFERROR(VALUE(Raw_Data!F475),"")</f>
        <v>4.0999999999999996</v>
      </c>
      <c r="H475" s="14">
        <f>IFERROR(VALUE(SUBSTITUTE(Raw_Data!G475,",","")),"")</f>
        <v>313832</v>
      </c>
      <c r="I475" s="11">
        <f t="shared" si="28"/>
        <v>1500</v>
      </c>
      <c r="J475" s="11">
        <f t="shared" si="29"/>
        <v>2039594168</v>
      </c>
      <c r="K475" s="1">
        <f t="shared" si="30"/>
        <v>313832.00004750001</v>
      </c>
      <c r="L475" s="15">
        <f t="shared" si="31"/>
        <v>0.19004750000000001</v>
      </c>
    </row>
    <row r="476" spans="1:12" ht="15" customHeight="1" x14ac:dyDescent="0.25">
      <c r="A476" s="10" t="str">
        <f>Raw_Data!A476</f>
        <v>Fire-Boltt Ring 3 Smart Watch 1.8 Biggest Display with Advanced Bluetooth Calling Chip, Voice Assistance,118 Sports Modes, in Built Calculator &amp; Games, SpO2, Heart Rate Monitoring</v>
      </c>
      <c r="B476" s="10" t="str">
        <f>IFERROR(TRIM(LEFT(Raw_Data!A476,FIND(" ",Raw_Data!A476)-1)),Raw_Data!A476)</f>
        <v>Fire-Boltt</v>
      </c>
      <c r="C476" s="10" t="str">
        <f>IFERROR(LEFT(Raw_Data!B476,FIND("|",Raw_Data!B476)-1),Raw_Data!B476)</f>
        <v>Electronics</v>
      </c>
      <c r="D476" s="11">
        <f>IFERROR(VALUE(SUBSTITUTE(SUBSTITUTE(TRIM(Raw_Data!C476),"₹",""),",","")),"")</f>
        <v>2999</v>
      </c>
      <c r="E476" s="11">
        <f>IFERROR(VALUE(SUBSTITUTE(SUBSTITUTE(TRIM(Raw_Data!D476),"₹",""),",","")),"")</f>
        <v>9999</v>
      </c>
      <c r="F476" s="12">
        <f>IFERROR(VALUE(SUBSTITUTE(Raw_Data!E476,"%",""))/100,"")</f>
        <v>0.7</v>
      </c>
      <c r="G476" s="13">
        <f>IFERROR(VALUE(Raw_Data!F476),"")</f>
        <v>4.2</v>
      </c>
      <c r="H476" s="14">
        <f>IFERROR(VALUE(SUBSTITUTE(Raw_Data!G476,",","")),"")</f>
        <v>20879</v>
      </c>
      <c r="I476" s="11">
        <f t="shared" si="28"/>
        <v>7000</v>
      </c>
      <c r="J476" s="11">
        <f t="shared" si="29"/>
        <v>62616121</v>
      </c>
      <c r="K476" s="1">
        <f t="shared" si="30"/>
        <v>20879.000047599999</v>
      </c>
      <c r="L476" s="15">
        <f t="shared" si="31"/>
        <v>0.70004759999999999</v>
      </c>
    </row>
    <row r="477" spans="1:12" ht="15" customHeight="1" x14ac:dyDescent="0.25">
      <c r="A477" s="10" t="str">
        <f>Raw_Data!A477</f>
        <v>Amozo Ultra Hybrid Camera and Drop Protection Back Cover Case for iPhone 13 (TPU + Polycarbonate | Crystal Transparent)</v>
      </c>
      <c r="B477" s="10" t="str">
        <f>IFERROR(TRIM(LEFT(Raw_Data!A477,FIND(" ",Raw_Data!A477)-1)),Raw_Data!A477)</f>
        <v>Amozo</v>
      </c>
      <c r="C477" s="10" t="str">
        <f>IFERROR(LEFT(Raw_Data!B477,FIND("|",Raw_Data!B477)-1),Raw_Data!B477)</f>
        <v>Electronics</v>
      </c>
      <c r="D477" s="11">
        <f>IFERROR(VALUE(SUBSTITUTE(SUBSTITUTE(TRIM(Raw_Data!C477),"₹",""),",","")),"")</f>
        <v>279</v>
      </c>
      <c r="E477" s="11">
        <f>IFERROR(VALUE(SUBSTITUTE(SUBSTITUTE(TRIM(Raw_Data!D477),"₹",""),",","")),"")</f>
        <v>1499</v>
      </c>
      <c r="F477" s="12">
        <f>IFERROR(VALUE(SUBSTITUTE(Raw_Data!E477,"%",""))/100,"")</f>
        <v>0.81</v>
      </c>
      <c r="G477" s="13">
        <f>IFERROR(VALUE(Raw_Data!F477),"")</f>
        <v>4.2</v>
      </c>
      <c r="H477" s="14">
        <f>IFERROR(VALUE(SUBSTITUTE(Raw_Data!G477,",","")),"")</f>
        <v>2646</v>
      </c>
      <c r="I477" s="11">
        <f t="shared" si="28"/>
        <v>1220</v>
      </c>
      <c r="J477" s="11">
        <f t="shared" si="29"/>
        <v>738234</v>
      </c>
      <c r="K477" s="1">
        <f t="shared" si="30"/>
        <v>2646.0000476999999</v>
      </c>
      <c r="L477" s="15">
        <f t="shared" si="31"/>
        <v>0.81004770000000004</v>
      </c>
    </row>
    <row r="478" spans="1:12" ht="15" customHeight="1" x14ac:dyDescent="0.25">
      <c r="A478" s="10" t="str">
        <f>Raw_Data!A478</f>
        <v>ELV Aluminum Adjustable Mobile Phone Foldable Tabletop Stand Dock Mount for All Smartphones, Tabs, Kindle, iPad (Black)</v>
      </c>
      <c r="B478" s="10" t="str">
        <f>IFERROR(TRIM(LEFT(Raw_Data!A478,FIND(" ",Raw_Data!A478)-1)),Raw_Data!A478)</f>
        <v>ELV</v>
      </c>
      <c r="C478" s="10" t="str">
        <f>IFERROR(LEFT(Raw_Data!B478,FIND("|",Raw_Data!B478)-1),Raw_Data!B478)</f>
        <v>Electronics</v>
      </c>
      <c r="D478" s="11">
        <f>IFERROR(VALUE(SUBSTITUTE(SUBSTITUTE(TRIM(Raw_Data!C478),"₹",""),",","")),"")</f>
        <v>269</v>
      </c>
      <c r="E478" s="11">
        <f>IFERROR(VALUE(SUBSTITUTE(SUBSTITUTE(TRIM(Raw_Data!D478),"₹",""),",","")),"")</f>
        <v>1499</v>
      </c>
      <c r="F478" s="12">
        <f>IFERROR(VALUE(SUBSTITUTE(Raw_Data!E478,"%",""))/100,"")</f>
        <v>0.82</v>
      </c>
      <c r="G478" s="13">
        <f>IFERROR(VALUE(Raw_Data!F478),"")</f>
        <v>4.5</v>
      </c>
      <c r="H478" s="14">
        <f>IFERROR(VALUE(SUBSTITUTE(Raw_Data!G478,",","")),"")</f>
        <v>28978</v>
      </c>
      <c r="I478" s="11">
        <f t="shared" si="28"/>
        <v>1230</v>
      </c>
      <c r="J478" s="11">
        <f t="shared" si="29"/>
        <v>7795082</v>
      </c>
      <c r="K478" s="1">
        <f t="shared" si="30"/>
        <v>28978.0000478</v>
      </c>
      <c r="L478" s="15">
        <f t="shared" si="31"/>
        <v>0.82004779999999999</v>
      </c>
    </row>
    <row r="479" spans="1:12" ht="15" customHeight="1" x14ac:dyDescent="0.25">
      <c r="A479" s="10" t="str">
        <f>Raw_Data!A479</f>
        <v>Tecno Spark 9 (Sky Mirror, 6GB RAM,128GB Storage) | 11GB Expandable RAM | Helio G37 Gaming Processor</v>
      </c>
      <c r="B479" s="10" t="str">
        <f>IFERROR(TRIM(LEFT(Raw_Data!A479,FIND(" ",Raw_Data!A479)-1)),Raw_Data!A479)</f>
        <v>Tecno</v>
      </c>
      <c r="C479" s="10" t="str">
        <f>IFERROR(LEFT(Raw_Data!B479,FIND("|",Raw_Data!B479)-1),Raw_Data!B479)</f>
        <v>Electronics</v>
      </c>
      <c r="D479" s="11">
        <f>IFERROR(VALUE(SUBSTITUTE(SUBSTITUTE(TRIM(Raw_Data!C479),"₹",""),",","")),"")</f>
        <v>8999</v>
      </c>
      <c r="E479" s="11">
        <f>IFERROR(VALUE(SUBSTITUTE(SUBSTITUTE(TRIM(Raw_Data!D479),"₹",""),",","")),"")</f>
        <v>13499</v>
      </c>
      <c r="F479" s="12">
        <f>IFERROR(VALUE(SUBSTITUTE(Raw_Data!E479,"%",""))/100,"")</f>
        <v>0.33</v>
      </c>
      <c r="G479" s="13">
        <f>IFERROR(VALUE(Raw_Data!F479),"")</f>
        <v>3.8</v>
      </c>
      <c r="H479" s="14">
        <f>IFERROR(VALUE(SUBSTITUTE(Raw_Data!G479,",","")),"")</f>
        <v>3145</v>
      </c>
      <c r="I479" s="11">
        <f t="shared" si="28"/>
        <v>4500</v>
      </c>
      <c r="J479" s="11">
        <f t="shared" si="29"/>
        <v>28301855</v>
      </c>
      <c r="K479" s="1">
        <f t="shared" si="30"/>
        <v>3145.0000479</v>
      </c>
      <c r="L479" s="15">
        <f t="shared" si="31"/>
        <v>0.33004790000000001</v>
      </c>
    </row>
    <row r="480" spans="1:12" ht="15" customHeight="1" x14ac:dyDescent="0.25">
      <c r="A480" s="10" t="str">
        <f>Raw_Data!A480</f>
        <v>Flix Micro Usb Cable For Smartphone (Black)</v>
      </c>
      <c r="B480" s="10" t="str">
        <f>IFERROR(TRIM(LEFT(Raw_Data!A480,FIND(" ",Raw_Data!A480)-1)),Raw_Data!A480)</f>
        <v>Flix</v>
      </c>
      <c r="C480" s="10" t="str">
        <f>IFERROR(LEFT(Raw_Data!B480,FIND("|",Raw_Data!B480)-1),Raw_Data!B480)</f>
        <v>Computers&amp;Accessories</v>
      </c>
      <c r="D480" s="11">
        <f>IFERROR(VALUE(SUBSTITUTE(SUBSTITUTE(TRIM(Raw_Data!C480),"₹",""),",","")),"")</f>
        <v>59</v>
      </c>
      <c r="E480" s="11">
        <f>IFERROR(VALUE(SUBSTITUTE(SUBSTITUTE(TRIM(Raw_Data!D480),"₹",""),",","")),"")</f>
        <v>199</v>
      </c>
      <c r="F480" s="12">
        <f>IFERROR(VALUE(SUBSTITUTE(Raw_Data!E480,"%",""))/100,"")</f>
        <v>0.7</v>
      </c>
      <c r="G480" s="13">
        <f>IFERROR(VALUE(Raw_Data!F480),"")</f>
        <v>4</v>
      </c>
      <c r="H480" s="14">
        <f>IFERROR(VALUE(SUBSTITUTE(Raw_Data!G480,",","")),"")</f>
        <v>9377</v>
      </c>
      <c r="I480" s="11">
        <f t="shared" si="28"/>
        <v>140</v>
      </c>
      <c r="J480" s="11">
        <f t="shared" si="29"/>
        <v>553243</v>
      </c>
      <c r="K480" s="1">
        <f t="shared" si="30"/>
        <v>9377.0000479999999</v>
      </c>
      <c r="L480" s="15">
        <f t="shared" si="31"/>
        <v>0.700048</v>
      </c>
    </row>
    <row r="481" spans="1:12" ht="15" customHeight="1" x14ac:dyDescent="0.25">
      <c r="A481" s="10" t="str">
        <f>Raw_Data!A481</f>
        <v>JBL C100SI Wired In Ear Headphones with Mic, JBL Pure Bass Sound, One Button Multi-function Remote, Premium Metallic Finish, Angled Buds for Comfort fit (Red)</v>
      </c>
      <c r="B481" s="10" t="str">
        <f>IFERROR(TRIM(LEFT(Raw_Data!A481,FIND(" ",Raw_Data!A481)-1)),Raw_Data!A481)</f>
        <v>JBL</v>
      </c>
      <c r="C481" s="10" t="str">
        <f>IFERROR(LEFT(Raw_Data!B481,FIND("|",Raw_Data!B481)-1),Raw_Data!B481)</f>
        <v>Electronics</v>
      </c>
      <c r="D481" s="11">
        <f>IFERROR(VALUE(SUBSTITUTE(SUBSTITUTE(TRIM(Raw_Data!C481),"₹",""),",","")),"")</f>
        <v>599</v>
      </c>
      <c r="E481" s="11">
        <f>IFERROR(VALUE(SUBSTITUTE(SUBSTITUTE(TRIM(Raw_Data!D481),"₹",""),",","")),"")</f>
        <v>1299</v>
      </c>
      <c r="F481" s="12">
        <f>IFERROR(VALUE(SUBSTITUTE(Raw_Data!E481,"%",""))/100,"")</f>
        <v>0.54</v>
      </c>
      <c r="G481" s="13">
        <f>IFERROR(VALUE(Raw_Data!F481),"")</f>
        <v>4.0999999999999996</v>
      </c>
      <c r="H481" s="14">
        <f>IFERROR(VALUE(SUBSTITUTE(Raw_Data!G481,",","")),"")</f>
        <v>192589</v>
      </c>
      <c r="I481" s="11">
        <f t="shared" si="28"/>
        <v>700</v>
      </c>
      <c r="J481" s="11">
        <f t="shared" si="29"/>
        <v>115360811</v>
      </c>
      <c r="K481" s="1">
        <f t="shared" si="30"/>
        <v>192589.00004809999</v>
      </c>
      <c r="L481" s="15">
        <f t="shared" si="31"/>
        <v>0.54004810000000003</v>
      </c>
    </row>
    <row r="482" spans="1:12" ht="15" customHeight="1" x14ac:dyDescent="0.25">
      <c r="A482" s="10" t="str">
        <f>Raw_Data!A482</f>
        <v>Tukzer Capacitive Stylus Pen for Touch Screens Devices, Fine Point, Lightweight Metal Body with Magnetism Cover Cap for Smartphones/Tablets/iPad/iPad Pro/iPhone (Grey)</v>
      </c>
      <c r="B482" s="10" t="str">
        <f>IFERROR(TRIM(LEFT(Raw_Data!A482,FIND(" ",Raw_Data!A482)-1)),Raw_Data!A482)</f>
        <v>Tukzer</v>
      </c>
      <c r="C482" s="10" t="str">
        <f>IFERROR(LEFT(Raw_Data!B482,FIND("|",Raw_Data!B482)-1),Raw_Data!B482)</f>
        <v>Electronics</v>
      </c>
      <c r="D482" s="11">
        <f>IFERROR(VALUE(SUBSTITUTE(SUBSTITUTE(TRIM(Raw_Data!C482),"₹",""),",","")),"")</f>
        <v>349</v>
      </c>
      <c r="E482" s="11">
        <f>IFERROR(VALUE(SUBSTITUTE(SUBSTITUTE(TRIM(Raw_Data!D482),"₹",""),",","")),"")</f>
        <v>999</v>
      </c>
      <c r="F482" s="12">
        <f>IFERROR(VALUE(SUBSTITUTE(Raw_Data!E482,"%",""))/100,"")</f>
        <v>0.65</v>
      </c>
      <c r="G482" s="13">
        <f>IFERROR(VALUE(Raw_Data!F482),"")</f>
        <v>3.8</v>
      </c>
      <c r="H482" s="14">
        <f>IFERROR(VALUE(SUBSTITUTE(Raw_Data!G482,",","")),"")</f>
        <v>16557</v>
      </c>
      <c r="I482" s="11">
        <f t="shared" si="28"/>
        <v>650</v>
      </c>
      <c r="J482" s="11">
        <f t="shared" si="29"/>
        <v>5778393</v>
      </c>
      <c r="K482" s="1">
        <f t="shared" si="30"/>
        <v>16557.0000482</v>
      </c>
      <c r="L482" s="15">
        <f t="shared" si="31"/>
        <v>0.65004820000000008</v>
      </c>
    </row>
    <row r="483" spans="1:12" ht="15" customHeight="1" x14ac:dyDescent="0.25">
      <c r="A483" s="10" t="str">
        <f>Raw_Data!A483</f>
        <v>Samsung Galaxy M13 5G (Aqua Green, 6GB, 128GB Storage) | 5000mAh Battery | Upto 12GB RAM with RAM Plus</v>
      </c>
      <c r="B483" s="10" t="str">
        <f>IFERROR(TRIM(LEFT(Raw_Data!A483,FIND(" ",Raw_Data!A483)-1)),Raw_Data!A483)</f>
        <v>Samsung</v>
      </c>
      <c r="C483" s="10" t="str">
        <f>IFERROR(LEFT(Raw_Data!B483,FIND("|",Raw_Data!B483)-1),Raw_Data!B483)</f>
        <v>Electronics</v>
      </c>
      <c r="D483" s="11">
        <f>IFERROR(VALUE(SUBSTITUTE(SUBSTITUTE(TRIM(Raw_Data!C483),"₹",""),",","")),"")</f>
        <v>13999</v>
      </c>
      <c r="E483" s="11">
        <f>IFERROR(VALUE(SUBSTITUTE(SUBSTITUTE(TRIM(Raw_Data!D483),"₹",""),",","")),"")</f>
        <v>19499</v>
      </c>
      <c r="F483" s="12">
        <f>IFERROR(VALUE(SUBSTITUTE(Raw_Data!E483,"%",""))/100,"")</f>
        <v>0.28000000000000003</v>
      </c>
      <c r="G483" s="13">
        <f>IFERROR(VALUE(Raw_Data!F483),"")</f>
        <v>4.0999999999999996</v>
      </c>
      <c r="H483" s="14">
        <f>IFERROR(VALUE(SUBSTITUTE(Raw_Data!G483,",","")),"")</f>
        <v>18998</v>
      </c>
      <c r="I483" s="11">
        <f t="shared" si="28"/>
        <v>5500</v>
      </c>
      <c r="J483" s="11">
        <f t="shared" si="29"/>
        <v>265953002</v>
      </c>
      <c r="K483" s="1">
        <f t="shared" si="30"/>
        <v>18998.0000483</v>
      </c>
      <c r="L483" s="15">
        <f t="shared" si="31"/>
        <v>0.28004830000000003</v>
      </c>
    </row>
    <row r="484" spans="1:12" ht="15" customHeight="1" x14ac:dyDescent="0.25">
      <c r="A484" s="10" t="str">
        <f>Raw_Data!A484</f>
        <v>Tukzer Capacitive Stylus Pen for Touch Screens Devices, Fine Point, Lightweight Metal Body with Magnetism Cover Cap for Smartphones/Tablets/iPad/iPad Pro/iPhone (White)</v>
      </c>
      <c r="B484" s="10" t="str">
        <f>IFERROR(TRIM(LEFT(Raw_Data!A484,FIND(" ",Raw_Data!A484)-1)),Raw_Data!A484)</f>
        <v>Tukzer</v>
      </c>
      <c r="C484" s="10" t="str">
        <f>IFERROR(LEFT(Raw_Data!B484,FIND("|",Raw_Data!B484)-1),Raw_Data!B484)</f>
        <v>Electronics</v>
      </c>
      <c r="D484" s="11">
        <f>IFERROR(VALUE(SUBSTITUTE(SUBSTITUTE(TRIM(Raw_Data!C484),"₹",""),",","")),"")</f>
        <v>349</v>
      </c>
      <c r="E484" s="11">
        <f>IFERROR(VALUE(SUBSTITUTE(SUBSTITUTE(TRIM(Raw_Data!D484),"₹",""),",","")),"")</f>
        <v>999</v>
      </c>
      <c r="F484" s="12">
        <f>IFERROR(VALUE(SUBSTITUTE(Raw_Data!E484,"%",""))/100,"")</f>
        <v>0.65</v>
      </c>
      <c r="G484" s="13">
        <f>IFERROR(VALUE(Raw_Data!F484),"")</f>
        <v>3.8</v>
      </c>
      <c r="H484" s="14">
        <f>IFERROR(VALUE(SUBSTITUTE(Raw_Data!G484,",","")),"")</f>
        <v>16557</v>
      </c>
      <c r="I484" s="11">
        <f t="shared" si="28"/>
        <v>650</v>
      </c>
      <c r="J484" s="11">
        <f t="shared" si="29"/>
        <v>5778393</v>
      </c>
      <c r="K484" s="1">
        <f t="shared" si="30"/>
        <v>16557.000048400001</v>
      </c>
      <c r="L484" s="15">
        <f t="shared" si="31"/>
        <v>0.65004839999999997</v>
      </c>
    </row>
    <row r="485" spans="1:12" ht="15" customHeight="1" x14ac:dyDescent="0.25">
      <c r="A485" s="10" t="str">
        <f>Raw_Data!A485</f>
        <v>Mi 10W Wall Charger for Mobile Phones with Micro USB Cable (Black)</v>
      </c>
      <c r="B485" s="10" t="str">
        <f>IFERROR(TRIM(LEFT(Raw_Data!A485,FIND(" ",Raw_Data!A485)-1)),Raw_Data!A485)</f>
        <v>Mi</v>
      </c>
      <c r="C485" s="10" t="str">
        <f>IFERROR(LEFT(Raw_Data!B485,FIND("|",Raw_Data!B485)-1),Raw_Data!B485)</f>
        <v>Electronics</v>
      </c>
      <c r="D485" s="11">
        <f>IFERROR(VALUE(SUBSTITUTE(SUBSTITUTE(TRIM(Raw_Data!C485),"₹",""),",","")),"")</f>
        <v>499</v>
      </c>
      <c r="E485" s="11">
        <f>IFERROR(VALUE(SUBSTITUTE(SUBSTITUTE(TRIM(Raw_Data!D485),"₹",""),",","")),"")</f>
        <v>599</v>
      </c>
      <c r="F485" s="12">
        <f>IFERROR(VALUE(SUBSTITUTE(Raw_Data!E485,"%",""))/100,"")</f>
        <v>0.17</v>
      </c>
      <c r="G485" s="13">
        <f>IFERROR(VALUE(Raw_Data!F485),"")</f>
        <v>4.2</v>
      </c>
      <c r="H485" s="14">
        <f>IFERROR(VALUE(SUBSTITUTE(Raw_Data!G485,",","")),"")</f>
        <v>21916</v>
      </c>
      <c r="I485" s="11">
        <f t="shared" si="28"/>
        <v>100</v>
      </c>
      <c r="J485" s="11">
        <f t="shared" si="29"/>
        <v>10936084</v>
      </c>
      <c r="K485" s="1">
        <f t="shared" si="30"/>
        <v>21916.000048499998</v>
      </c>
      <c r="L485" s="15">
        <f t="shared" si="31"/>
        <v>0.17004850000000002</v>
      </c>
    </row>
    <row r="486" spans="1:12" ht="15" customHeight="1" x14ac:dyDescent="0.25">
      <c r="A486" s="10" t="str">
        <f>Raw_Data!A486</f>
        <v>Fire-Boltt India's No 1 Smartwatch Brand Talk 2 Bluetooth Calling Smartwatch with Dual Button, Hands On Voice Assistance, 60 Sports Modes, in Built Mic &amp; Speaker with IP68 Rating</v>
      </c>
      <c r="B486" s="10" t="str">
        <f>IFERROR(TRIM(LEFT(Raw_Data!A486,FIND(" ",Raw_Data!A486)-1)),Raw_Data!A486)</f>
        <v>Fire-Boltt</v>
      </c>
      <c r="C486" s="10" t="str">
        <f>IFERROR(LEFT(Raw_Data!B486,FIND("|",Raw_Data!B486)-1),Raw_Data!B486)</f>
        <v>Electronics</v>
      </c>
      <c r="D486" s="11">
        <f>IFERROR(VALUE(SUBSTITUTE(SUBSTITUTE(TRIM(Raw_Data!C486),"₹",""),",","")),"")</f>
        <v>2199</v>
      </c>
      <c r="E486" s="11">
        <f>IFERROR(VALUE(SUBSTITUTE(SUBSTITUTE(TRIM(Raw_Data!D486),"₹",""),",","")),"")</f>
        <v>9999</v>
      </c>
      <c r="F486" s="12">
        <f>IFERROR(VALUE(SUBSTITUTE(Raw_Data!E486,"%",""))/100,"")</f>
        <v>0.78</v>
      </c>
      <c r="G486" s="13">
        <f>IFERROR(VALUE(Raw_Data!F486),"")</f>
        <v>4.2</v>
      </c>
      <c r="H486" s="14">
        <f>IFERROR(VALUE(SUBSTITUTE(Raw_Data!G486,",","")),"")</f>
        <v>29472</v>
      </c>
      <c r="I486" s="11">
        <f t="shared" si="28"/>
        <v>7800</v>
      </c>
      <c r="J486" s="11">
        <f t="shared" si="29"/>
        <v>64808928</v>
      </c>
      <c r="K486" s="1">
        <f t="shared" si="30"/>
        <v>29472.000048599999</v>
      </c>
      <c r="L486" s="15">
        <f t="shared" si="31"/>
        <v>0.78004859999999998</v>
      </c>
    </row>
    <row r="487" spans="1:12" ht="15" customHeight="1" x14ac:dyDescent="0.25">
      <c r="A487" s="10" t="str">
        <f>Raw_Data!A487</f>
        <v>STRIFF 12 Pieces Highly Flexible Silicone Micro USB Protector, Mouse Cable Protector, Suit for All Cell Phones, Computers and Chargers (White)</v>
      </c>
      <c r="B487" s="10" t="str">
        <f>IFERROR(TRIM(LEFT(Raw_Data!A487,FIND(" ",Raw_Data!A487)-1)),Raw_Data!A487)</f>
        <v>STRIFF</v>
      </c>
      <c r="C487" s="10" t="str">
        <f>IFERROR(LEFT(Raw_Data!B487,FIND("|",Raw_Data!B487)-1),Raw_Data!B487)</f>
        <v>Electronics</v>
      </c>
      <c r="D487" s="11">
        <f>IFERROR(VALUE(SUBSTITUTE(SUBSTITUTE(TRIM(Raw_Data!C487),"₹",""),",","")),"")</f>
        <v>95</v>
      </c>
      <c r="E487" s="11">
        <f>IFERROR(VALUE(SUBSTITUTE(SUBSTITUTE(TRIM(Raw_Data!D487),"₹",""),",","")),"")</f>
        <v>499</v>
      </c>
      <c r="F487" s="12">
        <f>IFERROR(VALUE(SUBSTITUTE(Raw_Data!E487,"%",""))/100,"")</f>
        <v>0.81</v>
      </c>
      <c r="G487" s="13">
        <f>IFERROR(VALUE(Raw_Data!F487),"")</f>
        <v>4.2</v>
      </c>
      <c r="H487" s="14">
        <f>IFERROR(VALUE(SUBSTITUTE(Raw_Data!G487,",","")),"")</f>
        <v>1949</v>
      </c>
      <c r="I487" s="11">
        <f t="shared" si="28"/>
        <v>404</v>
      </c>
      <c r="J487" s="11">
        <f t="shared" si="29"/>
        <v>185155</v>
      </c>
      <c r="K487" s="1">
        <f t="shared" si="30"/>
        <v>1949.0000487</v>
      </c>
      <c r="L487" s="15">
        <f t="shared" si="31"/>
        <v>0.81004870000000007</v>
      </c>
    </row>
    <row r="488" spans="1:12" ht="15" customHeight="1" x14ac:dyDescent="0.25">
      <c r="A488" s="10" t="str">
        <f>Raw_Data!A488</f>
        <v>FLiX (Beetel) USB to Type C PVC Data Sync &amp; 2A Smartphone Fast Charging Cable, Made in India, 480Mbps Data Sync, Tough Cable, 1 Meter Long USB Cable for USB Type C Devices Black XCD-C12</v>
      </c>
      <c r="B488" s="10" t="str">
        <f>IFERROR(TRIM(LEFT(Raw_Data!A488,FIND(" ",Raw_Data!A488)-1)),Raw_Data!A488)</f>
        <v>FLiX</v>
      </c>
      <c r="C488" s="10" t="str">
        <f>IFERROR(LEFT(Raw_Data!B488,FIND("|",Raw_Data!B488)-1),Raw_Data!B488)</f>
        <v>Computers&amp;Accessories</v>
      </c>
      <c r="D488" s="11">
        <f>IFERROR(VALUE(SUBSTITUTE(SUBSTITUTE(TRIM(Raw_Data!C488),"₹",""),",","")),"")</f>
        <v>139</v>
      </c>
      <c r="E488" s="11">
        <f>IFERROR(VALUE(SUBSTITUTE(SUBSTITUTE(TRIM(Raw_Data!D488),"₹",""),",","")),"")</f>
        <v>249</v>
      </c>
      <c r="F488" s="12">
        <f>IFERROR(VALUE(SUBSTITUTE(Raw_Data!E488,"%",""))/100,"")</f>
        <v>0.44</v>
      </c>
      <c r="G488" s="13">
        <f>IFERROR(VALUE(Raw_Data!F488),"")</f>
        <v>4</v>
      </c>
      <c r="H488" s="14">
        <f>IFERROR(VALUE(SUBSTITUTE(Raw_Data!G488,",","")),"")</f>
        <v>9377</v>
      </c>
      <c r="I488" s="11">
        <f t="shared" si="28"/>
        <v>110</v>
      </c>
      <c r="J488" s="11">
        <f t="shared" si="29"/>
        <v>1303403</v>
      </c>
      <c r="K488" s="1">
        <f t="shared" si="30"/>
        <v>9377.0000488000005</v>
      </c>
      <c r="L488" s="15">
        <f t="shared" si="31"/>
        <v>0.44004880000000002</v>
      </c>
    </row>
    <row r="489" spans="1:12" ht="15" customHeight="1" x14ac:dyDescent="0.25">
      <c r="A489" s="10" t="str">
        <f>Raw_Data!A489</f>
        <v>Noise ColorFit Pro 4 Alpha Bluetooth Calling Smart Watch with 1.78 AMOLED Display, Tru Sync, 60hz Refresh Rate, instacharge, Gesture Control, Functional 360 Digital Crown (Jet Black)</v>
      </c>
      <c r="B489" s="10" t="str">
        <f>IFERROR(TRIM(LEFT(Raw_Data!A489,FIND(" ",Raw_Data!A489)-1)),Raw_Data!A489)</f>
        <v>Noise</v>
      </c>
      <c r="C489" s="10" t="str">
        <f>IFERROR(LEFT(Raw_Data!B489,FIND("|",Raw_Data!B489)-1),Raw_Data!B489)</f>
        <v>Electronics</v>
      </c>
      <c r="D489" s="11">
        <f>IFERROR(VALUE(SUBSTITUTE(SUBSTITUTE(TRIM(Raw_Data!C489),"₹",""),",","")),"")</f>
        <v>4499</v>
      </c>
      <c r="E489" s="11">
        <f>IFERROR(VALUE(SUBSTITUTE(SUBSTITUTE(TRIM(Raw_Data!D489),"₹",""),",","")),"")</f>
        <v>7999</v>
      </c>
      <c r="F489" s="12">
        <f>IFERROR(VALUE(SUBSTITUTE(Raw_Data!E489,"%",""))/100,"")</f>
        <v>0.44</v>
      </c>
      <c r="G489" s="13">
        <f>IFERROR(VALUE(Raw_Data!F489),"")</f>
        <v>3.5</v>
      </c>
      <c r="H489" s="14">
        <f>IFERROR(VALUE(SUBSTITUTE(Raw_Data!G489,",","")),"")</f>
        <v>37</v>
      </c>
      <c r="I489" s="11">
        <f t="shared" si="28"/>
        <v>3500</v>
      </c>
      <c r="J489" s="11">
        <f t="shared" si="29"/>
        <v>166463</v>
      </c>
      <c r="K489" s="1">
        <f t="shared" si="30"/>
        <v>37.000048900000003</v>
      </c>
      <c r="L489" s="15">
        <f t="shared" si="31"/>
        <v>0.44004890000000002</v>
      </c>
    </row>
    <row r="490" spans="1:12" ht="15" customHeight="1" x14ac:dyDescent="0.25">
      <c r="A490" s="10" t="str">
        <f>Raw_Data!A490</f>
        <v>Elv Mobile Phone Mount Tabletop Holder for Phones and Tablets - Black</v>
      </c>
      <c r="B490" s="10" t="str">
        <f>IFERROR(TRIM(LEFT(Raw_Data!A490,FIND(" ",Raw_Data!A490)-1)),Raw_Data!A490)</f>
        <v>Elv</v>
      </c>
      <c r="C490" s="10" t="str">
        <f>IFERROR(LEFT(Raw_Data!B490,FIND("|",Raw_Data!B490)-1),Raw_Data!B490)</f>
        <v>Electronics</v>
      </c>
      <c r="D490" s="11">
        <f>IFERROR(VALUE(SUBSTITUTE(SUBSTITUTE(TRIM(Raw_Data!C490),"₹",""),",","")),"")</f>
        <v>89</v>
      </c>
      <c r="E490" s="11">
        <f>IFERROR(VALUE(SUBSTITUTE(SUBSTITUTE(TRIM(Raw_Data!D490),"₹",""),",","")),"")</f>
        <v>599</v>
      </c>
      <c r="F490" s="12">
        <f>IFERROR(VALUE(SUBSTITUTE(Raw_Data!E490,"%",""))/100,"")</f>
        <v>0.85</v>
      </c>
      <c r="G490" s="13">
        <f>IFERROR(VALUE(Raw_Data!F490),"")</f>
        <v>4.3</v>
      </c>
      <c r="H490" s="14">
        <f>IFERROR(VALUE(SUBSTITUTE(Raw_Data!G490,",","")),"")</f>
        <v>2351</v>
      </c>
      <c r="I490" s="11">
        <f t="shared" si="28"/>
        <v>510</v>
      </c>
      <c r="J490" s="11">
        <f t="shared" si="29"/>
        <v>209239</v>
      </c>
      <c r="K490" s="1">
        <f t="shared" si="30"/>
        <v>2351.0000490000002</v>
      </c>
      <c r="L490" s="15">
        <f t="shared" si="31"/>
        <v>0.85004899999999994</v>
      </c>
    </row>
    <row r="491" spans="1:12" ht="15" customHeight="1" x14ac:dyDescent="0.25">
      <c r="A491" s="10" t="str">
        <f>Raw_Data!A491</f>
        <v>iQOO Z6 44W by vivo (Raven Black, 6GB RAM, 128GB Storage) | 6.44" FHD+ AMOLED Display | 50% Charge in just 27 mins | in-Display Fingerprint Scanning</v>
      </c>
      <c r="B491" s="10" t="str">
        <f>IFERROR(TRIM(LEFT(Raw_Data!A491,FIND(" ",Raw_Data!A491)-1)),Raw_Data!A491)</f>
        <v>iQOO</v>
      </c>
      <c r="C491" s="10" t="str">
        <f>IFERROR(LEFT(Raw_Data!B491,FIND("|",Raw_Data!B491)-1),Raw_Data!B491)</f>
        <v>Electronics</v>
      </c>
      <c r="D491" s="11">
        <f>IFERROR(VALUE(SUBSTITUTE(SUBSTITUTE(TRIM(Raw_Data!C491),"₹",""),",","")),"")</f>
        <v>15499</v>
      </c>
      <c r="E491" s="11">
        <f>IFERROR(VALUE(SUBSTITUTE(SUBSTITUTE(TRIM(Raw_Data!D491),"₹",""),",","")),"")</f>
        <v>20999</v>
      </c>
      <c r="F491" s="12">
        <f>IFERROR(VALUE(SUBSTITUTE(Raw_Data!E491,"%",""))/100,"")</f>
        <v>0.26</v>
      </c>
      <c r="G491" s="13">
        <f>IFERROR(VALUE(Raw_Data!F491),"")</f>
        <v>4.0999999999999996</v>
      </c>
      <c r="H491" s="14">
        <f>IFERROR(VALUE(SUBSTITUTE(Raw_Data!G491,",","")),"")</f>
        <v>19253</v>
      </c>
      <c r="I491" s="11">
        <f t="shared" si="28"/>
        <v>5500</v>
      </c>
      <c r="J491" s="11">
        <f t="shared" si="29"/>
        <v>298402247</v>
      </c>
      <c r="K491" s="1">
        <f t="shared" si="30"/>
        <v>19253.000049099999</v>
      </c>
      <c r="L491" s="15">
        <f t="shared" si="31"/>
        <v>0.26004910000000003</v>
      </c>
    </row>
    <row r="492" spans="1:12" ht="15" customHeight="1" x14ac:dyDescent="0.25">
      <c r="A492" s="10" t="str">
        <f>Raw_Data!A492</f>
        <v>Redmi 11 Prime 5G (Meadow Green, 4GB RAM 64GB ROM) | Prime Design | MTK Dimensity 700 | 50 MP Dual Cam | 5000mAh | 7 Band 5G</v>
      </c>
      <c r="B492" s="10" t="str">
        <f>IFERROR(TRIM(LEFT(Raw_Data!A492,FIND(" ",Raw_Data!A492)-1)),Raw_Data!A492)</f>
        <v>Redmi</v>
      </c>
      <c r="C492" s="10" t="str">
        <f>IFERROR(LEFT(Raw_Data!B492,FIND("|",Raw_Data!B492)-1),Raw_Data!B492)</f>
        <v>Electronics</v>
      </c>
      <c r="D492" s="11">
        <f>IFERROR(VALUE(SUBSTITUTE(SUBSTITUTE(TRIM(Raw_Data!C492),"₹",""),",","")),"")</f>
        <v>13999</v>
      </c>
      <c r="E492" s="11">
        <f>IFERROR(VALUE(SUBSTITUTE(SUBSTITUTE(TRIM(Raw_Data!D492),"₹",""),",","")),"")</f>
        <v>15999</v>
      </c>
      <c r="F492" s="12">
        <f>IFERROR(VALUE(SUBSTITUTE(Raw_Data!E492,"%",""))/100,"")</f>
        <v>0.13</v>
      </c>
      <c r="G492" s="13">
        <f>IFERROR(VALUE(Raw_Data!F492),"")</f>
        <v>3.9</v>
      </c>
      <c r="H492" s="14">
        <f>IFERROR(VALUE(SUBSTITUTE(Raw_Data!G492,",","")),"")</f>
        <v>2180</v>
      </c>
      <c r="I492" s="11">
        <f t="shared" si="28"/>
        <v>2000</v>
      </c>
      <c r="J492" s="11">
        <f t="shared" si="29"/>
        <v>30517820</v>
      </c>
      <c r="K492" s="1">
        <f t="shared" si="30"/>
        <v>2180.0000491999999</v>
      </c>
      <c r="L492" s="15">
        <f t="shared" si="31"/>
        <v>0.1300492</v>
      </c>
    </row>
    <row r="493" spans="1:12" ht="15" customHeight="1" x14ac:dyDescent="0.25">
      <c r="A493" s="10" t="str">
        <f>Raw_Data!A493</f>
        <v>Noise Pulse Buzz 1.69" Bluetooth Calling Smart Watch with Call Function, 150 Watch Faces, 60 Sports Modes, Spo2 &amp; Heart Rate Monitoring, Calling Smart Watch for Men &amp; Women - Rose Pink</v>
      </c>
      <c r="B493" s="10" t="str">
        <f>IFERROR(TRIM(LEFT(Raw_Data!A493,FIND(" ",Raw_Data!A493)-1)),Raw_Data!A493)</f>
        <v>Noise</v>
      </c>
      <c r="C493" s="10" t="str">
        <f>IFERROR(LEFT(Raw_Data!B493,FIND("|",Raw_Data!B493)-1),Raw_Data!B493)</f>
        <v>Electronics</v>
      </c>
      <c r="D493" s="11">
        <f>IFERROR(VALUE(SUBSTITUTE(SUBSTITUTE(TRIM(Raw_Data!C493),"₹",""),",","")),"")</f>
        <v>1999</v>
      </c>
      <c r="E493" s="11">
        <f>IFERROR(VALUE(SUBSTITUTE(SUBSTITUTE(TRIM(Raw_Data!D493),"₹",""),",","")),"")</f>
        <v>4999</v>
      </c>
      <c r="F493" s="12">
        <f>IFERROR(VALUE(SUBSTITUTE(Raw_Data!E493,"%",""))/100,"")</f>
        <v>0.6</v>
      </c>
      <c r="G493" s="13">
        <f>IFERROR(VALUE(Raw_Data!F493),"")</f>
        <v>3.9</v>
      </c>
      <c r="H493" s="14">
        <f>IFERROR(VALUE(SUBSTITUTE(Raw_Data!G493,",","")),"")</f>
        <v>7571</v>
      </c>
      <c r="I493" s="11">
        <f t="shared" si="28"/>
        <v>3000</v>
      </c>
      <c r="J493" s="11">
        <f t="shared" si="29"/>
        <v>15134429</v>
      </c>
      <c r="K493" s="1">
        <f t="shared" si="30"/>
        <v>7571.0000492999998</v>
      </c>
      <c r="L493" s="15">
        <f t="shared" si="31"/>
        <v>0.60004930000000001</v>
      </c>
    </row>
    <row r="494" spans="1:12" ht="15" customHeight="1" x14ac:dyDescent="0.25">
      <c r="A494" s="10" t="str">
        <f>Raw_Data!A494</f>
        <v>PTron Newly Launched Force X10 Bluetooth Calling Smartwatch with 1.7" Full Touch Display, Real Heart Rate Monitor, SpO2, Watch Faces, 5 Days Runtime, Health/Fitness Trackers &amp; IP68 Waterproof (Black)</v>
      </c>
      <c r="B494" s="10" t="str">
        <f>IFERROR(TRIM(LEFT(Raw_Data!A494,FIND(" ",Raw_Data!A494)-1)),Raw_Data!A494)</f>
        <v>PTron</v>
      </c>
      <c r="C494" s="10" t="str">
        <f>IFERROR(LEFT(Raw_Data!B494,FIND("|",Raw_Data!B494)-1),Raw_Data!B494)</f>
        <v>Electronics</v>
      </c>
      <c r="D494" s="11">
        <f>IFERROR(VALUE(SUBSTITUTE(SUBSTITUTE(TRIM(Raw_Data!C494),"₹",""),",","")),"")</f>
        <v>1399</v>
      </c>
      <c r="E494" s="11">
        <f>IFERROR(VALUE(SUBSTITUTE(SUBSTITUTE(TRIM(Raw_Data!D494),"₹",""),",","")),"")</f>
        <v>5999</v>
      </c>
      <c r="F494" s="12">
        <f>IFERROR(VALUE(SUBSTITUTE(Raw_Data!E494,"%",""))/100,"")</f>
        <v>0.77</v>
      </c>
      <c r="G494" s="13">
        <f>IFERROR(VALUE(Raw_Data!F494),"")</f>
        <v>3.3</v>
      </c>
      <c r="H494" s="14">
        <f>IFERROR(VALUE(SUBSTITUTE(Raw_Data!G494,",","")),"")</f>
        <v>4415</v>
      </c>
      <c r="I494" s="11">
        <f t="shared" si="28"/>
        <v>4600</v>
      </c>
      <c r="J494" s="11">
        <f t="shared" si="29"/>
        <v>6176585</v>
      </c>
      <c r="K494" s="1">
        <f t="shared" si="30"/>
        <v>4415.0000493999996</v>
      </c>
      <c r="L494" s="15">
        <f t="shared" si="31"/>
        <v>0.7700494</v>
      </c>
    </row>
    <row r="495" spans="1:12" ht="15" customHeight="1" x14ac:dyDescent="0.25">
      <c r="A495" s="10" t="str">
        <f>Raw_Data!A495</f>
        <v>Portronics CLAMP X Car-Vent Mobile Holder 360 Degree Rotational(Black)</v>
      </c>
      <c r="B495" s="10" t="str">
        <f>IFERROR(TRIM(LEFT(Raw_Data!A495,FIND(" ",Raw_Data!A495)-1)),Raw_Data!A495)</f>
        <v>Portronics</v>
      </c>
      <c r="C495" s="10" t="str">
        <f>IFERROR(LEFT(Raw_Data!B495,FIND("|",Raw_Data!B495)-1),Raw_Data!B495)</f>
        <v>Electronics</v>
      </c>
      <c r="D495" s="11">
        <f>IFERROR(VALUE(SUBSTITUTE(SUBSTITUTE(TRIM(Raw_Data!C495),"₹",""),",","")),"")</f>
        <v>599</v>
      </c>
      <c r="E495" s="11">
        <f>IFERROR(VALUE(SUBSTITUTE(SUBSTITUTE(TRIM(Raw_Data!D495),"₹",""),",","")),"")</f>
        <v>999</v>
      </c>
      <c r="F495" s="12">
        <f>IFERROR(VALUE(SUBSTITUTE(Raw_Data!E495,"%",""))/100,"")</f>
        <v>0.4</v>
      </c>
      <c r="G495" s="13">
        <f>IFERROR(VALUE(Raw_Data!F495),"")</f>
        <v>4</v>
      </c>
      <c r="H495" s="14">
        <f>IFERROR(VALUE(SUBSTITUTE(Raw_Data!G495,",","")),"")</f>
        <v>18654</v>
      </c>
      <c r="I495" s="11">
        <f t="shared" si="28"/>
        <v>400</v>
      </c>
      <c r="J495" s="11">
        <f t="shared" si="29"/>
        <v>11173746</v>
      </c>
      <c r="K495" s="1">
        <f t="shared" si="30"/>
        <v>18654.000049499999</v>
      </c>
      <c r="L495" s="15">
        <f t="shared" si="31"/>
        <v>0.4000495</v>
      </c>
    </row>
    <row r="496" spans="1:12" ht="15" customHeight="1" x14ac:dyDescent="0.25">
      <c r="A496" s="10" t="str">
        <f>Raw_Data!A496</f>
        <v>pTron Volta Dual Port 12W Smart USB Charger Adapter, Multi-Layer Protection, Made in India, BIS Certified, Fast Charging Power Adaptor Without Cable for All iOS &amp; Android Devices (Black)</v>
      </c>
      <c r="B496" s="10" t="str">
        <f>IFERROR(TRIM(LEFT(Raw_Data!A496,FIND(" ",Raw_Data!A496)-1)),Raw_Data!A496)</f>
        <v>pTron</v>
      </c>
      <c r="C496" s="10" t="str">
        <f>IFERROR(LEFT(Raw_Data!B496,FIND("|",Raw_Data!B496)-1),Raw_Data!B496)</f>
        <v>Electronics</v>
      </c>
      <c r="D496" s="11">
        <f>IFERROR(VALUE(SUBSTITUTE(SUBSTITUTE(TRIM(Raw_Data!C496),"₹",""),",","")),"")</f>
        <v>199</v>
      </c>
      <c r="E496" s="11">
        <f>IFERROR(VALUE(SUBSTITUTE(SUBSTITUTE(TRIM(Raw_Data!D496),"₹",""),",","")),"")</f>
        <v>1099</v>
      </c>
      <c r="F496" s="12">
        <f>IFERROR(VALUE(SUBSTITUTE(Raw_Data!E496,"%",""))/100,"")</f>
        <v>0.82</v>
      </c>
      <c r="G496" s="13">
        <f>IFERROR(VALUE(Raw_Data!F496),"")</f>
        <v>4</v>
      </c>
      <c r="H496" s="14">
        <f>IFERROR(VALUE(SUBSTITUTE(Raw_Data!G496,",","")),"")</f>
        <v>3197</v>
      </c>
      <c r="I496" s="11">
        <f t="shared" si="28"/>
        <v>900</v>
      </c>
      <c r="J496" s="11">
        <f t="shared" si="29"/>
        <v>636203</v>
      </c>
      <c r="K496" s="1">
        <f t="shared" si="30"/>
        <v>3197.0000495999998</v>
      </c>
      <c r="L496" s="15">
        <f t="shared" si="31"/>
        <v>0.82004959999999993</v>
      </c>
    </row>
    <row r="497" spans="1:12" ht="15" customHeight="1" x14ac:dyDescent="0.25">
      <c r="A497" s="10" t="str">
        <f>Raw_Data!A497</f>
        <v>boAt Flash Edition Smart Watch with Activity Tracker, Multiple Sports Modes, 1.3" Screen, 170+ Watch Faces, Sleep Monitor, Gesture, Camera &amp; Music Control, IP68 &amp; 7 Days Battery Life(Lightning Black)</v>
      </c>
      <c r="B497" s="10" t="str">
        <f>IFERROR(TRIM(LEFT(Raw_Data!A497,FIND(" ",Raw_Data!A497)-1)),Raw_Data!A497)</f>
        <v>boAt</v>
      </c>
      <c r="C497" s="10" t="str">
        <f>IFERROR(LEFT(Raw_Data!B497,FIND("|",Raw_Data!B497)-1),Raw_Data!B497)</f>
        <v>Electronics</v>
      </c>
      <c r="D497" s="11">
        <f>IFERROR(VALUE(SUBSTITUTE(SUBSTITUTE(TRIM(Raw_Data!C497),"₹",""),",","")),"")</f>
        <v>1799</v>
      </c>
      <c r="E497" s="11">
        <f>IFERROR(VALUE(SUBSTITUTE(SUBSTITUTE(TRIM(Raw_Data!D497),"₹",""),",","")),"")</f>
        <v>6990</v>
      </c>
      <c r="F497" s="12">
        <f>IFERROR(VALUE(SUBSTITUTE(Raw_Data!E497,"%",""))/100,"")</f>
        <v>0.74</v>
      </c>
      <c r="G497" s="13">
        <f>IFERROR(VALUE(Raw_Data!F497),"")</f>
        <v>4</v>
      </c>
      <c r="H497" s="14">
        <f>IFERROR(VALUE(SUBSTITUTE(Raw_Data!G497,",","")),"")</f>
        <v>26880</v>
      </c>
      <c r="I497" s="11">
        <f t="shared" si="28"/>
        <v>5191</v>
      </c>
      <c r="J497" s="11">
        <f t="shared" si="29"/>
        <v>48357120</v>
      </c>
      <c r="K497" s="1">
        <f t="shared" si="30"/>
        <v>26880.0000497</v>
      </c>
      <c r="L497" s="15">
        <f t="shared" si="31"/>
        <v>0.74004970000000003</v>
      </c>
    </row>
    <row r="498" spans="1:12" ht="15" customHeight="1" x14ac:dyDescent="0.25">
      <c r="A498" s="10" t="str">
        <f>Raw_Data!A498</f>
        <v>boAt Wave Lite Smartwatch with 1.69 Inches(4.29cm) HD Display, Heart Rate &amp; SpO2 Level Monitor, Multiple Watch Faces, Activity Tracker, Multiple Sports Modes &amp; IP68 (Scarlet Red)</v>
      </c>
      <c r="B498" s="10" t="str">
        <f>IFERROR(TRIM(LEFT(Raw_Data!A498,FIND(" ",Raw_Data!A498)-1)),Raw_Data!A498)</f>
        <v>boAt</v>
      </c>
      <c r="C498" s="10" t="str">
        <f>IFERROR(LEFT(Raw_Data!B498,FIND("|",Raw_Data!B498)-1),Raw_Data!B498)</f>
        <v>Electronics</v>
      </c>
      <c r="D498" s="11">
        <f>IFERROR(VALUE(SUBSTITUTE(SUBSTITUTE(TRIM(Raw_Data!C498),"₹",""),",","")),"")</f>
        <v>1499</v>
      </c>
      <c r="E498" s="11">
        <f>IFERROR(VALUE(SUBSTITUTE(SUBSTITUTE(TRIM(Raw_Data!D498),"₹",""),",","")),"")</f>
        <v>6990</v>
      </c>
      <c r="F498" s="12">
        <f>IFERROR(VALUE(SUBSTITUTE(Raw_Data!E498,"%",""))/100,"")</f>
        <v>0.79</v>
      </c>
      <c r="G498" s="13">
        <f>IFERROR(VALUE(Raw_Data!F498),"")</f>
        <v>3.9</v>
      </c>
      <c r="H498" s="14">
        <f>IFERROR(VALUE(SUBSTITUTE(Raw_Data!G498,",","")),"")</f>
        <v>21796</v>
      </c>
      <c r="I498" s="11">
        <f t="shared" si="28"/>
        <v>5491</v>
      </c>
      <c r="J498" s="11">
        <f t="shared" si="29"/>
        <v>32672204</v>
      </c>
      <c r="K498" s="1">
        <f t="shared" si="30"/>
        <v>21796.000049800001</v>
      </c>
      <c r="L498" s="15">
        <f t="shared" si="31"/>
        <v>0.79004980000000002</v>
      </c>
    </row>
    <row r="499" spans="1:12" ht="15" customHeight="1" x14ac:dyDescent="0.25">
      <c r="A499" s="10" t="str">
        <f>Raw_Data!A499</f>
        <v>iQOO Z6 Pro 5G by vivo (Phantom Dusk, 8GB RAM, 128GB Storage) | Snapdragon 778G 5G | 66W FlashCharge | 1300 nits Peak Brightness | HDR10+</v>
      </c>
      <c r="B499" s="10" t="str">
        <f>IFERROR(TRIM(LEFT(Raw_Data!A499,FIND(" ",Raw_Data!A499)-1)),Raw_Data!A499)</f>
        <v>iQOO</v>
      </c>
      <c r="C499" s="10" t="str">
        <f>IFERROR(LEFT(Raw_Data!B499,FIND("|",Raw_Data!B499)-1),Raw_Data!B499)</f>
        <v>Electronics</v>
      </c>
      <c r="D499" s="11">
        <f>IFERROR(VALUE(SUBSTITUTE(SUBSTITUTE(TRIM(Raw_Data!C499),"₹",""),",","")),"")</f>
        <v>20999</v>
      </c>
      <c r="E499" s="11">
        <f>IFERROR(VALUE(SUBSTITUTE(SUBSTITUTE(TRIM(Raw_Data!D499),"₹",""),",","")),"")</f>
        <v>29990</v>
      </c>
      <c r="F499" s="12">
        <f>IFERROR(VALUE(SUBSTITUTE(Raw_Data!E499,"%",""))/100,"")</f>
        <v>0.3</v>
      </c>
      <c r="G499" s="13">
        <f>IFERROR(VALUE(Raw_Data!F499),"")</f>
        <v>4.3</v>
      </c>
      <c r="H499" s="14">
        <f>IFERROR(VALUE(SUBSTITUTE(Raw_Data!G499,",","")),"")</f>
        <v>9499</v>
      </c>
      <c r="I499" s="11">
        <f t="shared" si="28"/>
        <v>8991</v>
      </c>
      <c r="J499" s="11">
        <f t="shared" si="29"/>
        <v>199469501</v>
      </c>
      <c r="K499" s="1">
        <f t="shared" si="30"/>
        <v>9499.0000498999998</v>
      </c>
      <c r="L499" s="15">
        <f t="shared" si="31"/>
        <v>0.30004989999999998</v>
      </c>
    </row>
    <row r="500" spans="1:12" ht="15" customHeight="1" x14ac:dyDescent="0.25">
      <c r="A500" s="10" t="str">
        <f>Raw_Data!A500</f>
        <v>Samsung Galaxy M32 Prime Edition (Light Blue, 4GB RAM, 64GB)</v>
      </c>
      <c r="B500" s="10" t="str">
        <f>IFERROR(TRIM(LEFT(Raw_Data!A500,FIND(" ",Raw_Data!A500)-1)),Raw_Data!A500)</f>
        <v>Samsung</v>
      </c>
      <c r="C500" s="10" t="str">
        <f>IFERROR(LEFT(Raw_Data!B500,FIND("|",Raw_Data!B500)-1),Raw_Data!B500)</f>
        <v>Electronics</v>
      </c>
      <c r="D500" s="11">
        <f>IFERROR(VALUE(SUBSTITUTE(SUBSTITUTE(TRIM(Raw_Data!C500),"₹",""),",","")),"")</f>
        <v>12999</v>
      </c>
      <c r="E500" s="11">
        <f>IFERROR(VALUE(SUBSTITUTE(SUBSTITUTE(TRIM(Raw_Data!D500),"₹",""),",","")),"")</f>
        <v>13499</v>
      </c>
      <c r="F500" s="12">
        <f>IFERROR(VALUE(SUBSTITUTE(Raw_Data!E500,"%",""))/100,"")</f>
        <v>0.04</v>
      </c>
      <c r="G500" s="13">
        <f>IFERROR(VALUE(Raw_Data!F500),"")</f>
        <v>4.0999999999999996</v>
      </c>
      <c r="H500" s="14">
        <f>IFERROR(VALUE(SUBSTITUTE(Raw_Data!G500,",","")),"")</f>
        <v>56098</v>
      </c>
      <c r="I500" s="11">
        <f t="shared" si="28"/>
        <v>500</v>
      </c>
      <c r="J500" s="11">
        <f t="shared" si="29"/>
        <v>729217902</v>
      </c>
      <c r="K500" s="1">
        <f t="shared" si="30"/>
        <v>56098.000050000002</v>
      </c>
      <c r="L500" s="15">
        <f t="shared" si="31"/>
        <v>4.0050000000000002E-2</v>
      </c>
    </row>
    <row r="501" spans="1:12" ht="15" customHeight="1" x14ac:dyDescent="0.25">
      <c r="A501" s="10" t="str">
        <f>Raw_Data!A501</f>
        <v>Redmi Note 11T 5G (Matte Black, 6GB RAM, 128GB ROM)| Dimensity 810 5G | 33W Pro Fast Charging | Charger Included | Additional Exchange Offers|Get 2 Months of YouTube Premium Free!</v>
      </c>
      <c r="B501" s="10" t="str">
        <f>IFERROR(TRIM(LEFT(Raw_Data!A501,FIND(" ",Raw_Data!A501)-1)),Raw_Data!A501)</f>
        <v>Redmi</v>
      </c>
      <c r="C501" s="10" t="str">
        <f>IFERROR(LEFT(Raw_Data!B501,FIND("|",Raw_Data!B501)-1),Raw_Data!B501)</f>
        <v>Electronics</v>
      </c>
      <c r="D501" s="11">
        <f>IFERROR(VALUE(SUBSTITUTE(SUBSTITUTE(TRIM(Raw_Data!C501),"₹",""),",","")),"")</f>
        <v>16999</v>
      </c>
      <c r="E501" s="11">
        <f>IFERROR(VALUE(SUBSTITUTE(SUBSTITUTE(TRIM(Raw_Data!D501),"₹",""),",","")),"")</f>
        <v>20999</v>
      </c>
      <c r="F501" s="12">
        <f>IFERROR(VALUE(SUBSTITUTE(Raw_Data!E501,"%",""))/100,"")</f>
        <v>0.19</v>
      </c>
      <c r="G501" s="13">
        <f>IFERROR(VALUE(Raw_Data!F501),"")</f>
        <v>4.0999999999999996</v>
      </c>
      <c r="H501" s="14">
        <f>IFERROR(VALUE(SUBSTITUTE(Raw_Data!G501,",","")),"")</f>
        <v>31822</v>
      </c>
      <c r="I501" s="11">
        <f t="shared" si="28"/>
        <v>4000</v>
      </c>
      <c r="J501" s="11">
        <f t="shared" si="29"/>
        <v>540942178</v>
      </c>
      <c r="K501" s="1">
        <f t="shared" si="30"/>
        <v>31822.000050099999</v>
      </c>
      <c r="L501" s="15">
        <f t="shared" si="31"/>
        <v>0.1900501</v>
      </c>
    </row>
    <row r="502" spans="1:12" ht="15" customHeight="1" x14ac:dyDescent="0.25">
      <c r="A502" s="10" t="str">
        <f>Raw_Data!A502</f>
        <v>iQOO Z6 Pro 5G by vivo (Legion Sky, 6GB RAM, 128GB Storage) | Snapdragon 778G 5G | 66W FlashCharge | 1300 nits Peak Brightness | HDR10+</v>
      </c>
      <c r="B502" s="10" t="str">
        <f>IFERROR(TRIM(LEFT(Raw_Data!A502,FIND(" ",Raw_Data!A502)-1)),Raw_Data!A502)</f>
        <v>iQOO</v>
      </c>
      <c r="C502" s="10" t="str">
        <f>IFERROR(LEFT(Raw_Data!B502,FIND("|",Raw_Data!B502)-1),Raw_Data!B502)</f>
        <v>Electronics</v>
      </c>
      <c r="D502" s="11">
        <f>IFERROR(VALUE(SUBSTITUTE(SUBSTITUTE(TRIM(Raw_Data!C502),"₹",""),",","")),"")</f>
        <v>19999</v>
      </c>
      <c r="E502" s="11">
        <f>IFERROR(VALUE(SUBSTITUTE(SUBSTITUTE(TRIM(Raw_Data!D502),"₹",""),",","")),"")</f>
        <v>27990</v>
      </c>
      <c r="F502" s="12">
        <f>IFERROR(VALUE(SUBSTITUTE(Raw_Data!E502,"%",""))/100,"")</f>
        <v>0.28999999999999998</v>
      </c>
      <c r="G502" s="13">
        <f>IFERROR(VALUE(Raw_Data!F502),"")</f>
        <v>4.3</v>
      </c>
      <c r="H502" s="14">
        <f>IFERROR(VALUE(SUBSTITUTE(Raw_Data!G502,",","")),"")</f>
        <v>9499</v>
      </c>
      <c r="I502" s="11">
        <f t="shared" si="28"/>
        <v>7991</v>
      </c>
      <c r="J502" s="11">
        <f t="shared" si="29"/>
        <v>189970501</v>
      </c>
      <c r="K502" s="1">
        <f t="shared" si="30"/>
        <v>9499.0000502000003</v>
      </c>
      <c r="L502" s="15">
        <f t="shared" si="31"/>
        <v>0.29005019999999998</v>
      </c>
    </row>
    <row r="503" spans="1:12" ht="15" customHeight="1" x14ac:dyDescent="0.25">
      <c r="A503" s="10" t="str">
        <f>Raw_Data!A503</f>
        <v>Redmi Note 11 (Horizon Blue, 6GB RAM, 64GB Storage)|90Hz FHD+ AMOLED Display | Qualcomm® Snapdragon™ 680-6nm | 33W Charger Included</v>
      </c>
      <c r="B503" s="10" t="str">
        <f>IFERROR(TRIM(LEFT(Raw_Data!A503,FIND(" ",Raw_Data!A503)-1)),Raw_Data!A503)</f>
        <v>Redmi</v>
      </c>
      <c r="C503" s="10" t="str">
        <f>IFERROR(LEFT(Raw_Data!B503,FIND("|",Raw_Data!B503)-1),Raw_Data!B503)</f>
        <v>Electronics</v>
      </c>
      <c r="D503" s="11">
        <f>IFERROR(VALUE(SUBSTITUTE(SUBSTITUTE(TRIM(Raw_Data!C503),"₹",""),",","")),"")</f>
        <v>12999</v>
      </c>
      <c r="E503" s="11">
        <f>IFERROR(VALUE(SUBSTITUTE(SUBSTITUTE(TRIM(Raw_Data!D503),"₹",""),",","")),"")</f>
        <v>18999</v>
      </c>
      <c r="F503" s="12">
        <f>IFERROR(VALUE(SUBSTITUTE(Raw_Data!E503,"%",""))/100,"")</f>
        <v>0.32</v>
      </c>
      <c r="G503" s="13">
        <f>IFERROR(VALUE(Raw_Data!F503),"")</f>
        <v>4.0999999999999996</v>
      </c>
      <c r="H503" s="14">
        <f>IFERROR(VALUE(SUBSTITUTE(Raw_Data!G503,",","")),"")</f>
        <v>50772</v>
      </c>
      <c r="I503" s="11">
        <f t="shared" si="28"/>
        <v>6000</v>
      </c>
      <c r="J503" s="11">
        <f t="shared" si="29"/>
        <v>659985228</v>
      </c>
      <c r="K503" s="1">
        <f t="shared" si="30"/>
        <v>50772.000050299997</v>
      </c>
      <c r="L503" s="15">
        <f t="shared" si="31"/>
        <v>0.32005030000000001</v>
      </c>
    </row>
    <row r="504" spans="1:12" ht="15" customHeight="1" x14ac:dyDescent="0.25">
      <c r="A504" s="10" t="str">
        <f>Raw_Data!A504</f>
        <v>Noise Pulse 2 Max Advanced Bluetooth Calling Smart Watch with 1.85'' TFT and 550 Nits Brightness, Smart DND, 10 Days Battery, 100 Sports Mode, Smartwatch for Men and Women - (Jet Black)</v>
      </c>
      <c r="B504" s="10" t="str">
        <f>IFERROR(TRIM(LEFT(Raw_Data!A504,FIND(" ",Raw_Data!A504)-1)),Raw_Data!A504)</f>
        <v>Noise</v>
      </c>
      <c r="C504" s="10" t="str">
        <f>IFERROR(LEFT(Raw_Data!B504,FIND("|",Raw_Data!B504)-1),Raw_Data!B504)</f>
        <v>Electronics</v>
      </c>
      <c r="D504" s="11">
        <f>IFERROR(VALUE(SUBSTITUTE(SUBSTITUTE(TRIM(Raw_Data!C504),"₹",""),",","")),"")</f>
        <v>2999</v>
      </c>
      <c r="E504" s="11">
        <f>IFERROR(VALUE(SUBSTITUTE(SUBSTITUTE(TRIM(Raw_Data!D504),"₹",""),",","")),"")</f>
        <v>5999</v>
      </c>
      <c r="F504" s="12">
        <f>IFERROR(VALUE(SUBSTITUTE(Raw_Data!E504,"%",""))/100,"")</f>
        <v>0.5</v>
      </c>
      <c r="G504" s="13">
        <f>IFERROR(VALUE(Raw_Data!F504),"")</f>
        <v>4.0999999999999996</v>
      </c>
      <c r="H504" s="14">
        <f>IFERROR(VALUE(SUBSTITUTE(Raw_Data!G504,",","")),"")</f>
        <v>7148</v>
      </c>
      <c r="I504" s="11">
        <f t="shared" si="28"/>
        <v>3000</v>
      </c>
      <c r="J504" s="11">
        <f t="shared" si="29"/>
        <v>21436852</v>
      </c>
      <c r="K504" s="1">
        <f t="shared" si="30"/>
        <v>7148.0000504</v>
      </c>
      <c r="L504" s="15">
        <f t="shared" si="31"/>
        <v>0.50005040000000001</v>
      </c>
    </row>
    <row r="505" spans="1:12" ht="15" customHeight="1" x14ac:dyDescent="0.25">
      <c r="A505" s="10" t="str">
        <f>Raw_Data!A505</f>
        <v>boAt A400 USB Type-C to USB-A 2.0 Male Data Cable, 2 Meter (Black)</v>
      </c>
      <c r="B505" s="10" t="str">
        <f>IFERROR(TRIM(LEFT(Raw_Data!A505,FIND(" ",Raw_Data!A505)-1)),Raw_Data!A505)</f>
        <v>boAt</v>
      </c>
      <c r="C505" s="10" t="str">
        <f>IFERROR(LEFT(Raw_Data!B505,FIND("|",Raw_Data!B505)-1),Raw_Data!B505)</f>
        <v>Computers&amp;Accessories</v>
      </c>
      <c r="D505" s="11">
        <f>IFERROR(VALUE(SUBSTITUTE(SUBSTITUTE(TRIM(Raw_Data!C505),"₹",""),",","")),"")</f>
        <v>299</v>
      </c>
      <c r="E505" s="11">
        <f>IFERROR(VALUE(SUBSTITUTE(SUBSTITUTE(TRIM(Raw_Data!D505),"₹",""),",","")),"")</f>
        <v>999</v>
      </c>
      <c r="F505" s="12">
        <f>IFERROR(VALUE(SUBSTITUTE(Raw_Data!E505,"%",""))/100,"")</f>
        <v>0.7</v>
      </c>
      <c r="G505" s="13">
        <f>IFERROR(VALUE(Raw_Data!F505),"")</f>
        <v>4.3</v>
      </c>
      <c r="H505" s="14">
        <f>IFERROR(VALUE(SUBSTITUTE(Raw_Data!G505,",","")),"")</f>
        <v>20850</v>
      </c>
      <c r="I505" s="11">
        <f t="shared" si="28"/>
        <v>700</v>
      </c>
      <c r="J505" s="11">
        <f t="shared" si="29"/>
        <v>6234150</v>
      </c>
      <c r="K505" s="1">
        <f t="shared" si="30"/>
        <v>20850.000050499999</v>
      </c>
      <c r="L505" s="15">
        <f t="shared" si="31"/>
        <v>0.70005049999999991</v>
      </c>
    </row>
    <row r="506" spans="1:12" ht="15" customHeight="1" x14ac:dyDescent="0.25">
      <c r="A506" s="10" t="str">
        <f>Raw_Data!A506</f>
        <v>Duracell USB C To Lightning Apple Certified (Mfi) Braided Sync &amp; Charge Cable For Iphone, Ipad And Ipod. Fast Charging Lightning Cable, 3.9 Feet (1.2M) - Black</v>
      </c>
      <c r="B506" s="10" t="str">
        <f>IFERROR(TRIM(LEFT(Raw_Data!A506,FIND(" ",Raw_Data!A506)-1)),Raw_Data!A506)</f>
        <v>Duracell</v>
      </c>
      <c r="C506" s="10" t="str">
        <f>IFERROR(LEFT(Raw_Data!B506,FIND("|",Raw_Data!B506)-1),Raw_Data!B506)</f>
        <v>Computers&amp;Accessories</v>
      </c>
      <c r="D506" s="11">
        <f>IFERROR(VALUE(SUBSTITUTE(SUBSTITUTE(TRIM(Raw_Data!C506),"₹",""),",","")),"")</f>
        <v>970</v>
      </c>
      <c r="E506" s="11">
        <f>IFERROR(VALUE(SUBSTITUTE(SUBSTITUTE(TRIM(Raw_Data!D506),"₹",""),",","")),"")</f>
        <v>1999</v>
      </c>
      <c r="F506" s="12">
        <f>IFERROR(VALUE(SUBSTITUTE(Raw_Data!E506,"%",""))/100,"")</f>
        <v>0.51</v>
      </c>
      <c r="G506" s="13">
        <f>IFERROR(VALUE(Raw_Data!F506),"")</f>
        <v>4.4000000000000004</v>
      </c>
      <c r="H506" s="14">
        <f>IFERROR(VALUE(SUBSTITUTE(Raw_Data!G506,",","")),"")</f>
        <v>184</v>
      </c>
      <c r="I506" s="11">
        <f t="shared" si="28"/>
        <v>1029</v>
      </c>
      <c r="J506" s="11">
        <f t="shared" si="29"/>
        <v>178480</v>
      </c>
      <c r="K506" s="1">
        <f t="shared" si="30"/>
        <v>184.00005060000001</v>
      </c>
      <c r="L506" s="15">
        <f t="shared" si="31"/>
        <v>0.51005060000000002</v>
      </c>
    </row>
    <row r="507" spans="1:12" ht="15" customHeight="1" x14ac:dyDescent="0.25">
      <c r="A507" s="10" t="str">
        <f>Raw_Data!A507</f>
        <v>Myvn 30W Warp/20W Dash Charging Usb Type C Charger Cable Compatible For Cellular Phones Oneplus 8T 8 8Pro 7 Pro / 7T / 7T Pro Nord And Oneplus 3 / 3T / 5 / 5T / 6 / 6T / 7</v>
      </c>
      <c r="B507" s="10" t="str">
        <f>IFERROR(TRIM(LEFT(Raw_Data!A507,FIND(" ",Raw_Data!A507)-1)),Raw_Data!A507)</f>
        <v>Myvn</v>
      </c>
      <c r="C507" s="10" t="str">
        <f>IFERROR(LEFT(Raw_Data!B507,FIND("|",Raw_Data!B507)-1),Raw_Data!B507)</f>
        <v>Electronics</v>
      </c>
      <c r="D507" s="11">
        <f>IFERROR(VALUE(SUBSTITUTE(SUBSTITUTE(TRIM(Raw_Data!C507),"₹",""),",","")),"")</f>
        <v>329</v>
      </c>
      <c r="E507" s="11">
        <f>IFERROR(VALUE(SUBSTITUTE(SUBSTITUTE(TRIM(Raw_Data!D507),"₹",""),",","")),"")</f>
        <v>999</v>
      </c>
      <c r="F507" s="12">
        <f>IFERROR(VALUE(SUBSTITUTE(Raw_Data!E507,"%",""))/100,"")</f>
        <v>0.67</v>
      </c>
      <c r="G507" s="13">
        <f>IFERROR(VALUE(Raw_Data!F507),"")</f>
        <v>4.2</v>
      </c>
      <c r="H507" s="14">
        <f>IFERROR(VALUE(SUBSTITUTE(Raw_Data!G507,",","")),"")</f>
        <v>3492</v>
      </c>
      <c r="I507" s="11">
        <f t="shared" si="28"/>
        <v>670</v>
      </c>
      <c r="J507" s="11">
        <f t="shared" si="29"/>
        <v>1148868</v>
      </c>
      <c r="K507" s="1">
        <f t="shared" si="30"/>
        <v>3492.0000507</v>
      </c>
      <c r="L507" s="15">
        <f t="shared" si="31"/>
        <v>0.6700507</v>
      </c>
    </row>
    <row r="508" spans="1:12" ht="15" customHeight="1" x14ac:dyDescent="0.25">
      <c r="A508" s="10" t="str">
        <f>Raw_Data!A508</f>
        <v>PTron Newly Launched Force X10 Bluetooth Calling Smartwatch with 1.7" Full Touch Color Display, Real Heart Rate Monitor, SpO2, Watch Faces, 5 Days Runtime, Fitness Trackers &amp; IP68 Waterproof (Blue)</v>
      </c>
      <c r="B508" s="10" t="str">
        <f>IFERROR(TRIM(LEFT(Raw_Data!A508,FIND(" ",Raw_Data!A508)-1)),Raw_Data!A508)</f>
        <v>PTron</v>
      </c>
      <c r="C508" s="10" t="str">
        <f>IFERROR(LEFT(Raw_Data!B508,FIND("|",Raw_Data!B508)-1),Raw_Data!B508)</f>
        <v>Electronics</v>
      </c>
      <c r="D508" s="11">
        <f>IFERROR(VALUE(SUBSTITUTE(SUBSTITUTE(TRIM(Raw_Data!C508),"₹",""),",","")),"")</f>
        <v>1299</v>
      </c>
      <c r="E508" s="11">
        <f>IFERROR(VALUE(SUBSTITUTE(SUBSTITUTE(TRIM(Raw_Data!D508),"₹",""),",","")),"")</f>
        <v>5999</v>
      </c>
      <c r="F508" s="12">
        <f>IFERROR(VALUE(SUBSTITUTE(Raw_Data!E508,"%",""))/100,"")</f>
        <v>0.78</v>
      </c>
      <c r="G508" s="13">
        <f>IFERROR(VALUE(Raw_Data!F508),"")</f>
        <v>3.3</v>
      </c>
      <c r="H508" s="14">
        <f>IFERROR(VALUE(SUBSTITUTE(Raw_Data!G508,",","")),"")</f>
        <v>4415</v>
      </c>
      <c r="I508" s="11">
        <f t="shared" si="28"/>
        <v>4700</v>
      </c>
      <c r="J508" s="11">
        <f t="shared" si="29"/>
        <v>5735085</v>
      </c>
      <c r="K508" s="1">
        <f t="shared" si="30"/>
        <v>4415.0000508000003</v>
      </c>
      <c r="L508" s="15">
        <f t="shared" si="31"/>
        <v>0.78005080000000004</v>
      </c>
    </row>
    <row r="509" spans="1:12" ht="15" customHeight="1" x14ac:dyDescent="0.25">
      <c r="A509" s="10" t="str">
        <f>Raw_Data!A509</f>
        <v>SanDisk Ultra® microSDXC™ UHS-I Card, 256GB, 150MB/s R, 10 Y Warranty, for Smartphones</v>
      </c>
      <c r="B509" s="10" t="str">
        <f>IFERROR(TRIM(LEFT(Raw_Data!A509,FIND(" ",Raw_Data!A509)-1)),Raw_Data!A509)</f>
        <v>SanDisk</v>
      </c>
      <c r="C509" s="10" t="str">
        <f>IFERROR(LEFT(Raw_Data!B509,FIND("|",Raw_Data!B509)-1),Raw_Data!B509)</f>
        <v>Electronics</v>
      </c>
      <c r="D509" s="11">
        <f>IFERROR(VALUE(SUBSTITUTE(SUBSTITUTE(TRIM(Raw_Data!C509),"₹",""),",","")),"")</f>
        <v>1989</v>
      </c>
      <c r="E509" s="11">
        <f>IFERROR(VALUE(SUBSTITUTE(SUBSTITUTE(TRIM(Raw_Data!D509),"₹",""),",","")),"")</f>
        <v>3500</v>
      </c>
      <c r="F509" s="12">
        <f>IFERROR(VALUE(SUBSTITUTE(Raw_Data!E509,"%",""))/100,"")</f>
        <v>0.43</v>
      </c>
      <c r="G509" s="13">
        <f>IFERROR(VALUE(Raw_Data!F509),"")</f>
        <v>4.4000000000000004</v>
      </c>
      <c r="H509" s="14">
        <f>IFERROR(VALUE(SUBSTITUTE(Raw_Data!G509,",","")),"")</f>
        <v>67260</v>
      </c>
      <c r="I509" s="11">
        <f t="shared" si="28"/>
        <v>1511</v>
      </c>
      <c r="J509" s="11">
        <f t="shared" si="29"/>
        <v>133780140</v>
      </c>
      <c r="K509" s="1">
        <f t="shared" si="30"/>
        <v>67260.000050899995</v>
      </c>
      <c r="L509" s="15">
        <f t="shared" si="31"/>
        <v>0.43005090000000001</v>
      </c>
    </row>
    <row r="510" spans="1:12" ht="15" customHeight="1" x14ac:dyDescent="0.25">
      <c r="A510" s="10" t="str">
        <f>Raw_Data!A510</f>
        <v>Fire-Boltt Phoenix Smart Watch with Bluetooth Calling 1.3",120+ Sports Modes, 240*240 PX High Res with SpO2, Heart Rate Monitoring &amp; IP67 Rating</v>
      </c>
      <c r="B510" s="10" t="str">
        <f>IFERROR(TRIM(LEFT(Raw_Data!A510,FIND(" ",Raw_Data!A510)-1)),Raw_Data!A510)</f>
        <v>Fire-Boltt</v>
      </c>
      <c r="C510" s="10" t="str">
        <f>IFERROR(LEFT(Raw_Data!B510,FIND("|",Raw_Data!B510)-1),Raw_Data!B510)</f>
        <v>Electronics</v>
      </c>
      <c r="D510" s="11">
        <f>IFERROR(VALUE(SUBSTITUTE(SUBSTITUTE(TRIM(Raw_Data!C510),"₹",""),",","")),"")</f>
        <v>1999</v>
      </c>
      <c r="E510" s="11">
        <f>IFERROR(VALUE(SUBSTITUTE(SUBSTITUTE(TRIM(Raw_Data!D510),"₹",""),",","")),"")</f>
        <v>9999</v>
      </c>
      <c r="F510" s="12">
        <f>IFERROR(VALUE(SUBSTITUTE(Raw_Data!E510,"%",""))/100,"")</f>
        <v>0.8</v>
      </c>
      <c r="G510" s="13">
        <f>IFERROR(VALUE(Raw_Data!F510),"")</f>
        <v>4.3</v>
      </c>
      <c r="H510" s="14">
        <f>IFERROR(VALUE(SUBSTITUTE(Raw_Data!G510,",","")),"")</f>
        <v>27704</v>
      </c>
      <c r="I510" s="11">
        <f t="shared" si="28"/>
        <v>8000</v>
      </c>
      <c r="J510" s="11">
        <f t="shared" si="29"/>
        <v>55380296</v>
      </c>
      <c r="K510" s="1">
        <f t="shared" si="30"/>
        <v>27704.000050999999</v>
      </c>
      <c r="L510" s="15">
        <f t="shared" si="31"/>
        <v>0.80005100000000007</v>
      </c>
    </row>
    <row r="511" spans="1:12" ht="15" customHeight="1" x14ac:dyDescent="0.25">
      <c r="A511" s="10" t="str">
        <f>Raw_Data!A511</f>
        <v>Redmi Note 11 (Space Black, 6GB RAM, 64GB Storage) | 90Hz FHD+ AMOLED Display | Qualcomm® Snapdragon™ 680-6nm | 33W Charger Included</v>
      </c>
      <c r="B511" s="10" t="str">
        <f>IFERROR(TRIM(LEFT(Raw_Data!A511,FIND(" ",Raw_Data!A511)-1)),Raw_Data!A511)</f>
        <v>Redmi</v>
      </c>
      <c r="C511" s="10" t="str">
        <f>IFERROR(LEFT(Raw_Data!B511,FIND("|",Raw_Data!B511)-1),Raw_Data!B511)</f>
        <v>Electronics</v>
      </c>
      <c r="D511" s="11">
        <f>IFERROR(VALUE(SUBSTITUTE(SUBSTITUTE(TRIM(Raw_Data!C511),"₹",""),",","")),"")</f>
        <v>12999</v>
      </c>
      <c r="E511" s="11">
        <f>IFERROR(VALUE(SUBSTITUTE(SUBSTITUTE(TRIM(Raw_Data!D511),"₹",""),",","")),"")</f>
        <v>18999</v>
      </c>
      <c r="F511" s="12">
        <f>IFERROR(VALUE(SUBSTITUTE(Raw_Data!E511,"%",""))/100,"")</f>
        <v>0.32</v>
      </c>
      <c r="G511" s="13">
        <f>IFERROR(VALUE(Raw_Data!F511),"")</f>
        <v>4.0999999999999996</v>
      </c>
      <c r="H511" s="14">
        <f>IFERROR(VALUE(SUBSTITUTE(Raw_Data!G511,",","")),"")</f>
        <v>50772</v>
      </c>
      <c r="I511" s="11">
        <f t="shared" si="28"/>
        <v>6000</v>
      </c>
      <c r="J511" s="11">
        <f t="shared" si="29"/>
        <v>659985228</v>
      </c>
      <c r="K511" s="1">
        <f t="shared" si="30"/>
        <v>50772.000051100003</v>
      </c>
      <c r="L511" s="15">
        <f t="shared" si="31"/>
        <v>0.32005110000000003</v>
      </c>
    </row>
    <row r="512" spans="1:12" ht="15" customHeight="1" x14ac:dyDescent="0.25">
      <c r="A512" s="10" t="str">
        <f>Raw_Data!A512</f>
        <v>Noise ColorFit Pro 2 Full Touch Control Smart Watch with 35g Weight &amp; Upgraded LCD Display (Deep Wine)</v>
      </c>
      <c r="B512" s="10" t="str">
        <f>IFERROR(TRIM(LEFT(Raw_Data!A512,FIND(" ",Raw_Data!A512)-1)),Raw_Data!A512)</f>
        <v>Noise</v>
      </c>
      <c r="C512" s="10" t="str">
        <f>IFERROR(LEFT(Raw_Data!B512,FIND("|",Raw_Data!B512)-1),Raw_Data!B512)</f>
        <v>Electronics</v>
      </c>
      <c r="D512" s="11">
        <f>IFERROR(VALUE(SUBSTITUTE(SUBSTITUTE(TRIM(Raw_Data!C512),"₹",""),",","")),"")</f>
        <v>1499</v>
      </c>
      <c r="E512" s="11">
        <f>IFERROR(VALUE(SUBSTITUTE(SUBSTITUTE(TRIM(Raw_Data!D512),"₹",""),",","")),"")</f>
        <v>4999</v>
      </c>
      <c r="F512" s="12">
        <f>IFERROR(VALUE(SUBSTITUTE(Raw_Data!E512,"%",""))/100,"")</f>
        <v>0.7</v>
      </c>
      <c r="G512" s="13">
        <f>IFERROR(VALUE(Raw_Data!F512),"")</f>
        <v>4</v>
      </c>
      <c r="H512" s="14">
        <f>IFERROR(VALUE(SUBSTITUTE(Raw_Data!G512,",","")),"")</f>
        <v>92588</v>
      </c>
      <c r="I512" s="11">
        <f t="shared" si="28"/>
        <v>3500</v>
      </c>
      <c r="J512" s="11">
        <f t="shared" si="29"/>
        <v>138789412</v>
      </c>
      <c r="K512" s="1">
        <f t="shared" si="30"/>
        <v>92588.000051199997</v>
      </c>
      <c r="L512" s="15">
        <f t="shared" si="31"/>
        <v>0.70005119999999998</v>
      </c>
    </row>
    <row r="513" spans="1:12" ht="15" customHeight="1" x14ac:dyDescent="0.25">
      <c r="A513" s="10" t="str">
        <f>Raw_Data!A513</f>
        <v>Redmi Note 11T 5G (Aquamarine Blue, 6GB RAM, 128GB ROM)| Dimensity 810 5G | 33W Pro Fast Charging | Charger Included | Additional Exchange Offers| Get 2 Months of YouTube Premium Free!</v>
      </c>
      <c r="B513" s="10" t="str">
        <f>IFERROR(TRIM(LEFT(Raw_Data!A513,FIND(" ",Raw_Data!A513)-1)),Raw_Data!A513)</f>
        <v>Redmi</v>
      </c>
      <c r="C513" s="10" t="str">
        <f>IFERROR(LEFT(Raw_Data!B513,FIND("|",Raw_Data!B513)-1),Raw_Data!B513)</f>
        <v>Electronics</v>
      </c>
      <c r="D513" s="11">
        <f>IFERROR(VALUE(SUBSTITUTE(SUBSTITUTE(TRIM(Raw_Data!C513),"₹",""),",","")),"")</f>
        <v>16999</v>
      </c>
      <c r="E513" s="11">
        <f>IFERROR(VALUE(SUBSTITUTE(SUBSTITUTE(TRIM(Raw_Data!D513),"₹",""),",","")),"")</f>
        <v>20999</v>
      </c>
      <c r="F513" s="12">
        <f>IFERROR(VALUE(SUBSTITUTE(Raw_Data!E513,"%",""))/100,"")</f>
        <v>0.19</v>
      </c>
      <c r="G513" s="13">
        <f>IFERROR(VALUE(Raw_Data!F513),"")</f>
        <v>4.0999999999999996</v>
      </c>
      <c r="H513" s="14">
        <f>IFERROR(VALUE(SUBSTITUTE(Raw_Data!G513,",","")),"")</f>
        <v>31822</v>
      </c>
      <c r="I513" s="11">
        <f t="shared" si="28"/>
        <v>4000</v>
      </c>
      <c r="J513" s="11">
        <f t="shared" si="29"/>
        <v>540942178</v>
      </c>
      <c r="K513" s="1">
        <f t="shared" si="30"/>
        <v>31822.000051300001</v>
      </c>
      <c r="L513" s="15">
        <f t="shared" si="31"/>
        <v>0.19005130000000001</v>
      </c>
    </row>
    <row r="514" spans="1:12" ht="15" customHeight="1" x14ac:dyDescent="0.25">
      <c r="A514" s="10" t="str">
        <f>Raw_Data!A514</f>
        <v>Newly Launched Boult Dive+ with 1.85" HD Display, Bluetooth Calling Smartwatch, 500 Nits Brightness, 7 Days Battery Life, 150+ Watch Faces, 100+ Sport Modes, IP68 Waterproof Smart Watch (Jet Black)</v>
      </c>
      <c r="B514" s="10" t="str">
        <f>IFERROR(TRIM(LEFT(Raw_Data!A514,FIND(" ",Raw_Data!A514)-1)),Raw_Data!A514)</f>
        <v>Newly</v>
      </c>
      <c r="C514" s="10" t="str">
        <f>IFERROR(LEFT(Raw_Data!B514,FIND("|",Raw_Data!B514)-1),Raw_Data!B514)</f>
        <v>Electronics</v>
      </c>
      <c r="D514" s="11">
        <f>IFERROR(VALUE(SUBSTITUTE(SUBSTITUTE(TRIM(Raw_Data!C514),"₹",""),",","")),"")</f>
        <v>1999</v>
      </c>
      <c r="E514" s="11">
        <f>IFERROR(VALUE(SUBSTITUTE(SUBSTITUTE(TRIM(Raw_Data!D514),"₹",""),",","")),"")</f>
        <v>8499</v>
      </c>
      <c r="F514" s="12">
        <f>IFERROR(VALUE(SUBSTITUTE(Raw_Data!E514,"%",""))/100,"")</f>
        <v>0.76</v>
      </c>
      <c r="G514" s="13">
        <f>IFERROR(VALUE(Raw_Data!F514),"")</f>
        <v>4.3</v>
      </c>
      <c r="H514" s="14">
        <f>IFERROR(VALUE(SUBSTITUTE(Raw_Data!G514,",","")),"")</f>
        <v>240</v>
      </c>
      <c r="I514" s="11">
        <f t="shared" ref="I514:I577" si="32">IFERROR(E514-D514,"")</f>
        <v>6500</v>
      </c>
      <c r="J514" s="11">
        <f t="shared" ref="J514:J577" si="33">IFERROR(D514*H514,"")</f>
        <v>479760</v>
      </c>
      <c r="K514" s="1">
        <f t="shared" ref="K514:K577" si="34">IF(ISNUMBER(H514),H514+ROW()/10000000,"")</f>
        <v>240.00005139999999</v>
      </c>
      <c r="L514" s="15">
        <f t="shared" ref="L514:L577" si="35">IF(ISNUMBER(F514),F514+ROW()/10000000,"")</f>
        <v>0.76005140000000004</v>
      </c>
    </row>
    <row r="515" spans="1:12" ht="15" customHeight="1" x14ac:dyDescent="0.25">
      <c r="A515" s="10" t="str">
        <f>Raw_Data!A515</f>
        <v>OnePlus Nord Watch with 1.78” AMOLED Display, 60 Hz Refresh Rate, 105 Fitness Modes, 10 Days Battery, SPO2, Heart Rate, Stress Monitor, Women Health Tracker &amp; Multiple Watch Face [Midnight Black]</v>
      </c>
      <c r="B515" s="10" t="str">
        <f>IFERROR(TRIM(LEFT(Raw_Data!A515,FIND(" ",Raw_Data!A515)-1)),Raw_Data!A515)</f>
        <v>OnePlus</v>
      </c>
      <c r="C515" s="10" t="str">
        <f>IFERROR(LEFT(Raw_Data!B515,FIND("|",Raw_Data!B515)-1),Raw_Data!B515)</f>
        <v>Electronics</v>
      </c>
      <c r="D515" s="11">
        <f>IFERROR(VALUE(SUBSTITUTE(SUBSTITUTE(TRIM(Raw_Data!C515),"₹",""),",","")),"")</f>
        <v>4999</v>
      </c>
      <c r="E515" s="11">
        <f>IFERROR(VALUE(SUBSTITUTE(SUBSTITUTE(TRIM(Raw_Data!D515),"₹",""),",","")),"")</f>
        <v>6999</v>
      </c>
      <c r="F515" s="12">
        <f>IFERROR(VALUE(SUBSTITUTE(Raw_Data!E515,"%",""))/100,"")</f>
        <v>0.28999999999999998</v>
      </c>
      <c r="G515" s="13">
        <f>IFERROR(VALUE(Raw_Data!F515),"")</f>
        <v>3.8</v>
      </c>
      <c r="H515" s="14">
        <f>IFERROR(VALUE(SUBSTITUTE(Raw_Data!G515,",","")),"")</f>
        <v>758</v>
      </c>
      <c r="I515" s="11">
        <f t="shared" si="32"/>
        <v>2000</v>
      </c>
      <c r="J515" s="11">
        <f t="shared" si="33"/>
        <v>3789242</v>
      </c>
      <c r="K515" s="1">
        <f t="shared" si="34"/>
        <v>758.00005150000004</v>
      </c>
      <c r="L515" s="15">
        <f t="shared" si="35"/>
        <v>0.29005149999999996</v>
      </c>
    </row>
    <row r="516" spans="1:12" ht="15" customHeight="1" x14ac:dyDescent="0.25">
      <c r="A516" s="10" t="str">
        <f>Raw_Data!A516</f>
        <v>pTron Solero MB301 3A Micro USB Data &amp; Charging Cable, Made in India, 480Mbps Data Sync, Strong &amp; Durable 1.5-Meter Nylon Braided USB Cable for Micro USB Devices - (Black)</v>
      </c>
      <c r="B516" s="10" t="str">
        <f>IFERROR(TRIM(LEFT(Raw_Data!A516,FIND(" ",Raw_Data!A516)-1)),Raw_Data!A516)</f>
        <v>pTron</v>
      </c>
      <c r="C516" s="10" t="str">
        <f>IFERROR(LEFT(Raw_Data!B516,FIND("|",Raw_Data!B516)-1),Raw_Data!B516)</f>
        <v>Computers&amp;Accessories</v>
      </c>
      <c r="D516" s="11">
        <f>IFERROR(VALUE(SUBSTITUTE(SUBSTITUTE(TRIM(Raw_Data!C516),"₹",""),",","")),"")</f>
        <v>99</v>
      </c>
      <c r="E516" s="11">
        <f>IFERROR(VALUE(SUBSTITUTE(SUBSTITUTE(TRIM(Raw_Data!D516),"₹",""),",","")),"")</f>
        <v>666.66</v>
      </c>
      <c r="F516" s="12">
        <f>IFERROR(VALUE(SUBSTITUTE(Raw_Data!E516,"%",""))/100,"")</f>
        <v>0.85</v>
      </c>
      <c r="G516" s="13">
        <f>IFERROR(VALUE(Raw_Data!F516),"")</f>
        <v>3.9</v>
      </c>
      <c r="H516" s="14">
        <f>IFERROR(VALUE(SUBSTITUTE(Raw_Data!G516,",","")),"")</f>
        <v>24870</v>
      </c>
      <c r="I516" s="11">
        <f t="shared" si="32"/>
        <v>567.66</v>
      </c>
      <c r="J516" s="11">
        <f t="shared" si="33"/>
        <v>2462130</v>
      </c>
      <c r="K516" s="1">
        <f t="shared" si="34"/>
        <v>24870.0000516</v>
      </c>
      <c r="L516" s="15">
        <f t="shared" si="35"/>
        <v>0.85005160000000002</v>
      </c>
    </row>
    <row r="517" spans="1:12" ht="15" customHeight="1" x14ac:dyDescent="0.25">
      <c r="A517" s="10" t="str">
        <f>Raw_Data!A517</f>
        <v>Noise Agile 2 Buzz Bluetooth Calling Smart Watch with 1.28" TFT Display,Dual Button,in-Built Mic &amp; Speaker,AI Voice Assistant, Health Suite,in-Built Games, 100 Watch Faces-(Jet Black)</v>
      </c>
      <c r="B517" s="10" t="str">
        <f>IFERROR(TRIM(LEFT(Raw_Data!A517,FIND(" ",Raw_Data!A517)-1)),Raw_Data!A517)</f>
        <v>Noise</v>
      </c>
      <c r="C517" s="10" t="str">
        <f>IFERROR(LEFT(Raw_Data!B517,FIND("|",Raw_Data!B517)-1),Raw_Data!B517)</f>
        <v>Electronics</v>
      </c>
      <c r="D517" s="11">
        <f>IFERROR(VALUE(SUBSTITUTE(SUBSTITUTE(TRIM(Raw_Data!C517),"₹",""),",","")),"")</f>
        <v>2499</v>
      </c>
      <c r="E517" s="11">
        <f>IFERROR(VALUE(SUBSTITUTE(SUBSTITUTE(TRIM(Raw_Data!D517),"₹",""),",","")),"")</f>
        <v>5999</v>
      </c>
      <c r="F517" s="12">
        <f>IFERROR(VALUE(SUBSTITUTE(Raw_Data!E517,"%",""))/100,"")</f>
        <v>0.57999999999999996</v>
      </c>
      <c r="G517" s="13">
        <f>IFERROR(VALUE(Raw_Data!F517),"")</f>
        <v>3.7</v>
      </c>
      <c r="H517" s="14">
        <f>IFERROR(VALUE(SUBSTITUTE(Raw_Data!G517,",","")),"")</f>
        <v>828</v>
      </c>
      <c r="I517" s="11">
        <f t="shared" si="32"/>
        <v>3500</v>
      </c>
      <c r="J517" s="11">
        <f t="shared" si="33"/>
        <v>2069172</v>
      </c>
      <c r="K517" s="1">
        <f t="shared" si="34"/>
        <v>828.00005169999997</v>
      </c>
      <c r="L517" s="15">
        <f t="shared" si="35"/>
        <v>0.58005169999999995</v>
      </c>
    </row>
    <row r="518" spans="1:12" ht="15" customHeight="1" x14ac:dyDescent="0.25">
      <c r="A518" s="10" t="str">
        <f>Raw_Data!A518</f>
        <v>Motorola a10 Dual Sim keypad Mobile with 1750 mAh Battery, Expandable Storage Upto 32GB, Wireless FM with Recording - Dark Blue</v>
      </c>
      <c r="B518" s="10" t="str">
        <f>IFERROR(TRIM(LEFT(Raw_Data!A518,FIND(" ",Raw_Data!A518)-1)),Raw_Data!A518)</f>
        <v>Motorola</v>
      </c>
      <c r="C518" s="10" t="str">
        <f>IFERROR(LEFT(Raw_Data!B518,FIND("|",Raw_Data!B518)-1),Raw_Data!B518)</f>
        <v>Electronics</v>
      </c>
      <c r="D518" s="11">
        <f>IFERROR(VALUE(SUBSTITUTE(SUBSTITUTE(TRIM(Raw_Data!C518),"₹",""),",","")),"")</f>
        <v>1399</v>
      </c>
      <c r="E518" s="11">
        <f>IFERROR(VALUE(SUBSTITUTE(SUBSTITUTE(TRIM(Raw_Data!D518),"₹",""),",","")),"")</f>
        <v>1630</v>
      </c>
      <c r="F518" s="12">
        <f>IFERROR(VALUE(SUBSTITUTE(Raw_Data!E518,"%",""))/100,"")</f>
        <v>0.14000000000000001</v>
      </c>
      <c r="G518" s="13">
        <f>IFERROR(VALUE(Raw_Data!F518),"")</f>
        <v>4</v>
      </c>
      <c r="H518" s="14">
        <f>IFERROR(VALUE(SUBSTITUTE(Raw_Data!G518,",","")),"")</f>
        <v>9378</v>
      </c>
      <c r="I518" s="11">
        <f t="shared" si="32"/>
        <v>231</v>
      </c>
      <c r="J518" s="11">
        <f t="shared" si="33"/>
        <v>13119822</v>
      </c>
      <c r="K518" s="1">
        <f t="shared" si="34"/>
        <v>9378.0000517999997</v>
      </c>
      <c r="L518" s="15">
        <f t="shared" si="35"/>
        <v>0.1400518</v>
      </c>
    </row>
    <row r="519" spans="1:12" ht="15" customHeight="1" x14ac:dyDescent="0.25">
      <c r="A519" s="10" t="str">
        <f>Raw_Data!A519</f>
        <v>Fire-Boltt Ninja 3 Smartwatch Full Touch 1.69 " &amp; 60 Sports Modes with IP68, Sp02 Tracking, Over 100 Cloud based watch faces ( Silver )</v>
      </c>
      <c r="B519" s="10" t="str">
        <f>IFERROR(TRIM(LEFT(Raw_Data!A519,FIND(" ",Raw_Data!A519)-1)),Raw_Data!A519)</f>
        <v>Fire-Boltt</v>
      </c>
      <c r="C519" s="10" t="str">
        <f>IFERROR(LEFT(Raw_Data!B519,FIND("|",Raw_Data!B519)-1),Raw_Data!B519)</f>
        <v>Electronics</v>
      </c>
      <c r="D519" s="11">
        <f>IFERROR(VALUE(SUBSTITUTE(SUBSTITUTE(TRIM(Raw_Data!C519),"₹",""),",","")),"")</f>
        <v>1499</v>
      </c>
      <c r="E519" s="11">
        <f>IFERROR(VALUE(SUBSTITUTE(SUBSTITUTE(TRIM(Raw_Data!D519),"₹",""),",","")),"")</f>
        <v>9999</v>
      </c>
      <c r="F519" s="12">
        <f>IFERROR(VALUE(SUBSTITUTE(Raw_Data!E519,"%",""))/100,"")</f>
        <v>0.85</v>
      </c>
      <c r="G519" s="13">
        <f>IFERROR(VALUE(Raw_Data!F519),"")</f>
        <v>4.2</v>
      </c>
      <c r="H519" s="14">
        <f>IFERROR(VALUE(SUBSTITUTE(Raw_Data!G519,",","")),"")</f>
        <v>22638</v>
      </c>
      <c r="I519" s="11">
        <f t="shared" si="32"/>
        <v>8500</v>
      </c>
      <c r="J519" s="11">
        <f t="shared" si="33"/>
        <v>33934362</v>
      </c>
      <c r="K519" s="1">
        <f t="shared" si="34"/>
        <v>22638.000051899999</v>
      </c>
      <c r="L519" s="15">
        <f t="shared" si="35"/>
        <v>0.85005189999999997</v>
      </c>
    </row>
    <row r="520" spans="1:12" ht="15" customHeight="1" x14ac:dyDescent="0.25">
      <c r="A520" s="10" t="str">
        <f>Raw_Data!A520</f>
        <v>Amazonbasics Nylon Braided Usb-C To Lightning Cable, Fast Charging Mfi Certified Smartphone, Iphone Charger (6-Foot, Dark Grey)</v>
      </c>
      <c r="B520" s="10" t="str">
        <f>IFERROR(TRIM(LEFT(Raw_Data!A520,FIND(" ",Raw_Data!A520)-1)),Raw_Data!A520)</f>
        <v>Amazonbasics</v>
      </c>
      <c r="C520" s="10" t="str">
        <f>IFERROR(LEFT(Raw_Data!B520,FIND("|",Raw_Data!B520)-1),Raw_Data!B520)</f>
        <v>Computers&amp;Accessories</v>
      </c>
      <c r="D520" s="11">
        <f>IFERROR(VALUE(SUBSTITUTE(SUBSTITUTE(TRIM(Raw_Data!C520),"₹",""),",","")),"")</f>
        <v>899</v>
      </c>
      <c r="E520" s="11">
        <f>IFERROR(VALUE(SUBSTITUTE(SUBSTITUTE(TRIM(Raw_Data!D520),"₹",""),",","")),"")</f>
        <v>1900</v>
      </c>
      <c r="F520" s="12">
        <f>IFERROR(VALUE(SUBSTITUTE(Raw_Data!E520,"%",""))/100,"")</f>
        <v>0.53</v>
      </c>
      <c r="G520" s="13">
        <f>IFERROR(VALUE(Raw_Data!F520),"")</f>
        <v>4.4000000000000004</v>
      </c>
      <c r="H520" s="14">
        <f>IFERROR(VALUE(SUBSTITUTE(Raw_Data!G520,",","")),"")</f>
        <v>13552</v>
      </c>
      <c r="I520" s="11">
        <f t="shared" si="32"/>
        <v>1001</v>
      </c>
      <c r="J520" s="11">
        <f t="shared" si="33"/>
        <v>12183248</v>
      </c>
      <c r="K520" s="1">
        <f t="shared" si="34"/>
        <v>13552.000051999999</v>
      </c>
      <c r="L520" s="15">
        <f t="shared" si="35"/>
        <v>0.53005200000000008</v>
      </c>
    </row>
    <row r="521" spans="1:12" ht="15" customHeight="1" x14ac:dyDescent="0.25">
      <c r="A521" s="10" t="str">
        <f>Raw_Data!A521</f>
        <v>Flix (Beetel) Bolt 2.4 12W Dual USB Smart Charger, Made in India, Bis Certified, Fast Charging Power Adaptor with 1 Meter USB to Type C Cable for Cellular Phones (White)(Xwc-64D)</v>
      </c>
      <c r="B521" s="10" t="str">
        <f>IFERROR(TRIM(LEFT(Raw_Data!A521,FIND(" ",Raw_Data!A521)-1)),Raw_Data!A521)</f>
        <v>Flix</v>
      </c>
      <c r="C521" s="10" t="str">
        <f>IFERROR(LEFT(Raw_Data!B521,FIND("|",Raw_Data!B521)-1),Raw_Data!B521)</f>
        <v>Electronics</v>
      </c>
      <c r="D521" s="11">
        <f>IFERROR(VALUE(SUBSTITUTE(SUBSTITUTE(TRIM(Raw_Data!C521),"₹",""),",","")),"")</f>
        <v>249</v>
      </c>
      <c r="E521" s="11">
        <f>IFERROR(VALUE(SUBSTITUTE(SUBSTITUTE(TRIM(Raw_Data!D521),"₹",""),",","")),"")</f>
        <v>599</v>
      </c>
      <c r="F521" s="12">
        <f>IFERROR(VALUE(SUBSTITUTE(Raw_Data!E521,"%",""))/100,"")</f>
        <v>0.57999999999999996</v>
      </c>
      <c r="G521" s="13">
        <f>IFERROR(VALUE(Raw_Data!F521),"")</f>
        <v>3.9</v>
      </c>
      <c r="H521" s="14">
        <f>IFERROR(VALUE(SUBSTITUTE(Raw_Data!G521,",","")),"")</f>
        <v>2147</v>
      </c>
      <c r="I521" s="11">
        <f t="shared" si="32"/>
        <v>350</v>
      </c>
      <c r="J521" s="11">
        <f t="shared" si="33"/>
        <v>534603</v>
      </c>
      <c r="K521" s="1">
        <f t="shared" si="34"/>
        <v>2147.0000521000002</v>
      </c>
      <c r="L521" s="15">
        <f t="shared" si="35"/>
        <v>0.58005209999999996</v>
      </c>
    </row>
    <row r="522" spans="1:12" ht="15" customHeight="1" x14ac:dyDescent="0.25">
      <c r="A522" s="10" t="str">
        <f>Raw_Data!A522</f>
        <v>Kyosei Advanced Tempered Glass Compatible with Google Pixel 6a with Military-Grade Anti-Explosion Edge-to-Edge Coverage Screen Protector Guard</v>
      </c>
      <c r="B522" s="10" t="str">
        <f>IFERROR(TRIM(LEFT(Raw_Data!A522,FIND(" ",Raw_Data!A522)-1)),Raw_Data!A522)</f>
        <v>Kyosei</v>
      </c>
      <c r="C522" s="10" t="str">
        <f>IFERROR(LEFT(Raw_Data!B522,FIND("|",Raw_Data!B522)-1),Raw_Data!B522)</f>
        <v>Electronics</v>
      </c>
      <c r="D522" s="11">
        <f>IFERROR(VALUE(SUBSTITUTE(SUBSTITUTE(TRIM(Raw_Data!C522),"₹",""),",","")),"")</f>
        <v>299</v>
      </c>
      <c r="E522" s="11">
        <f>IFERROR(VALUE(SUBSTITUTE(SUBSTITUTE(TRIM(Raw_Data!D522),"₹",""),",","")),"")</f>
        <v>1199</v>
      </c>
      <c r="F522" s="12">
        <f>IFERROR(VALUE(SUBSTITUTE(Raw_Data!E522,"%",""))/100,"")</f>
        <v>0.75</v>
      </c>
      <c r="G522" s="13">
        <f>IFERROR(VALUE(Raw_Data!F522),"")</f>
        <v>4.5</v>
      </c>
      <c r="H522" s="14">
        <f>IFERROR(VALUE(SUBSTITUTE(Raw_Data!G522,",","")),"")</f>
        <v>596</v>
      </c>
      <c r="I522" s="11">
        <f t="shared" si="32"/>
        <v>900</v>
      </c>
      <c r="J522" s="11">
        <f t="shared" si="33"/>
        <v>178204</v>
      </c>
      <c r="K522" s="1">
        <f t="shared" si="34"/>
        <v>596.00005220000003</v>
      </c>
      <c r="L522" s="15">
        <f t="shared" si="35"/>
        <v>0.75005219999999995</v>
      </c>
    </row>
    <row r="523" spans="1:12" ht="15" customHeight="1" x14ac:dyDescent="0.25">
      <c r="A523" s="10" t="str">
        <f>Raw_Data!A523</f>
        <v>STRIFF 12 Pieces Highly Flexible Silicone Micro USB Protector, Mouse Cable Protector, Suit for All Cell Phones, Computers and Chargers (Black)</v>
      </c>
      <c r="B523" s="10" t="str">
        <f>IFERROR(TRIM(LEFT(Raw_Data!A523,FIND(" ",Raw_Data!A523)-1)),Raw_Data!A523)</f>
        <v>STRIFF</v>
      </c>
      <c r="C523" s="10" t="str">
        <f>IFERROR(LEFT(Raw_Data!B523,FIND("|",Raw_Data!B523)-1),Raw_Data!B523)</f>
        <v>Electronics</v>
      </c>
      <c r="D523" s="11">
        <f>IFERROR(VALUE(SUBSTITUTE(SUBSTITUTE(TRIM(Raw_Data!C523),"₹",""),",","")),"")</f>
        <v>79</v>
      </c>
      <c r="E523" s="11">
        <f>IFERROR(VALUE(SUBSTITUTE(SUBSTITUTE(TRIM(Raw_Data!D523),"₹",""),",","")),"")</f>
        <v>499</v>
      </c>
      <c r="F523" s="12">
        <f>IFERROR(VALUE(SUBSTITUTE(Raw_Data!E523,"%",""))/100,"")</f>
        <v>0.84</v>
      </c>
      <c r="G523" s="13">
        <f>IFERROR(VALUE(Raw_Data!F523),"")</f>
        <v>4.2</v>
      </c>
      <c r="H523" s="14">
        <f>IFERROR(VALUE(SUBSTITUTE(Raw_Data!G523,",","")),"")</f>
        <v>1949</v>
      </c>
      <c r="I523" s="11">
        <f t="shared" si="32"/>
        <v>420</v>
      </c>
      <c r="J523" s="11">
        <f t="shared" si="33"/>
        <v>153971</v>
      </c>
      <c r="K523" s="1">
        <f t="shared" si="34"/>
        <v>1949.0000523000001</v>
      </c>
      <c r="L523" s="15">
        <f t="shared" si="35"/>
        <v>0.84005229999999997</v>
      </c>
    </row>
    <row r="524" spans="1:12" ht="15" customHeight="1" x14ac:dyDescent="0.25">
      <c r="A524" s="10" t="str">
        <f>Raw_Data!A524</f>
        <v>Redmi 11 Prime 5G (Thunder Black, 4GB RAM, 64GB Storage) | Prime Design | MTK Dimensity 700 | 50 MP Dual Cam | 5000mAh | 7 Band 5G</v>
      </c>
      <c r="B524" s="10" t="str">
        <f>IFERROR(TRIM(LEFT(Raw_Data!A524,FIND(" ",Raw_Data!A524)-1)),Raw_Data!A524)</f>
        <v>Redmi</v>
      </c>
      <c r="C524" s="10" t="str">
        <f>IFERROR(LEFT(Raw_Data!B524,FIND("|",Raw_Data!B524)-1),Raw_Data!B524)</f>
        <v>Electronics</v>
      </c>
      <c r="D524" s="11">
        <f>IFERROR(VALUE(SUBSTITUTE(SUBSTITUTE(TRIM(Raw_Data!C524),"₹",""),",","")),"")</f>
        <v>13999</v>
      </c>
      <c r="E524" s="11">
        <f>IFERROR(VALUE(SUBSTITUTE(SUBSTITUTE(TRIM(Raw_Data!D524),"₹",""),",","")),"")</f>
        <v>15999</v>
      </c>
      <c r="F524" s="12">
        <f>IFERROR(VALUE(SUBSTITUTE(Raw_Data!E524,"%",""))/100,"")</f>
        <v>0.13</v>
      </c>
      <c r="G524" s="13">
        <f>IFERROR(VALUE(Raw_Data!F524),"")</f>
        <v>3.9</v>
      </c>
      <c r="H524" s="14">
        <f>IFERROR(VALUE(SUBSTITUTE(Raw_Data!G524,",","")),"")</f>
        <v>2180</v>
      </c>
      <c r="I524" s="11">
        <f t="shared" si="32"/>
        <v>2000</v>
      </c>
      <c r="J524" s="11">
        <f t="shared" si="33"/>
        <v>30517820</v>
      </c>
      <c r="K524" s="1">
        <f t="shared" si="34"/>
        <v>2180.0000524000002</v>
      </c>
      <c r="L524" s="15">
        <f t="shared" si="35"/>
        <v>0.13005240000000001</v>
      </c>
    </row>
    <row r="525" spans="1:12" ht="15" customHeight="1" x14ac:dyDescent="0.25">
      <c r="A525" s="10" t="str">
        <f>Raw_Data!A525</f>
        <v>Samsung Original EHS64 Wired in Ear Earphones with Mic, Black</v>
      </c>
      <c r="B525" s="10" t="str">
        <f>IFERROR(TRIM(LEFT(Raw_Data!A525,FIND(" ",Raw_Data!A525)-1)),Raw_Data!A525)</f>
        <v>Samsung</v>
      </c>
      <c r="C525" s="10" t="str">
        <f>IFERROR(LEFT(Raw_Data!B525,FIND("|",Raw_Data!B525)-1),Raw_Data!B525)</f>
        <v>Electronics</v>
      </c>
      <c r="D525" s="11">
        <f>IFERROR(VALUE(SUBSTITUTE(SUBSTITUTE(TRIM(Raw_Data!C525),"₹",""),",","")),"")</f>
        <v>949</v>
      </c>
      <c r="E525" s="11">
        <f>IFERROR(VALUE(SUBSTITUTE(SUBSTITUTE(TRIM(Raw_Data!D525),"₹",""),",","")),"")</f>
        <v>999</v>
      </c>
      <c r="F525" s="12">
        <f>IFERROR(VALUE(SUBSTITUTE(Raw_Data!E525,"%",""))/100,"")</f>
        <v>0.05</v>
      </c>
      <c r="G525" s="13">
        <f>IFERROR(VALUE(Raw_Data!F525),"")</f>
        <v>4.2</v>
      </c>
      <c r="H525" s="14">
        <f>IFERROR(VALUE(SUBSTITUTE(Raw_Data!G525,",","")),"")</f>
        <v>31539</v>
      </c>
      <c r="I525" s="11">
        <f t="shared" si="32"/>
        <v>50</v>
      </c>
      <c r="J525" s="11">
        <f t="shared" si="33"/>
        <v>29930511</v>
      </c>
      <c r="K525" s="1">
        <f t="shared" si="34"/>
        <v>31539.0000525</v>
      </c>
      <c r="L525" s="15">
        <f t="shared" si="35"/>
        <v>5.00525E-2</v>
      </c>
    </row>
    <row r="526" spans="1:12" ht="15" customHeight="1" x14ac:dyDescent="0.25">
      <c r="A526" s="10" t="str">
        <f>Raw_Data!A526</f>
        <v>STRIFF Multi Angle Tablet/Mobile Stand. Holder for iPhone, Android, Samsung, OnePlus, Xiaomi. Portable,Foldable Stand.Perfect for Bed,Office, Home,Gift and Desktop (Black)</v>
      </c>
      <c r="B526" s="10" t="str">
        <f>IFERROR(TRIM(LEFT(Raw_Data!A526,FIND(" ",Raw_Data!A526)-1)),Raw_Data!A526)</f>
        <v>STRIFF</v>
      </c>
      <c r="C526" s="10" t="str">
        <f>IFERROR(LEFT(Raw_Data!B526,FIND("|",Raw_Data!B526)-1),Raw_Data!B526)</f>
        <v>Electronics</v>
      </c>
      <c r="D526" s="11">
        <f>IFERROR(VALUE(SUBSTITUTE(SUBSTITUTE(TRIM(Raw_Data!C526),"₹",""),",","")),"")</f>
        <v>99</v>
      </c>
      <c r="E526" s="11">
        <f>IFERROR(VALUE(SUBSTITUTE(SUBSTITUTE(TRIM(Raw_Data!D526),"₹",""),",","")),"")</f>
        <v>499</v>
      </c>
      <c r="F526" s="12">
        <f>IFERROR(VALUE(SUBSTITUTE(Raw_Data!E526,"%",""))/100,"")</f>
        <v>0.8</v>
      </c>
      <c r="G526" s="13">
        <f>IFERROR(VALUE(Raw_Data!F526),"")</f>
        <v>4.0999999999999996</v>
      </c>
      <c r="H526" s="14">
        <f>IFERROR(VALUE(SUBSTITUTE(Raw_Data!G526,",","")),"")</f>
        <v>2451</v>
      </c>
      <c r="I526" s="11">
        <f t="shared" si="32"/>
        <v>400</v>
      </c>
      <c r="J526" s="11">
        <f t="shared" si="33"/>
        <v>242649</v>
      </c>
      <c r="K526" s="1">
        <f t="shared" si="34"/>
        <v>2451.0000525999999</v>
      </c>
      <c r="L526" s="15">
        <f t="shared" si="35"/>
        <v>0.8000526</v>
      </c>
    </row>
    <row r="527" spans="1:12" ht="15" customHeight="1" x14ac:dyDescent="0.25">
      <c r="A527" s="10" t="str">
        <f>Raw_Data!A527</f>
        <v>boAt Newly Launched Wave Electra with 1.81" HD Display, Smart Calling Ultra-Seamless BT Calling Chip, 20 Built-in Watch Faces, 100 + Sports Modes, Menu Personalization, in-Built Games(Cherry Blossom)</v>
      </c>
      <c r="B527" s="10" t="str">
        <f>IFERROR(TRIM(LEFT(Raw_Data!A527,FIND(" ",Raw_Data!A527)-1)),Raw_Data!A527)</f>
        <v>boAt</v>
      </c>
      <c r="C527" s="10" t="str">
        <f>IFERROR(LEFT(Raw_Data!B527,FIND("|",Raw_Data!B527)-1),Raw_Data!B527)</f>
        <v>Electronics</v>
      </c>
      <c r="D527" s="11">
        <f>IFERROR(VALUE(SUBSTITUTE(SUBSTITUTE(TRIM(Raw_Data!C527),"₹",""),",","")),"")</f>
        <v>2499</v>
      </c>
      <c r="E527" s="11">
        <f>IFERROR(VALUE(SUBSTITUTE(SUBSTITUTE(TRIM(Raw_Data!D527),"₹",""),",","")),"")</f>
        <v>7990</v>
      </c>
      <c r="F527" s="12">
        <f>IFERROR(VALUE(SUBSTITUTE(Raw_Data!E527,"%",""))/100,"")</f>
        <v>0.69</v>
      </c>
      <c r="G527" s="13">
        <f>IFERROR(VALUE(Raw_Data!F527),"")</f>
        <v>4.0999999999999996</v>
      </c>
      <c r="H527" s="14">
        <f>IFERROR(VALUE(SUBSTITUTE(Raw_Data!G527,",","")),"")</f>
        <v>154</v>
      </c>
      <c r="I527" s="11">
        <f t="shared" si="32"/>
        <v>5491</v>
      </c>
      <c r="J527" s="11">
        <f t="shared" si="33"/>
        <v>384846</v>
      </c>
      <c r="K527" s="1">
        <f t="shared" si="34"/>
        <v>154.0000527</v>
      </c>
      <c r="L527" s="15">
        <f t="shared" si="35"/>
        <v>0.69005269999999996</v>
      </c>
    </row>
    <row r="528" spans="1:12" ht="15" customHeight="1" x14ac:dyDescent="0.25">
      <c r="A528" s="10" t="str">
        <f>Raw_Data!A528</f>
        <v>WeCool B1 Mobile Holder for Bikes or Bike Mobile Holder for Maps and GPS Navigation, one Click Locking, Firm Gripping, Anti Shake and Stable Cradle Clamp with 360° Rotation Bicycle Phone Mount</v>
      </c>
      <c r="B528" s="10" t="str">
        <f>IFERROR(TRIM(LEFT(Raw_Data!A528,FIND(" ",Raw_Data!A528)-1)),Raw_Data!A528)</f>
        <v>WeCool</v>
      </c>
      <c r="C528" s="10" t="str">
        <f>IFERROR(LEFT(Raw_Data!B528,FIND("|",Raw_Data!B528)-1),Raw_Data!B528)</f>
        <v>Electronics</v>
      </c>
      <c r="D528" s="11">
        <f>IFERROR(VALUE(SUBSTITUTE(SUBSTITUTE(TRIM(Raw_Data!C528),"₹",""),",","")),"")</f>
        <v>689</v>
      </c>
      <c r="E528" s="11">
        <f>IFERROR(VALUE(SUBSTITUTE(SUBSTITUTE(TRIM(Raw_Data!D528),"₹",""),",","")),"")</f>
        <v>1999</v>
      </c>
      <c r="F528" s="12">
        <f>IFERROR(VALUE(SUBSTITUTE(Raw_Data!E528,"%",""))/100,"")</f>
        <v>0.66</v>
      </c>
      <c r="G528" s="13">
        <f>IFERROR(VALUE(Raw_Data!F528),"")</f>
        <v>4.3</v>
      </c>
      <c r="H528" s="14">
        <f>IFERROR(VALUE(SUBSTITUTE(Raw_Data!G528,",","")),"")</f>
        <v>1193</v>
      </c>
      <c r="I528" s="11">
        <f t="shared" si="32"/>
        <v>1310</v>
      </c>
      <c r="J528" s="11">
        <f t="shared" si="33"/>
        <v>821977</v>
      </c>
      <c r="K528" s="1">
        <f t="shared" si="34"/>
        <v>1193.0000528</v>
      </c>
      <c r="L528" s="15">
        <f t="shared" si="35"/>
        <v>0.6600528</v>
      </c>
    </row>
    <row r="529" spans="1:12" ht="15" customHeight="1" x14ac:dyDescent="0.25">
      <c r="A529" s="10" t="str">
        <f>Raw_Data!A529</f>
        <v>Sounce 360 Adjustable Mobile Phone Holder, Universal Phone Holder Clip Lazy Bracket Flexible Gooseneck Clamp Long Arms Mount for Mobile Tabletop Stand for Bedroom, Office, Bathroom, White</v>
      </c>
      <c r="B529" s="10" t="str">
        <f>IFERROR(TRIM(LEFT(Raw_Data!A529,FIND(" ",Raw_Data!A529)-1)),Raw_Data!A529)</f>
        <v>Sounce</v>
      </c>
      <c r="C529" s="10" t="str">
        <f>IFERROR(LEFT(Raw_Data!B529,FIND("|",Raw_Data!B529)-1),Raw_Data!B529)</f>
        <v>Electronics</v>
      </c>
      <c r="D529" s="11">
        <f>IFERROR(VALUE(SUBSTITUTE(SUBSTITUTE(TRIM(Raw_Data!C529),"₹",""),",","")),"")</f>
        <v>499</v>
      </c>
      <c r="E529" s="11">
        <f>IFERROR(VALUE(SUBSTITUTE(SUBSTITUTE(TRIM(Raw_Data!D529),"₹",""),",","")),"")</f>
        <v>1899</v>
      </c>
      <c r="F529" s="12">
        <f>IFERROR(VALUE(SUBSTITUTE(Raw_Data!E529,"%",""))/100,"")</f>
        <v>0.74</v>
      </c>
      <c r="G529" s="13">
        <f>IFERROR(VALUE(Raw_Data!F529),"")</f>
        <v>4.0999999999999996</v>
      </c>
      <c r="H529" s="14">
        <f>IFERROR(VALUE(SUBSTITUTE(Raw_Data!G529,",","")),"")</f>
        <v>1475</v>
      </c>
      <c r="I529" s="11">
        <f t="shared" si="32"/>
        <v>1400</v>
      </c>
      <c r="J529" s="11">
        <f t="shared" si="33"/>
        <v>736025</v>
      </c>
      <c r="K529" s="1">
        <f t="shared" si="34"/>
        <v>1475.0000528999999</v>
      </c>
      <c r="L529" s="15">
        <f t="shared" si="35"/>
        <v>0.74005290000000001</v>
      </c>
    </row>
    <row r="530" spans="1:12" ht="15" customHeight="1" x14ac:dyDescent="0.25">
      <c r="A530" s="10" t="str">
        <f>Raw_Data!A530</f>
        <v>OpenTech® Military-Grade Tempered Glass Screen Protector Compatible for iPhone 13/13 Pro / 14 with Edge to Edge Coverage and Easy Installation kit (6.1 Inches)</v>
      </c>
      <c r="B530" s="10" t="str">
        <f>IFERROR(TRIM(LEFT(Raw_Data!A530,FIND(" ",Raw_Data!A530)-1)),Raw_Data!A530)</f>
        <v>OpenTech®</v>
      </c>
      <c r="C530" s="10" t="str">
        <f>IFERROR(LEFT(Raw_Data!B530,FIND("|",Raw_Data!B530)-1),Raw_Data!B530)</f>
        <v>Electronics</v>
      </c>
      <c r="D530" s="11">
        <f>IFERROR(VALUE(SUBSTITUTE(SUBSTITUTE(TRIM(Raw_Data!C530),"₹",""),",","")),"")</f>
        <v>299</v>
      </c>
      <c r="E530" s="11">
        <f>IFERROR(VALUE(SUBSTITUTE(SUBSTITUTE(TRIM(Raw_Data!D530),"₹",""),",","")),"")</f>
        <v>999</v>
      </c>
      <c r="F530" s="12">
        <f>IFERROR(VALUE(SUBSTITUTE(Raw_Data!E530,"%",""))/100,"")</f>
        <v>0.7</v>
      </c>
      <c r="G530" s="13">
        <f>IFERROR(VALUE(Raw_Data!F530),"")</f>
        <v>4.3</v>
      </c>
      <c r="H530" s="14">
        <f>IFERROR(VALUE(SUBSTITUTE(Raw_Data!G530,",","")),"")</f>
        <v>8891</v>
      </c>
      <c r="I530" s="11">
        <f t="shared" si="32"/>
        <v>700</v>
      </c>
      <c r="J530" s="11">
        <f t="shared" si="33"/>
        <v>2658409</v>
      </c>
      <c r="K530" s="1">
        <f t="shared" si="34"/>
        <v>8891.0000529999998</v>
      </c>
      <c r="L530" s="15">
        <f t="shared" si="35"/>
        <v>0.70005299999999993</v>
      </c>
    </row>
    <row r="531" spans="1:12" ht="15" customHeight="1" x14ac:dyDescent="0.25">
      <c r="A531" s="10" t="str">
        <f>Raw_Data!A531</f>
        <v>EN LIGNE Adjustable Cell Phone Stand, Foldable Portable Phone Stand Phone Holder for Desk, Desktop Tablet Stand Compatible with Mobile Phone/iPad/Tablet (Black)</v>
      </c>
      <c r="B531" s="10" t="str">
        <f>IFERROR(TRIM(LEFT(Raw_Data!A531,FIND(" ",Raw_Data!A531)-1)),Raw_Data!A531)</f>
        <v>EN</v>
      </c>
      <c r="C531" s="10" t="str">
        <f>IFERROR(LEFT(Raw_Data!B531,FIND("|",Raw_Data!B531)-1),Raw_Data!B531)</f>
        <v>Electronics</v>
      </c>
      <c r="D531" s="11">
        <f>IFERROR(VALUE(SUBSTITUTE(SUBSTITUTE(TRIM(Raw_Data!C531),"₹",""),",","")),"")</f>
        <v>209</v>
      </c>
      <c r="E531" s="11">
        <f>IFERROR(VALUE(SUBSTITUTE(SUBSTITUTE(TRIM(Raw_Data!D531),"₹",""),",","")),"")</f>
        <v>499</v>
      </c>
      <c r="F531" s="12">
        <f>IFERROR(VALUE(SUBSTITUTE(Raw_Data!E531,"%",""))/100,"")</f>
        <v>0.57999999999999996</v>
      </c>
      <c r="G531" s="13">
        <f>IFERROR(VALUE(Raw_Data!F531),"")</f>
        <v>3.6</v>
      </c>
      <c r="H531" s="14">
        <f>IFERROR(VALUE(SUBSTITUTE(Raw_Data!G531,",","")),"")</f>
        <v>104</v>
      </c>
      <c r="I531" s="11">
        <f t="shared" si="32"/>
        <v>290</v>
      </c>
      <c r="J531" s="11">
        <f t="shared" si="33"/>
        <v>21736</v>
      </c>
      <c r="K531" s="1">
        <f t="shared" si="34"/>
        <v>104.0000531</v>
      </c>
      <c r="L531" s="15">
        <f t="shared" si="35"/>
        <v>0.58005309999999999</v>
      </c>
    </row>
    <row r="532" spans="1:12" ht="15" customHeight="1" x14ac:dyDescent="0.25">
      <c r="A532" s="10" t="str">
        <f>Raw_Data!A532</f>
        <v>Tecno Spark 8T (Turquoise Cyan, 4GB RAM,64GB Storage) | 50MP AI Camera | 7GB Expandable RAM</v>
      </c>
      <c r="B532" s="10" t="str">
        <f>IFERROR(TRIM(LEFT(Raw_Data!A532,FIND(" ",Raw_Data!A532)-1)),Raw_Data!A532)</f>
        <v>Tecno</v>
      </c>
      <c r="C532" s="10" t="str">
        <f>IFERROR(LEFT(Raw_Data!B532,FIND("|",Raw_Data!B532)-1),Raw_Data!B532)</f>
        <v>Electronics</v>
      </c>
      <c r="D532" s="11">
        <f>IFERROR(VALUE(SUBSTITUTE(SUBSTITUTE(TRIM(Raw_Data!C532),"₹",""),",","")),"")</f>
        <v>8499</v>
      </c>
      <c r="E532" s="11">
        <f>IFERROR(VALUE(SUBSTITUTE(SUBSTITUTE(TRIM(Raw_Data!D532),"₹",""),",","")),"")</f>
        <v>12999</v>
      </c>
      <c r="F532" s="12">
        <f>IFERROR(VALUE(SUBSTITUTE(Raw_Data!E532,"%",""))/100,"")</f>
        <v>0.35</v>
      </c>
      <c r="G532" s="13">
        <f>IFERROR(VALUE(Raw_Data!F532),"")</f>
        <v>4.0999999999999996</v>
      </c>
      <c r="H532" s="14">
        <f>IFERROR(VALUE(SUBSTITUTE(Raw_Data!G532,",","")),"")</f>
        <v>6662</v>
      </c>
      <c r="I532" s="11">
        <f t="shared" si="32"/>
        <v>4500</v>
      </c>
      <c r="J532" s="11">
        <f t="shared" si="33"/>
        <v>56620338</v>
      </c>
      <c r="K532" s="1">
        <f t="shared" si="34"/>
        <v>6662.0000532000004</v>
      </c>
      <c r="L532" s="15">
        <f t="shared" si="35"/>
        <v>0.35005319999999995</v>
      </c>
    </row>
    <row r="533" spans="1:12" ht="15" customHeight="1" x14ac:dyDescent="0.25">
      <c r="A533" s="10" t="str">
        <f>Raw_Data!A533</f>
        <v>URBN 20000 mAh Lithium_Polymer 22.5W Super Fast Charging Ultra Compact Power Bank with Quick Charge &amp; Power Delivery, Type C Input/Output, Made in India, Type C Cable Included (Camo)</v>
      </c>
      <c r="B533" s="10" t="str">
        <f>IFERROR(TRIM(LEFT(Raw_Data!A533,FIND(" ",Raw_Data!A533)-1)),Raw_Data!A533)</f>
        <v>URBN</v>
      </c>
      <c r="C533" s="10" t="str">
        <f>IFERROR(LEFT(Raw_Data!B533,FIND("|",Raw_Data!B533)-1),Raw_Data!B533)</f>
        <v>Electronics</v>
      </c>
      <c r="D533" s="11">
        <f>IFERROR(VALUE(SUBSTITUTE(SUBSTITUTE(TRIM(Raw_Data!C533),"₹",""),",","")),"")</f>
        <v>2179</v>
      </c>
      <c r="E533" s="11">
        <f>IFERROR(VALUE(SUBSTITUTE(SUBSTITUTE(TRIM(Raw_Data!D533),"₹",""),",","")),"")</f>
        <v>3999</v>
      </c>
      <c r="F533" s="12">
        <f>IFERROR(VALUE(SUBSTITUTE(Raw_Data!E533,"%",""))/100,"")</f>
        <v>0.46</v>
      </c>
      <c r="G533" s="13">
        <f>IFERROR(VALUE(Raw_Data!F533),"")</f>
        <v>4</v>
      </c>
      <c r="H533" s="14">
        <f>IFERROR(VALUE(SUBSTITUTE(Raw_Data!G533,",","")),"")</f>
        <v>8380</v>
      </c>
      <c r="I533" s="11">
        <f t="shared" si="32"/>
        <v>1820</v>
      </c>
      <c r="J533" s="11">
        <f t="shared" si="33"/>
        <v>18260020</v>
      </c>
      <c r="K533" s="1">
        <f t="shared" si="34"/>
        <v>8380.0000533000002</v>
      </c>
      <c r="L533" s="15">
        <f t="shared" si="35"/>
        <v>0.4600533</v>
      </c>
    </row>
    <row r="534" spans="1:12" ht="15" customHeight="1" x14ac:dyDescent="0.25">
      <c r="A534" s="10" t="str">
        <f>Raw_Data!A534</f>
        <v>Redmi Note 11T 5G (Stardust White, 6GB RAM, 128GB ROM)| Dimensity 810 5G | 33W Pro Fast Charging | Charger Included | Additional Exchange Offers|Get 2 Months of YouTube Premium Free!</v>
      </c>
      <c r="B534" s="10" t="str">
        <f>IFERROR(TRIM(LEFT(Raw_Data!A534,FIND(" ",Raw_Data!A534)-1)),Raw_Data!A534)</f>
        <v>Redmi</v>
      </c>
      <c r="C534" s="10" t="str">
        <f>IFERROR(LEFT(Raw_Data!B534,FIND("|",Raw_Data!B534)-1),Raw_Data!B534)</f>
        <v>Electronics</v>
      </c>
      <c r="D534" s="11">
        <f>IFERROR(VALUE(SUBSTITUTE(SUBSTITUTE(TRIM(Raw_Data!C534),"₹",""),",","")),"")</f>
        <v>16999</v>
      </c>
      <c r="E534" s="11">
        <f>IFERROR(VALUE(SUBSTITUTE(SUBSTITUTE(TRIM(Raw_Data!D534),"₹",""),",","")),"")</f>
        <v>20999</v>
      </c>
      <c r="F534" s="12">
        <f>IFERROR(VALUE(SUBSTITUTE(Raw_Data!E534,"%",""))/100,"")</f>
        <v>0.19</v>
      </c>
      <c r="G534" s="13">
        <f>IFERROR(VALUE(Raw_Data!F534),"")</f>
        <v>4.0999999999999996</v>
      </c>
      <c r="H534" s="14">
        <f>IFERROR(VALUE(SUBSTITUTE(Raw_Data!G534,",","")),"")</f>
        <v>31822</v>
      </c>
      <c r="I534" s="11">
        <f t="shared" si="32"/>
        <v>4000</v>
      </c>
      <c r="J534" s="11">
        <f t="shared" si="33"/>
        <v>540942178</v>
      </c>
      <c r="K534" s="1">
        <f t="shared" si="34"/>
        <v>31822.000053399999</v>
      </c>
      <c r="L534" s="15">
        <f t="shared" si="35"/>
        <v>0.19005340000000001</v>
      </c>
    </row>
    <row r="535" spans="1:12" ht="15" customHeight="1" x14ac:dyDescent="0.25">
      <c r="A535" s="10" t="str">
        <f>Raw_Data!A535</f>
        <v>OnePlus 10T 5G (Moonstone Black, 8GB RAM, 128GB Storage)</v>
      </c>
      <c r="B535" s="10" t="str">
        <f>IFERROR(TRIM(LEFT(Raw_Data!A535,FIND(" ",Raw_Data!A535)-1)),Raw_Data!A535)</f>
        <v>OnePlus</v>
      </c>
      <c r="C535" s="10" t="str">
        <f>IFERROR(LEFT(Raw_Data!B535,FIND("|",Raw_Data!B535)-1),Raw_Data!B535)</f>
        <v>Electronics</v>
      </c>
      <c r="D535" s="11">
        <f>IFERROR(VALUE(SUBSTITUTE(SUBSTITUTE(TRIM(Raw_Data!C535),"₹",""),",","")),"")</f>
        <v>44999</v>
      </c>
      <c r="E535" s="11">
        <f>IFERROR(VALUE(SUBSTITUTE(SUBSTITUTE(TRIM(Raw_Data!D535),"₹",""),",","")),"")</f>
        <v>49999</v>
      </c>
      <c r="F535" s="12">
        <f>IFERROR(VALUE(SUBSTITUTE(Raw_Data!E535,"%",""))/100,"")</f>
        <v>0.1</v>
      </c>
      <c r="G535" s="13">
        <f>IFERROR(VALUE(Raw_Data!F535),"")</f>
        <v>4.3</v>
      </c>
      <c r="H535" s="14">
        <f>IFERROR(VALUE(SUBSTITUTE(Raw_Data!G535,",","")),"")</f>
        <v>3075</v>
      </c>
      <c r="I535" s="11">
        <f t="shared" si="32"/>
        <v>5000</v>
      </c>
      <c r="J535" s="11">
        <f t="shared" si="33"/>
        <v>138371925</v>
      </c>
      <c r="K535" s="1">
        <f t="shared" si="34"/>
        <v>3075.0000534999999</v>
      </c>
      <c r="L535" s="15">
        <f t="shared" si="35"/>
        <v>0.1000535</v>
      </c>
    </row>
    <row r="536" spans="1:12" ht="15" customHeight="1" x14ac:dyDescent="0.25">
      <c r="A536" s="10" t="str">
        <f>Raw_Data!A536</f>
        <v>Nokia 150 (2020) (Cyan)</v>
      </c>
      <c r="B536" s="10" t="str">
        <f>IFERROR(TRIM(LEFT(Raw_Data!A536,FIND(" ",Raw_Data!A536)-1)),Raw_Data!A536)</f>
        <v>Nokia</v>
      </c>
      <c r="C536" s="10" t="str">
        <f>IFERROR(LEFT(Raw_Data!B536,FIND("|",Raw_Data!B536)-1),Raw_Data!B536)</f>
        <v>Electronics</v>
      </c>
      <c r="D536" s="11">
        <f>IFERROR(VALUE(SUBSTITUTE(SUBSTITUTE(TRIM(Raw_Data!C536),"₹",""),",","")),"")</f>
        <v>2599</v>
      </c>
      <c r="E536" s="11">
        <f>IFERROR(VALUE(SUBSTITUTE(SUBSTITUTE(TRIM(Raw_Data!D536),"₹",""),",","")),"")</f>
        <v>2999</v>
      </c>
      <c r="F536" s="12">
        <f>IFERROR(VALUE(SUBSTITUTE(Raw_Data!E536,"%",""))/100,"")</f>
        <v>0.13</v>
      </c>
      <c r="G536" s="13">
        <f>IFERROR(VALUE(Raw_Data!F536),"")</f>
        <v>3.9</v>
      </c>
      <c r="H536" s="14">
        <f>IFERROR(VALUE(SUBSTITUTE(Raw_Data!G536,",","")),"")</f>
        <v>14266</v>
      </c>
      <c r="I536" s="11">
        <f t="shared" si="32"/>
        <v>400</v>
      </c>
      <c r="J536" s="11">
        <f t="shared" si="33"/>
        <v>37077334</v>
      </c>
      <c r="K536" s="1">
        <f t="shared" si="34"/>
        <v>14266.000053600001</v>
      </c>
      <c r="L536" s="15">
        <f t="shared" si="35"/>
        <v>0.13005359999999999</v>
      </c>
    </row>
    <row r="537" spans="1:12" ht="15" customHeight="1" x14ac:dyDescent="0.25">
      <c r="A537" s="10" t="str">
        <f>Raw_Data!A537</f>
        <v>Noise ColorFit Ultra SE Smart Watch with 1.75"(4.3cm) HD Display, Aluminium Alloy Body, 60 Sports Modes, Spo2, Lightweight, Stock Market Info, Calls &amp; SMS Reply (Vintage Brown)</v>
      </c>
      <c r="B537" s="10" t="str">
        <f>IFERROR(TRIM(LEFT(Raw_Data!A537,FIND(" ",Raw_Data!A537)-1)),Raw_Data!A537)</f>
        <v>Noise</v>
      </c>
      <c r="C537" s="10" t="str">
        <f>IFERROR(LEFT(Raw_Data!B537,FIND("|",Raw_Data!B537)-1),Raw_Data!B537)</f>
        <v>Electronics</v>
      </c>
      <c r="D537" s="11">
        <f>IFERROR(VALUE(SUBSTITUTE(SUBSTITUTE(TRIM(Raw_Data!C537),"₹",""),",","")),"")</f>
        <v>2799</v>
      </c>
      <c r="E537" s="11">
        <f>IFERROR(VALUE(SUBSTITUTE(SUBSTITUTE(TRIM(Raw_Data!D537),"₹",""),",","")),"")</f>
        <v>6499</v>
      </c>
      <c r="F537" s="12">
        <f>IFERROR(VALUE(SUBSTITUTE(Raw_Data!E537,"%",""))/100,"")</f>
        <v>0.56999999999999995</v>
      </c>
      <c r="G537" s="13">
        <f>IFERROR(VALUE(Raw_Data!F537),"")</f>
        <v>4.0999999999999996</v>
      </c>
      <c r="H537" s="14">
        <f>IFERROR(VALUE(SUBSTITUTE(Raw_Data!G537,",","")),"")</f>
        <v>38879</v>
      </c>
      <c r="I537" s="11">
        <f t="shared" si="32"/>
        <v>3700</v>
      </c>
      <c r="J537" s="11">
        <f t="shared" si="33"/>
        <v>108822321</v>
      </c>
      <c r="K537" s="1">
        <f t="shared" si="34"/>
        <v>38879.000053700001</v>
      </c>
      <c r="L537" s="15">
        <f t="shared" si="35"/>
        <v>0.5700537</v>
      </c>
    </row>
    <row r="538" spans="1:12" ht="15" customHeight="1" x14ac:dyDescent="0.25">
      <c r="A538" s="10" t="str">
        <f>Raw_Data!A538</f>
        <v>boAt Rockerz 400 Bluetooth On Ear Headphones With Mic With Upto 8 Hours Playback &amp; Soft Padded Ear Cushions(Grey/Green)</v>
      </c>
      <c r="B538" s="10" t="str">
        <f>IFERROR(TRIM(LEFT(Raw_Data!A538,FIND(" ",Raw_Data!A538)-1)),Raw_Data!A538)</f>
        <v>boAt</v>
      </c>
      <c r="C538" s="10" t="str">
        <f>IFERROR(LEFT(Raw_Data!B538,FIND("|",Raw_Data!B538)-1),Raw_Data!B538)</f>
        <v>Electronics</v>
      </c>
      <c r="D538" s="11">
        <f>IFERROR(VALUE(SUBSTITUTE(SUBSTITUTE(TRIM(Raw_Data!C538),"₹",""),",","")),"")</f>
        <v>1399</v>
      </c>
      <c r="E538" s="11">
        <f>IFERROR(VALUE(SUBSTITUTE(SUBSTITUTE(TRIM(Raw_Data!D538),"₹",""),",","")),"")</f>
        <v>2990</v>
      </c>
      <c r="F538" s="12">
        <f>IFERROR(VALUE(SUBSTITUTE(Raw_Data!E538,"%",""))/100,"")</f>
        <v>0.53</v>
      </c>
      <c r="G538" s="13">
        <f>IFERROR(VALUE(Raw_Data!F538),"")</f>
        <v>4.0999999999999996</v>
      </c>
      <c r="H538" s="14">
        <f>IFERROR(VALUE(SUBSTITUTE(Raw_Data!G538,",","")),"")</f>
        <v>97175</v>
      </c>
      <c r="I538" s="11">
        <f t="shared" si="32"/>
        <v>1591</v>
      </c>
      <c r="J538" s="11">
        <f t="shared" si="33"/>
        <v>135947825</v>
      </c>
      <c r="K538" s="1">
        <f t="shared" si="34"/>
        <v>97175.000053800002</v>
      </c>
      <c r="L538" s="15">
        <f t="shared" si="35"/>
        <v>0.53005380000000002</v>
      </c>
    </row>
    <row r="539" spans="1:12" ht="15" customHeight="1" x14ac:dyDescent="0.25">
      <c r="A539" s="10" t="str">
        <f>Raw_Data!A539</f>
        <v>SanDisk Ultra microSD UHS-I Card 64GB, 120MB/s R</v>
      </c>
      <c r="B539" s="10" t="str">
        <f>IFERROR(TRIM(LEFT(Raw_Data!A539,FIND(" ",Raw_Data!A539)-1)),Raw_Data!A539)</f>
        <v>SanDisk</v>
      </c>
      <c r="C539" s="10" t="str">
        <f>IFERROR(LEFT(Raw_Data!B539,FIND("|",Raw_Data!B539)-1),Raw_Data!B539)</f>
        <v>Electronics</v>
      </c>
      <c r="D539" s="11">
        <f>IFERROR(VALUE(SUBSTITUTE(SUBSTITUTE(TRIM(Raw_Data!C539),"₹",""),",","")),"")</f>
        <v>649</v>
      </c>
      <c r="E539" s="11">
        <f>IFERROR(VALUE(SUBSTITUTE(SUBSTITUTE(TRIM(Raw_Data!D539),"₹",""),",","")),"")</f>
        <v>2400</v>
      </c>
      <c r="F539" s="12">
        <f>IFERROR(VALUE(SUBSTITUTE(Raw_Data!E539,"%",""))/100,"")</f>
        <v>0.73</v>
      </c>
      <c r="G539" s="13">
        <f>IFERROR(VALUE(Raw_Data!F539),"")</f>
        <v>4.4000000000000004</v>
      </c>
      <c r="H539" s="14">
        <f>IFERROR(VALUE(SUBSTITUTE(Raw_Data!G539,",","")),"")</f>
        <v>67260</v>
      </c>
      <c r="I539" s="11">
        <f t="shared" si="32"/>
        <v>1751</v>
      </c>
      <c r="J539" s="11">
        <f t="shared" si="33"/>
        <v>43651740</v>
      </c>
      <c r="K539" s="1">
        <f t="shared" si="34"/>
        <v>67260.000053900003</v>
      </c>
      <c r="L539" s="15">
        <f t="shared" si="35"/>
        <v>0.73005390000000003</v>
      </c>
    </row>
    <row r="540" spans="1:12" ht="15" customHeight="1" x14ac:dyDescent="0.25">
      <c r="A540" s="10" t="str">
        <f>Raw_Data!A540</f>
        <v>iPhone Original 20W C Type Fast PD Charger Compatible with I-Phone13/13 mini/13pro/13 pro Max I-Phone 12/12 Pro/12mini/12 Pro Max, I-Phone11/11 Pro/11 Pro Max 2020 (Only Adapter)</v>
      </c>
      <c r="B540" s="10" t="str">
        <f>IFERROR(TRIM(LEFT(Raw_Data!A540,FIND(" ",Raw_Data!A540)-1)),Raw_Data!A540)</f>
        <v>iPhone</v>
      </c>
      <c r="C540" s="10" t="str">
        <f>IFERROR(LEFT(Raw_Data!B540,FIND("|",Raw_Data!B540)-1),Raw_Data!B540)</f>
        <v>Electronics</v>
      </c>
      <c r="D540" s="11">
        <f>IFERROR(VALUE(SUBSTITUTE(SUBSTITUTE(TRIM(Raw_Data!C540),"₹",""),",","")),"")</f>
        <v>799</v>
      </c>
      <c r="E540" s="11">
        <f>IFERROR(VALUE(SUBSTITUTE(SUBSTITUTE(TRIM(Raw_Data!D540),"₹",""),",","")),"")</f>
        <v>3990</v>
      </c>
      <c r="F540" s="12">
        <f>IFERROR(VALUE(SUBSTITUTE(Raw_Data!E540,"%",""))/100,"")</f>
        <v>0.8</v>
      </c>
      <c r="G540" s="13">
        <f>IFERROR(VALUE(Raw_Data!F540),"")</f>
        <v>3.8</v>
      </c>
      <c r="H540" s="14">
        <f>IFERROR(VALUE(SUBSTITUTE(Raw_Data!G540,",","")),"")</f>
        <v>119</v>
      </c>
      <c r="I540" s="11">
        <f t="shared" si="32"/>
        <v>3191</v>
      </c>
      <c r="J540" s="11">
        <f t="shared" si="33"/>
        <v>95081</v>
      </c>
      <c r="K540" s="1">
        <f t="shared" si="34"/>
        <v>119.00005400000001</v>
      </c>
      <c r="L540" s="15">
        <f t="shared" si="35"/>
        <v>0.80005400000000004</v>
      </c>
    </row>
    <row r="541" spans="1:12" ht="15" customHeight="1" x14ac:dyDescent="0.25">
      <c r="A541" s="10" t="str">
        <f>Raw_Data!A541</f>
        <v>LIRAMARK Webcam Cover Slide, Ultra Thin Laptop Camera Cover Slide Blocker for Computer MacBook Pro iMac PC Tablet (Pack of 3)</v>
      </c>
      <c r="B541" s="10" t="str">
        <f>IFERROR(TRIM(LEFT(Raw_Data!A541,FIND(" ",Raw_Data!A541)-1)),Raw_Data!A541)</f>
        <v>LIRAMARK</v>
      </c>
      <c r="C541" s="10" t="str">
        <f>IFERROR(LEFT(Raw_Data!B541,FIND("|",Raw_Data!B541)-1),Raw_Data!B541)</f>
        <v>Computers&amp;Accessories</v>
      </c>
      <c r="D541" s="11">
        <f>IFERROR(VALUE(SUBSTITUTE(SUBSTITUTE(TRIM(Raw_Data!C541),"₹",""),",","")),"")</f>
        <v>149</v>
      </c>
      <c r="E541" s="11">
        <f>IFERROR(VALUE(SUBSTITUTE(SUBSTITUTE(TRIM(Raw_Data!D541),"₹",""),",","")),"")</f>
        <v>149</v>
      </c>
      <c r="F541" s="12">
        <f>IFERROR(VALUE(SUBSTITUTE(Raw_Data!E541,"%",""))/100,"")</f>
        <v>0</v>
      </c>
      <c r="G541" s="13">
        <f>IFERROR(VALUE(Raw_Data!F541),"")</f>
        <v>4.3</v>
      </c>
      <c r="H541" s="14">
        <f>IFERROR(VALUE(SUBSTITUTE(Raw_Data!G541,",","")),"")</f>
        <v>10833</v>
      </c>
      <c r="I541" s="11">
        <f t="shared" si="32"/>
        <v>0</v>
      </c>
      <c r="J541" s="11">
        <f t="shared" si="33"/>
        <v>1614117</v>
      </c>
      <c r="K541" s="1">
        <f t="shared" si="34"/>
        <v>10833.000054100001</v>
      </c>
      <c r="L541" s="15">
        <f t="shared" si="35"/>
        <v>5.41E-5</v>
      </c>
    </row>
    <row r="542" spans="1:12" ht="15" customHeight="1" x14ac:dyDescent="0.25">
      <c r="A542" s="10" t="str">
        <f>Raw_Data!A542</f>
        <v>AmazonBasics New Release Nylon USB-A to Lightning Cable Cord, Fast Charging MFi Certified Charger for Apple iPhone, iPad (6-Ft, Rose Gold)</v>
      </c>
      <c r="B542" s="10" t="str">
        <f>IFERROR(TRIM(LEFT(Raw_Data!A542,FIND(" ",Raw_Data!A542)-1)),Raw_Data!A542)</f>
        <v>AmazonBasics</v>
      </c>
      <c r="C542" s="10" t="str">
        <f>IFERROR(LEFT(Raw_Data!B542,FIND("|",Raw_Data!B542)-1),Raw_Data!B542)</f>
        <v>Computers&amp;Accessories</v>
      </c>
      <c r="D542" s="11">
        <f>IFERROR(VALUE(SUBSTITUTE(SUBSTITUTE(TRIM(Raw_Data!C542),"₹",""),",","")),"")</f>
        <v>799</v>
      </c>
      <c r="E542" s="11">
        <f>IFERROR(VALUE(SUBSTITUTE(SUBSTITUTE(TRIM(Raw_Data!D542),"₹",""),",","")),"")</f>
        <v>2100</v>
      </c>
      <c r="F542" s="12">
        <f>IFERROR(VALUE(SUBSTITUTE(Raw_Data!E542,"%",""))/100,"")</f>
        <v>0.62</v>
      </c>
      <c r="G542" s="13">
        <f>IFERROR(VALUE(Raw_Data!F542),"")</f>
        <v>4.3</v>
      </c>
      <c r="H542" s="14">
        <f>IFERROR(VALUE(SUBSTITUTE(Raw_Data!G542,",","")),"")</f>
        <v>8188</v>
      </c>
      <c r="I542" s="11">
        <f t="shared" si="32"/>
        <v>1301</v>
      </c>
      <c r="J542" s="11">
        <f t="shared" si="33"/>
        <v>6542212</v>
      </c>
      <c r="K542" s="1">
        <f t="shared" si="34"/>
        <v>8188.0000541999998</v>
      </c>
      <c r="L542" s="15">
        <f t="shared" si="35"/>
        <v>0.6200542</v>
      </c>
    </row>
    <row r="543" spans="1:12" ht="15" customHeight="1" x14ac:dyDescent="0.25">
      <c r="A543" s="10" t="str">
        <f>Raw_Data!A543</f>
        <v>Nokia 8210 4G Volte keypad Phone with Dual SIM, Big Display, inbuilt MP3 Player &amp; Wireless FM Radio | Blue</v>
      </c>
      <c r="B543" s="10" t="str">
        <f>IFERROR(TRIM(LEFT(Raw_Data!A543,FIND(" ",Raw_Data!A543)-1)),Raw_Data!A543)</f>
        <v>Nokia</v>
      </c>
      <c r="C543" s="10" t="str">
        <f>IFERROR(LEFT(Raw_Data!B543,FIND("|",Raw_Data!B543)-1),Raw_Data!B543)</f>
        <v>Electronics</v>
      </c>
      <c r="D543" s="11">
        <f>IFERROR(VALUE(SUBSTITUTE(SUBSTITUTE(TRIM(Raw_Data!C543),"₹",""),",","")),"")</f>
        <v>3799</v>
      </c>
      <c r="E543" s="11">
        <f>IFERROR(VALUE(SUBSTITUTE(SUBSTITUTE(TRIM(Raw_Data!D543),"₹",""),",","")),"")</f>
        <v>5299</v>
      </c>
      <c r="F543" s="12">
        <f>IFERROR(VALUE(SUBSTITUTE(Raw_Data!E543,"%",""))/100,"")</f>
        <v>0.28000000000000003</v>
      </c>
      <c r="G543" s="13">
        <f>IFERROR(VALUE(Raw_Data!F543),"")</f>
        <v>3.5</v>
      </c>
      <c r="H543" s="14">
        <f>IFERROR(VALUE(SUBSTITUTE(Raw_Data!G543,",","")),"")</f>
        <v>1641</v>
      </c>
      <c r="I543" s="11">
        <f t="shared" si="32"/>
        <v>1500</v>
      </c>
      <c r="J543" s="11">
        <f t="shared" si="33"/>
        <v>6234159</v>
      </c>
      <c r="K543" s="1">
        <f t="shared" si="34"/>
        <v>1641.0000543000001</v>
      </c>
      <c r="L543" s="15">
        <f t="shared" si="35"/>
        <v>0.28005430000000003</v>
      </c>
    </row>
    <row r="544" spans="1:12" ht="15" customHeight="1" x14ac:dyDescent="0.25">
      <c r="A544" s="10" t="str">
        <f>Raw_Data!A544</f>
        <v>Sounce Protective Case Cover Compatible Boat Xtend Overall Protective Case TPU HD Clear Ultra-Thin Cover with Unbreakable Screen Guard</v>
      </c>
      <c r="B544" s="10" t="str">
        <f>IFERROR(TRIM(LEFT(Raw_Data!A544,FIND(" ",Raw_Data!A544)-1)),Raw_Data!A544)</f>
        <v>Sounce</v>
      </c>
      <c r="C544" s="10" t="str">
        <f>IFERROR(LEFT(Raw_Data!B544,FIND("|",Raw_Data!B544)-1),Raw_Data!B544)</f>
        <v>Electronics</v>
      </c>
      <c r="D544" s="11">
        <f>IFERROR(VALUE(SUBSTITUTE(SUBSTITUTE(TRIM(Raw_Data!C544),"₹",""),",","")),"")</f>
        <v>199</v>
      </c>
      <c r="E544" s="11">
        <f>IFERROR(VALUE(SUBSTITUTE(SUBSTITUTE(TRIM(Raw_Data!D544),"₹",""),",","")),"")</f>
        <v>1899</v>
      </c>
      <c r="F544" s="12">
        <f>IFERROR(VALUE(SUBSTITUTE(Raw_Data!E544,"%",""))/100,"")</f>
        <v>0.9</v>
      </c>
      <c r="G544" s="13">
        <f>IFERROR(VALUE(Raw_Data!F544),"")</f>
        <v>4</v>
      </c>
      <c r="H544" s="14">
        <f>IFERROR(VALUE(SUBSTITUTE(Raw_Data!G544,",","")),"")</f>
        <v>4740</v>
      </c>
      <c r="I544" s="11">
        <f t="shared" si="32"/>
        <v>1700</v>
      </c>
      <c r="J544" s="11">
        <f t="shared" si="33"/>
        <v>943260</v>
      </c>
      <c r="K544" s="1">
        <f t="shared" si="34"/>
        <v>4740.0000544000004</v>
      </c>
      <c r="L544" s="15">
        <f t="shared" si="35"/>
        <v>0.90005440000000003</v>
      </c>
    </row>
    <row r="545" spans="1:12" ht="15" customHeight="1" x14ac:dyDescent="0.25">
      <c r="A545" s="10" t="str">
        <f>Raw_Data!A545</f>
        <v>Samsung Galaxy M53 5G (Deep Ocean Blue, 6GB, 128GB Storage) | 108MP | sAmoled+ 120Hz | 12GB RAM with RAM Plus | Travel Adapter to be Purchased Separately</v>
      </c>
      <c r="B545" s="10" t="str">
        <f>IFERROR(TRIM(LEFT(Raw_Data!A545,FIND(" ",Raw_Data!A545)-1)),Raw_Data!A545)</f>
        <v>Samsung</v>
      </c>
      <c r="C545" s="10" t="str">
        <f>IFERROR(LEFT(Raw_Data!B545,FIND("|",Raw_Data!B545)-1),Raw_Data!B545)</f>
        <v>Electronics</v>
      </c>
      <c r="D545" s="11">
        <f>IFERROR(VALUE(SUBSTITUTE(SUBSTITUTE(TRIM(Raw_Data!C545),"₹",""),",","")),"")</f>
        <v>23999</v>
      </c>
      <c r="E545" s="11">
        <f>IFERROR(VALUE(SUBSTITUTE(SUBSTITUTE(TRIM(Raw_Data!D545),"₹",""),",","")),"")</f>
        <v>32999</v>
      </c>
      <c r="F545" s="12">
        <f>IFERROR(VALUE(SUBSTITUTE(Raw_Data!E545,"%",""))/100,"")</f>
        <v>0.27</v>
      </c>
      <c r="G545" s="13">
        <f>IFERROR(VALUE(Raw_Data!F545),"")</f>
        <v>3.9</v>
      </c>
      <c r="H545" s="14">
        <f>IFERROR(VALUE(SUBSTITUTE(Raw_Data!G545,",","")),"")</f>
        <v>8866</v>
      </c>
      <c r="I545" s="11">
        <f t="shared" si="32"/>
        <v>9000</v>
      </c>
      <c r="J545" s="11">
        <f t="shared" si="33"/>
        <v>212775134</v>
      </c>
      <c r="K545" s="1">
        <f t="shared" si="34"/>
        <v>8866.0000545000003</v>
      </c>
      <c r="L545" s="15">
        <f t="shared" si="35"/>
        <v>0.27005450000000003</v>
      </c>
    </row>
    <row r="546" spans="1:12" ht="15" customHeight="1" x14ac:dyDescent="0.25">
      <c r="A546" s="10" t="str">
        <f>Raw_Data!A546</f>
        <v>iQOO 9 SE 5G (Sunset Sierra, 8GB RAM, 128GB Storage) | Qualcomm Snapdragon 888 | 66W Flash Charge</v>
      </c>
      <c r="B546" s="10" t="str">
        <f>IFERROR(TRIM(LEFT(Raw_Data!A546,FIND(" ",Raw_Data!A546)-1)),Raw_Data!A546)</f>
        <v>iQOO</v>
      </c>
      <c r="C546" s="10" t="str">
        <f>IFERROR(LEFT(Raw_Data!B546,FIND("|",Raw_Data!B546)-1),Raw_Data!B546)</f>
        <v>Electronics</v>
      </c>
      <c r="D546" s="11">
        <f>IFERROR(VALUE(SUBSTITUTE(SUBSTITUTE(TRIM(Raw_Data!C546),"₹",""),",","")),"")</f>
        <v>29990</v>
      </c>
      <c r="E546" s="11">
        <f>IFERROR(VALUE(SUBSTITUTE(SUBSTITUTE(TRIM(Raw_Data!D546),"₹",""),",","")),"")</f>
        <v>39990</v>
      </c>
      <c r="F546" s="12">
        <f>IFERROR(VALUE(SUBSTITUTE(Raw_Data!E546,"%",""))/100,"")</f>
        <v>0.25</v>
      </c>
      <c r="G546" s="13">
        <f>IFERROR(VALUE(Raw_Data!F546),"")</f>
        <v>4.3</v>
      </c>
      <c r="H546" s="14">
        <f>IFERROR(VALUE(SUBSTITUTE(Raw_Data!G546,",","")),"")</f>
        <v>8399</v>
      </c>
      <c r="I546" s="11">
        <f t="shared" si="32"/>
        <v>10000</v>
      </c>
      <c r="J546" s="11">
        <f t="shared" si="33"/>
        <v>251886010</v>
      </c>
      <c r="K546" s="1">
        <f t="shared" si="34"/>
        <v>8399.0000545999992</v>
      </c>
      <c r="L546" s="15">
        <f t="shared" si="35"/>
        <v>0.25005460000000002</v>
      </c>
    </row>
    <row r="547" spans="1:12" ht="15" customHeight="1" x14ac:dyDescent="0.25">
      <c r="A547" s="10" t="str">
        <f>Raw_Data!A547</f>
        <v>SHREENOVA ID116 Plus Bluetooth Fitness Smart Watch for Men Women and Kids Activity Tracker (Black)</v>
      </c>
      <c r="B547" s="10" t="str">
        <f>IFERROR(TRIM(LEFT(Raw_Data!A547,FIND(" ",Raw_Data!A547)-1)),Raw_Data!A547)</f>
        <v>SHREENOVA</v>
      </c>
      <c r="C547" s="10" t="str">
        <f>IFERROR(LEFT(Raw_Data!B547,FIND("|",Raw_Data!B547)-1),Raw_Data!B547)</f>
        <v>Electronics</v>
      </c>
      <c r="D547" s="11">
        <f>IFERROR(VALUE(SUBSTITUTE(SUBSTITUTE(TRIM(Raw_Data!C547),"₹",""),",","")),"")</f>
        <v>281</v>
      </c>
      <c r="E547" s="11">
        <f>IFERROR(VALUE(SUBSTITUTE(SUBSTITUTE(TRIM(Raw_Data!D547),"₹",""),",","")),"")</f>
        <v>1999</v>
      </c>
      <c r="F547" s="12">
        <f>IFERROR(VALUE(SUBSTITUTE(Raw_Data!E547,"%",""))/100,"")</f>
        <v>0.86</v>
      </c>
      <c r="G547" s="13">
        <f>IFERROR(VALUE(Raw_Data!F547),"")</f>
        <v>2.8</v>
      </c>
      <c r="H547" s="14">
        <f>IFERROR(VALUE(SUBSTITUTE(Raw_Data!G547,",","")),"")</f>
        <v>87</v>
      </c>
      <c r="I547" s="11">
        <f t="shared" si="32"/>
        <v>1718</v>
      </c>
      <c r="J547" s="11">
        <f t="shared" si="33"/>
        <v>24447</v>
      </c>
      <c r="K547" s="1">
        <f t="shared" si="34"/>
        <v>87.000054700000007</v>
      </c>
      <c r="L547" s="15">
        <f t="shared" si="35"/>
        <v>0.86005469999999995</v>
      </c>
    </row>
    <row r="548" spans="1:12" ht="15" customHeight="1" x14ac:dyDescent="0.25">
      <c r="A548" s="10" t="str">
        <f>Raw_Data!A548</f>
        <v>POCO C31 (Shadow Gray, 64 GB) (4 GB RAM)</v>
      </c>
      <c r="B548" s="10" t="str">
        <f>IFERROR(TRIM(LEFT(Raw_Data!A548,FIND(" ",Raw_Data!A548)-1)),Raw_Data!A548)</f>
        <v>POCO</v>
      </c>
      <c r="C548" s="10" t="str">
        <f>IFERROR(LEFT(Raw_Data!B548,FIND("|",Raw_Data!B548)-1),Raw_Data!B548)</f>
        <v>Electronics</v>
      </c>
      <c r="D548" s="11">
        <f>IFERROR(VALUE(SUBSTITUTE(SUBSTITUTE(TRIM(Raw_Data!C548),"₹",""),",","")),"")</f>
        <v>7998</v>
      </c>
      <c r="E548" s="11">
        <f>IFERROR(VALUE(SUBSTITUTE(SUBSTITUTE(TRIM(Raw_Data!D548),"₹",""),",","")),"")</f>
        <v>11999</v>
      </c>
      <c r="F548" s="12">
        <f>IFERROR(VALUE(SUBSTITUTE(Raw_Data!E548,"%",""))/100,"")</f>
        <v>0.33</v>
      </c>
      <c r="G548" s="13">
        <f>IFERROR(VALUE(Raw_Data!F548),"")</f>
        <v>3.8</v>
      </c>
      <c r="H548" s="14">
        <f>IFERROR(VALUE(SUBSTITUTE(Raw_Data!G548,",","")),"")</f>
        <v>125</v>
      </c>
      <c r="I548" s="11">
        <f t="shared" si="32"/>
        <v>4001</v>
      </c>
      <c r="J548" s="11">
        <f t="shared" si="33"/>
        <v>999750</v>
      </c>
      <c r="K548" s="1">
        <f t="shared" si="34"/>
        <v>125.0000548</v>
      </c>
      <c r="L548" s="15">
        <f t="shared" si="35"/>
        <v>0.33005480000000004</v>
      </c>
    </row>
    <row r="549" spans="1:12" ht="15" customHeight="1" x14ac:dyDescent="0.25">
      <c r="A549" s="10" t="str">
        <f>Raw_Data!A549</f>
        <v>Noise_Colorfit Smart Watch Charger 2 Pin USB Fast Charger Magnetic Charging Cable Adapter (Smart Watch Charger 2 pin)</v>
      </c>
      <c r="B549" s="10" t="str">
        <f>IFERROR(TRIM(LEFT(Raw_Data!A549,FIND(" ",Raw_Data!A549)-1)),Raw_Data!A549)</f>
        <v>Noise_Colorfit</v>
      </c>
      <c r="C549" s="10" t="str">
        <f>IFERROR(LEFT(Raw_Data!B549,FIND("|",Raw_Data!B549)-1),Raw_Data!B549)</f>
        <v>Electronics</v>
      </c>
      <c r="D549" s="11">
        <f>IFERROR(VALUE(SUBSTITUTE(SUBSTITUTE(TRIM(Raw_Data!C549),"₹",""),",","")),"")</f>
        <v>249</v>
      </c>
      <c r="E549" s="11">
        <f>IFERROR(VALUE(SUBSTITUTE(SUBSTITUTE(TRIM(Raw_Data!D549),"₹",""),",","")),"")</f>
        <v>999</v>
      </c>
      <c r="F549" s="12">
        <f>IFERROR(VALUE(SUBSTITUTE(Raw_Data!E549,"%",""))/100,"")</f>
        <v>0.75</v>
      </c>
      <c r="G549" s="13">
        <f>IFERROR(VALUE(Raw_Data!F549),"")</f>
        <v>4.5</v>
      </c>
      <c r="H549" s="14">
        <f>IFERROR(VALUE(SUBSTITUTE(Raw_Data!G549,",","")),"")</f>
        <v>38</v>
      </c>
      <c r="I549" s="11">
        <f t="shared" si="32"/>
        <v>750</v>
      </c>
      <c r="J549" s="11">
        <f t="shared" si="33"/>
        <v>9462</v>
      </c>
      <c r="K549" s="1">
        <f t="shared" si="34"/>
        <v>38.000054900000002</v>
      </c>
      <c r="L549" s="15">
        <f t="shared" si="35"/>
        <v>0.75005489999999997</v>
      </c>
    </row>
    <row r="550" spans="1:12" ht="15" customHeight="1" x14ac:dyDescent="0.25">
      <c r="A550" s="10" t="str">
        <f>Raw_Data!A550</f>
        <v>POPIO Tempered Glass Screen Protector Compatible for iPhone 12 / iPhone 12 Pro with Case Friendly Edge to Edge Coverage and Easy Installation kit, Pack of 1</v>
      </c>
      <c r="B550" s="10" t="str">
        <f>IFERROR(TRIM(LEFT(Raw_Data!A550,FIND(" ",Raw_Data!A550)-1)),Raw_Data!A550)</f>
        <v>POPIO</v>
      </c>
      <c r="C550" s="10" t="str">
        <f>IFERROR(LEFT(Raw_Data!B550,FIND("|",Raw_Data!B550)-1),Raw_Data!B550)</f>
        <v>Electronics</v>
      </c>
      <c r="D550" s="11">
        <f>IFERROR(VALUE(SUBSTITUTE(SUBSTITUTE(TRIM(Raw_Data!C550),"₹",""),",","")),"")</f>
        <v>299</v>
      </c>
      <c r="E550" s="11">
        <f>IFERROR(VALUE(SUBSTITUTE(SUBSTITUTE(TRIM(Raw_Data!D550),"₹",""),",","")),"")</f>
        <v>599</v>
      </c>
      <c r="F550" s="12">
        <f>IFERROR(VALUE(SUBSTITUTE(Raw_Data!E550,"%",""))/100,"")</f>
        <v>0.5</v>
      </c>
      <c r="G550" s="13">
        <f>IFERROR(VALUE(Raw_Data!F550),"")</f>
        <v>4.3</v>
      </c>
      <c r="H550" s="14">
        <f>IFERROR(VALUE(SUBSTITUTE(Raw_Data!G550,",","")),"")</f>
        <v>4674</v>
      </c>
      <c r="I550" s="11">
        <f t="shared" si="32"/>
        <v>300</v>
      </c>
      <c r="J550" s="11">
        <f t="shared" si="33"/>
        <v>1397526</v>
      </c>
      <c r="K550" s="1">
        <f t="shared" si="34"/>
        <v>4674.0000550000004</v>
      </c>
      <c r="L550" s="15">
        <f t="shared" si="35"/>
        <v>0.50005500000000003</v>
      </c>
    </row>
    <row r="551" spans="1:12" ht="15" customHeight="1" x14ac:dyDescent="0.25">
      <c r="A551" s="10" t="str">
        <f>Raw_Data!A551</f>
        <v>10WeRun Id-116 Bluetooth Smartwatch Wireless Fitness Band for Boys, Girls, Men, Women &amp; Kids | Sports Gym Watch for All Smart Phones I Heart Rate and spo2 Monitor</v>
      </c>
      <c r="B551" s="10" t="str">
        <f>IFERROR(TRIM(LEFT(Raw_Data!A551,FIND(" ",Raw_Data!A551)-1)),Raw_Data!A551)</f>
        <v>10WeRun</v>
      </c>
      <c r="C551" s="10" t="str">
        <f>IFERROR(LEFT(Raw_Data!B551,FIND("|",Raw_Data!B551)-1),Raw_Data!B551)</f>
        <v>Electronics</v>
      </c>
      <c r="D551" s="11">
        <f>IFERROR(VALUE(SUBSTITUTE(SUBSTITUTE(TRIM(Raw_Data!C551),"₹",""),",","")),"")</f>
        <v>499</v>
      </c>
      <c r="E551" s="11">
        <f>IFERROR(VALUE(SUBSTITUTE(SUBSTITUTE(TRIM(Raw_Data!D551),"₹",""),",","")),"")</f>
        <v>1899</v>
      </c>
      <c r="F551" s="12">
        <f>IFERROR(VALUE(SUBSTITUTE(Raw_Data!E551,"%",""))/100,"")</f>
        <v>0.74</v>
      </c>
      <c r="G551" s="13">
        <f>IFERROR(VALUE(Raw_Data!F551),"")</f>
        <v>4.0999999999999996</v>
      </c>
      <c r="H551" s="14">
        <f>IFERROR(VALUE(SUBSTITUTE(Raw_Data!G551,",","")),"")</f>
        <v>412</v>
      </c>
      <c r="I551" s="11">
        <f t="shared" si="32"/>
        <v>1400</v>
      </c>
      <c r="J551" s="11">
        <f t="shared" si="33"/>
        <v>205588</v>
      </c>
      <c r="K551" s="1">
        <f t="shared" si="34"/>
        <v>412.0000551</v>
      </c>
      <c r="L551" s="15">
        <f t="shared" si="35"/>
        <v>0.74005509999999997</v>
      </c>
    </row>
    <row r="552" spans="1:12" ht="15" customHeight="1" x14ac:dyDescent="0.25">
      <c r="A552" s="10" t="str">
        <f>Raw_Data!A552</f>
        <v>Tokdis MX-1 Pro Bluetooth Calling Smartwatch - 1.69” LCD Display, Multiple Watch Faces, Sleep Monitor, Heart &amp; SpO2 Monitoring, Multiple Sports Modes, Water Resistant</v>
      </c>
      <c r="B552" s="10" t="str">
        <f>IFERROR(TRIM(LEFT(Raw_Data!A552,FIND(" ",Raw_Data!A552)-1)),Raw_Data!A552)</f>
        <v>Tokdis</v>
      </c>
      <c r="C552" s="10" t="str">
        <f>IFERROR(LEFT(Raw_Data!B552,FIND("|",Raw_Data!B552)-1),Raw_Data!B552)</f>
        <v>Electronics</v>
      </c>
      <c r="D552" s="11">
        <f>IFERROR(VALUE(SUBSTITUTE(SUBSTITUTE(TRIM(Raw_Data!C552),"₹",""),",","")),"")</f>
        <v>899</v>
      </c>
      <c r="E552" s="11">
        <f>IFERROR(VALUE(SUBSTITUTE(SUBSTITUTE(TRIM(Raw_Data!D552),"₹",""),",","")),"")</f>
        <v>3499</v>
      </c>
      <c r="F552" s="12">
        <f>IFERROR(VALUE(SUBSTITUTE(Raw_Data!E552,"%",""))/100,"")</f>
        <v>0.74</v>
      </c>
      <c r="G552" s="13">
        <f>IFERROR(VALUE(Raw_Data!F552),"")</f>
        <v>3</v>
      </c>
      <c r="H552" s="14">
        <f>IFERROR(VALUE(SUBSTITUTE(Raw_Data!G552,",","")),"")</f>
        <v>681</v>
      </c>
      <c r="I552" s="11">
        <f t="shared" si="32"/>
        <v>2600</v>
      </c>
      <c r="J552" s="11">
        <f t="shared" si="33"/>
        <v>612219</v>
      </c>
      <c r="K552" s="1">
        <f t="shared" si="34"/>
        <v>681.00005520000002</v>
      </c>
      <c r="L552" s="15">
        <f t="shared" si="35"/>
        <v>0.74005520000000002</v>
      </c>
    </row>
    <row r="553" spans="1:12" ht="15" customHeight="1" x14ac:dyDescent="0.25">
      <c r="A553" s="10" t="str">
        <f>Raw_Data!A553</f>
        <v>URBN 20000 mAh lithium_polymer Power Bank with 12 Watt Fast Charging, Camo</v>
      </c>
      <c r="B553" s="10" t="str">
        <f>IFERROR(TRIM(LEFT(Raw_Data!A553,FIND(" ",Raw_Data!A553)-1)),Raw_Data!A553)</f>
        <v>URBN</v>
      </c>
      <c r="C553" s="10" t="str">
        <f>IFERROR(LEFT(Raw_Data!B553,FIND("|",Raw_Data!B553)-1),Raw_Data!B553)</f>
        <v>Electronics</v>
      </c>
      <c r="D553" s="11">
        <f>IFERROR(VALUE(SUBSTITUTE(SUBSTITUTE(TRIM(Raw_Data!C553),"₹",""),",","")),"")</f>
        <v>1599</v>
      </c>
      <c r="E553" s="11">
        <f>IFERROR(VALUE(SUBSTITUTE(SUBSTITUTE(TRIM(Raw_Data!D553),"₹",""),",","")),"")</f>
        <v>3499</v>
      </c>
      <c r="F553" s="12">
        <f>IFERROR(VALUE(SUBSTITUTE(Raw_Data!E553,"%",""))/100,"")</f>
        <v>0.54</v>
      </c>
      <c r="G553" s="13">
        <f>IFERROR(VALUE(Raw_Data!F553),"")</f>
        <v>4</v>
      </c>
      <c r="H553" s="14">
        <f>IFERROR(VALUE(SUBSTITUTE(Raw_Data!G553,",","")),"")</f>
        <v>36384</v>
      </c>
      <c r="I553" s="11">
        <f t="shared" si="32"/>
        <v>1900</v>
      </c>
      <c r="J553" s="11">
        <f t="shared" si="33"/>
        <v>58178016</v>
      </c>
      <c r="K553" s="1">
        <f t="shared" si="34"/>
        <v>36384.000055299999</v>
      </c>
      <c r="L553" s="15">
        <f t="shared" si="35"/>
        <v>0.54005530000000002</v>
      </c>
    </row>
    <row r="554" spans="1:12" ht="15" customHeight="1" x14ac:dyDescent="0.25">
      <c r="A554" s="10" t="str">
        <f>Raw_Data!A554</f>
        <v>Sounce Gold Plated 3.5 mm Headphone Splitter for Computer 2 Male to 1 Female 3.5mm Headphone Mic Audio Y Splitter Cable Smartphone Headset to PC Adapter – (Black,20cm)</v>
      </c>
      <c r="B554" s="10" t="str">
        <f>IFERROR(TRIM(LEFT(Raw_Data!A554,FIND(" ",Raw_Data!A554)-1)),Raw_Data!A554)</f>
        <v>Sounce</v>
      </c>
      <c r="C554" s="10" t="str">
        <f>IFERROR(LEFT(Raw_Data!B554,FIND("|",Raw_Data!B554)-1),Raw_Data!B554)</f>
        <v>Electronics</v>
      </c>
      <c r="D554" s="11">
        <f>IFERROR(VALUE(SUBSTITUTE(SUBSTITUTE(TRIM(Raw_Data!C554),"₹",""),",","")),"")</f>
        <v>120</v>
      </c>
      <c r="E554" s="11">
        <f>IFERROR(VALUE(SUBSTITUTE(SUBSTITUTE(TRIM(Raw_Data!D554),"₹",""),",","")),"")</f>
        <v>999</v>
      </c>
      <c r="F554" s="12">
        <f>IFERROR(VALUE(SUBSTITUTE(Raw_Data!E554,"%",""))/100,"")</f>
        <v>0.88</v>
      </c>
      <c r="G554" s="13">
        <f>IFERROR(VALUE(Raw_Data!F554),"")</f>
        <v>3.9</v>
      </c>
      <c r="H554" s="14">
        <f>IFERROR(VALUE(SUBSTITUTE(Raw_Data!G554,",","")),"")</f>
        <v>6491</v>
      </c>
      <c r="I554" s="11">
        <f t="shared" si="32"/>
        <v>879</v>
      </c>
      <c r="J554" s="11">
        <f t="shared" si="33"/>
        <v>778920</v>
      </c>
      <c r="K554" s="1">
        <f t="shared" si="34"/>
        <v>6491.0000553999998</v>
      </c>
      <c r="L554" s="15">
        <f t="shared" si="35"/>
        <v>0.88005540000000004</v>
      </c>
    </row>
    <row r="555" spans="1:12" ht="15" customHeight="1" x14ac:dyDescent="0.25">
      <c r="A555" s="10" t="str">
        <f>Raw_Data!A555</f>
        <v>Noise ColorFit Ultra 2 Buzz 1.78" AMOLED Bluetooth Calling Watch with 368*448px Always On Display, Premium Metallic Finish, 100+ Watch Faces, 100+ Sports Modes, Health Suite (Jet Black)</v>
      </c>
      <c r="B555" s="10" t="str">
        <f>IFERROR(TRIM(LEFT(Raw_Data!A555,FIND(" ",Raw_Data!A555)-1)),Raw_Data!A555)</f>
        <v>Noise</v>
      </c>
      <c r="C555" s="10" t="str">
        <f>IFERROR(LEFT(Raw_Data!B555,FIND("|",Raw_Data!B555)-1),Raw_Data!B555)</f>
        <v>Electronics</v>
      </c>
      <c r="D555" s="11">
        <f>IFERROR(VALUE(SUBSTITUTE(SUBSTITUTE(TRIM(Raw_Data!C555),"₹",""),",","")),"")</f>
        <v>3999</v>
      </c>
      <c r="E555" s="11">
        <f>IFERROR(VALUE(SUBSTITUTE(SUBSTITUTE(TRIM(Raw_Data!D555),"₹",""),",","")),"")</f>
        <v>6999</v>
      </c>
      <c r="F555" s="12">
        <f>IFERROR(VALUE(SUBSTITUTE(Raw_Data!E555,"%",""))/100,"")</f>
        <v>0.43</v>
      </c>
      <c r="G555" s="13">
        <f>IFERROR(VALUE(Raw_Data!F555),"")</f>
        <v>4.0999999999999996</v>
      </c>
      <c r="H555" s="14">
        <f>IFERROR(VALUE(SUBSTITUTE(Raw_Data!G555,",","")),"")</f>
        <v>10229</v>
      </c>
      <c r="I555" s="11">
        <f t="shared" si="32"/>
        <v>3000</v>
      </c>
      <c r="J555" s="11">
        <f t="shared" si="33"/>
        <v>40905771</v>
      </c>
      <c r="K555" s="1">
        <f t="shared" si="34"/>
        <v>10229.000055500001</v>
      </c>
      <c r="L555" s="15">
        <f t="shared" si="35"/>
        <v>0.43005549999999998</v>
      </c>
    </row>
    <row r="556" spans="1:12" ht="15" customHeight="1" x14ac:dyDescent="0.25">
      <c r="A556" s="10" t="str">
        <f>Raw_Data!A556</f>
        <v>Redmi Note 11 (Horizon Blue, 6GB RAM, 64GB Storage)|90Hz FHD+ AMOLED Display | Qualcomm® Snapdragon™ 680-6nm | 33W Charger Included</v>
      </c>
      <c r="B556" s="10" t="str">
        <f>IFERROR(TRIM(LEFT(Raw_Data!A556,FIND(" ",Raw_Data!A556)-1)),Raw_Data!A556)</f>
        <v>Redmi</v>
      </c>
      <c r="C556" s="10" t="str">
        <f>IFERROR(LEFT(Raw_Data!B556,FIND("|",Raw_Data!B556)-1),Raw_Data!B556)</f>
        <v>Electronics</v>
      </c>
      <c r="D556" s="11">
        <f>IFERROR(VALUE(SUBSTITUTE(SUBSTITUTE(TRIM(Raw_Data!C556),"₹",""),",","")),"")</f>
        <v>12999</v>
      </c>
      <c r="E556" s="11">
        <f>IFERROR(VALUE(SUBSTITUTE(SUBSTITUTE(TRIM(Raw_Data!D556),"₹",""),",","")),"")</f>
        <v>18999</v>
      </c>
      <c r="F556" s="12">
        <f>IFERROR(VALUE(SUBSTITUTE(Raw_Data!E556,"%",""))/100,"")</f>
        <v>0.32</v>
      </c>
      <c r="G556" s="13">
        <f>IFERROR(VALUE(Raw_Data!F556),"")</f>
        <v>4.0999999999999996</v>
      </c>
      <c r="H556" s="14">
        <f>IFERROR(VALUE(SUBSTITUTE(Raw_Data!G556,",","")),"")</f>
        <v>50772</v>
      </c>
      <c r="I556" s="11">
        <f t="shared" si="32"/>
        <v>6000</v>
      </c>
      <c r="J556" s="11">
        <f t="shared" si="33"/>
        <v>659985228</v>
      </c>
      <c r="K556" s="1">
        <f t="shared" si="34"/>
        <v>50772.000055600001</v>
      </c>
      <c r="L556" s="15">
        <f t="shared" si="35"/>
        <v>0.3200556</v>
      </c>
    </row>
    <row r="557" spans="1:12" ht="15" customHeight="1" x14ac:dyDescent="0.25">
      <c r="A557" s="10" t="str">
        <f>Raw_Data!A557</f>
        <v>Spigen Ultra Hybrid Back Cover Case Compatible with iPhone 14 Pro max (TPU + Poly Carbonate | Crystal Clear)</v>
      </c>
      <c r="B557" s="10" t="str">
        <f>IFERROR(TRIM(LEFT(Raw_Data!A557,FIND(" ",Raw_Data!A557)-1)),Raw_Data!A557)</f>
        <v>Spigen</v>
      </c>
      <c r="C557" s="10" t="str">
        <f>IFERROR(LEFT(Raw_Data!B557,FIND("|",Raw_Data!B557)-1),Raw_Data!B557)</f>
        <v>Electronics</v>
      </c>
      <c r="D557" s="11">
        <f>IFERROR(VALUE(SUBSTITUTE(SUBSTITUTE(TRIM(Raw_Data!C557),"₹",""),",","")),"")</f>
        <v>1599</v>
      </c>
      <c r="E557" s="11">
        <f>IFERROR(VALUE(SUBSTITUTE(SUBSTITUTE(TRIM(Raw_Data!D557),"₹",""),",","")),"")</f>
        <v>2599</v>
      </c>
      <c r="F557" s="12">
        <f>IFERROR(VALUE(SUBSTITUTE(Raw_Data!E557,"%",""))/100,"")</f>
        <v>0.38</v>
      </c>
      <c r="G557" s="13">
        <f>IFERROR(VALUE(Raw_Data!F557),"")</f>
        <v>4.3</v>
      </c>
      <c r="H557" s="14">
        <f>IFERROR(VALUE(SUBSTITUTE(Raw_Data!G557,",","")),"")</f>
        <v>1801</v>
      </c>
      <c r="I557" s="11">
        <f t="shared" si="32"/>
        <v>1000</v>
      </c>
      <c r="J557" s="11">
        <f t="shared" si="33"/>
        <v>2879799</v>
      </c>
      <c r="K557" s="1">
        <f t="shared" si="34"/>
        <v>1801.0000557000001</v>
      </c>
      <c r="L557" s="15">
        <f t="shared" si="35"/>
        <v>0.3800557</v>
      </c>
    </row>
    <row r="558" spans="1:12" ht="15" customHeight="1" x14ac:dyDescent="0.25">
      <c r="A558" s="10" t="str">
        <f>Raw_Data!A558</f>
        <v>Oraimo 18W USB &amp; Type-C Dual Output Super Fast Charger Wall Adapter PE2.0&amp;Quick Charge 3.0 &amp; Power Delivery 3.0 Compatible for iPhone 13/13 Mini/13 Pro Max/12/12 Pro Max, iPad Mini/Pro, Pixel, Galaxy, Airpods Pro</v>
      </c>
      <c r="B558" s="10" t="str">
        <f>IFERROR(TRIM(LEFT(Raw_Data!A558,FIND(" ",Raw_Data!A558)-1)),Raw_Data!A558)</f>
        <v>Oraimo</v>
      </c>
      <c r="C558" s="10" t="str">
        <f>IFERROR(LEFT(Raw_Data!B558,FIND("|",Raw_Data!B558)-1),Raw_Data!B558)</f>
        <v>Electronics</v>
      </c>
      <c r="D558" s="11">
        <f>IFERROR(VALUE(SUBSTITUTE(SUBSTITUTE(TRIM(Raw_Data!C558),"₹",""),",","")),"")</f>
        <v>699</v>
      </c>
      <c r="E558" s="11">
        <f>IFERROR(VALUE(SUBSTITUTE(SUBSTITUTE(TRIM(Raw_Data!D558),"₹",""),",","")),"")</f>
        <v>1199</v>
      </c>
      <c r="F558" s="12">
        <f>IFERROR(VALUE(SUBSTITUTE(Raw_Data!E558,"%",""))/100,"")</f>
        <v>0.42</v>
      </c>
      <c r="G558" s="13">
        <f>IFERROR(VALUE(Raw_Data!F558),"")</f>
        <v>4</v>
      </c>
      <c r="H558" s="14">
        <f>IFERROR(VALUE(SUBSTITUTE(Raw_Data!G558,",","")),"")</f>
        <v>14404</v>
      </c>
      <c r="I558" s="11">
        <f t="shared" si="32"/>
        <v>500</v>
      </c>
      <c r="J558" s="11">
        <f t="shared" si="33"/>
        <v>10068396</v>
      </c>
      <c r="K558" s="1">
        <f t="shared" si="34"/>
        <v>14404.000055799999</v>
      </c>
      <c r="L558" s="15">
        <f t="shared" si="35"/>
        <v>0.42005579999999998</v>
      </c>
    </row>
    <row r="559" spans="1:12" ht="15" customHeight="1" x14ac:dyDescent="0.25">
      <c r="A559" s="10" t="str">
        <f>Raw_Data!A559</f>
        <v>LAPSTER 12pcs Spiral Cable Protectors for Charger, Wires, Data Charger Cable Protector for Computers, Cell Phones etc.(Grey)</v>
      </c>
      <c r="B559" s="10" t="str">
        <f>IFERROR(TRIM(LEFT(Raw_Data!A559,FIND(" ",Raw_Data!A559)-1)),Raw_Data!A559)</f>
        <v>LAPSTER</v>
      </c>
      <c r="C559" s="10" t="str">
        <f>IFERROR(LEFT(Raw_Data!B559,FIND("|",Raw_Data!B559)-1),Raw_Data!B559)</f>
        <v>Electronics</v>
      </c>
      <c r="D559" s="11">
        <f>IFERROR(VALUE(SUBSTITUTE(SUBSTITUTE(TRIM(Raw_Data!C559),"₹",""),",","")),"")</f>
        <v>99</v>
      </c>
      <c r="E559" s="11">
        <f>IFERROR(VALUE(SUBSTITUTE(SUBSTITUTE(TRIM(Raw_Data!D559),"₹",""),",","")),"")</f>
        <v>999</v>
      </c>
      <c r="F559" s="12">
        <f>IFERROR(VALUE(SUBSTITUTE(Raw_Data!E559,"%",""))/100,"")</f>
        <v>0.9</v>
      </c>
      <c r="G559" s="13">
        <f>IFERROR(VALUE(Raw_Data!F559),"")</f>
        <v>4.4000000000000004</v>
      </c>
      <c r="H559" s="14">
        <f>IFERROR(VALUE(SUBSTITUTE(Raw_Data!G559,",","")),"")</f>
        <v>305</v>
      </c>
      <c r="I559" s="11">
        <f t="shared" si="32"/>
        <v>900</v>
      </c>
      <c r="J559" s="11">
        <f t="shared" si="33"/>
        <v>30195</v>
      </c>
      <c r="K559" s="1">
        <f t="shared" si="34"/>
        <v>305.00005590000001</v>
      </c>
      <c r="L559" s="15">
        <f t="shared" si="35"/>
        <v>0.90005590000000002</v>
      </c>
    </row>
    <row r="560" spans="1:12" ht="15" customHeight="1" x14ac:dyDescent="0.25">
      <c r="A560" s="10" t="str">
        <f>Raw_Data!A560</f>
        <v>MI REDMI 9i Sport (Carbon Black, 64 GB) (4 GB RAM)</v>
      </c>
      <c r="B560" s="10" t="str">
        <f>IFERROR(TRIM(LEFT(Raw_Data!A560,FIND(" ",Raw_Data!A560)-1)),Raw_Data!A560)</f>
        <v>MI</v>
      </c>
      <c r="C560" s="10" t="str">
        <f>IFERROR(LEFT(Raw_Data!B560,FIND("|",Raw_Data!B560)-1),Raw_Data!B560)</f>
        <v>Electronics</v>
      </c>
      <c r="D560" s="11">
        <f>IFERROR(VALUE(SUBSTITUTE(SUBSTITUTE(TRIM(Raw_Data!C560),"₹",""),",","")),"")</f>
        <v>7915</v>
      </c>
      <c r="E560" s="11">
        <f>IFERROR(VALUE(SUBSTITUTE(SUBSTITUTE(TRIM(Raw_Data!D560),"₹",""),",","")),"")</f>
        <v>9999</v>
      </c>
      <c r="F560" s="12">
        <f>IFERROR(VALUE(SUBSTITUTE(Raw_Data!E560,"%",""))/100,"")</f>
        <v>0.21</v>
      </c>
      <c r="G560" s="13">
        <f>IFERROR(VALUE(Raw_Data!F560),"")</f>
        <v>4.3</v>
      </c>
      <c r="H560" s="14">
        <f>IFERROR(VALUE(SUBSTITUTE(Raw_Data!G560,",","")),"")</f>
        <v>1376</v>
      </c>
      <c r="I560" s="11">
        <f t="shared" si="32"/>
        <v>2084</v>
      </c>
      <c r="J560" s="11">
        <f t="shared" si="33"/>
        <v>10891040</v>
      </c>
      <c r="K560" s="1">
        <f t="shared" si="34"/>
        <v>1376.0000560000001</v>
      </c>
      <c r="L560" s="15">
        <f t="shared" si="35"/>
        <v>0.21005599999999999</v>
      </c>
    </row>
    <row r="561" spans="1:12" ht="15" customHeight="1" x14ac:dyDescent="0.25">
      <c r="A561" s="10" t="str">
        <f>Raw_Data!A561</f>
        <v>Fire-Boltt Ninja 3 Smartwatch Full Touch 1.69 " &amp; 60 Sports Modes with IP68, Sp02 Tracking, Over 100 Cloud based watch faces ( Green )</v>
      </c>
      <c r="B561" s="10" t="str">
        <f>IFERROR(TRIM(LEFT(Raw_Data!A561,FIND(" ",Raw_Data!A561)-1)),Raw_Data!A561)</f>
        <v>Fire-Boltt</v>
      </c>
      <c r="C561" s="10" t="str">
        <f>IFERROR(LEFT(Raw_Data!B561,FIND("|",Raw_Data!B561)-1),Raw_Data!B561)</f>
        <v>Electronics</v>
      </c>
      <c r="D561" s="11">
        <f>IFERROR(VALUE(SUBSTITUTE(SUBSTITUTE(TRIM(Raw_Data!C561),"₹",""),",","")),"")</f>
        <v>1499</v>
      </c>
      <c r="E561" s="11">
        <f>IFERROR(VALUE(SUBSTITUTE(SUBSTITUTE(TRIM(Raw_Data!D561),"₹",""),",","")),"")</f>
        <v>7999</v>
      </c>
      <c r="F561" s="12">
        <f>IFERROR(VALUE(SUBSTITUTE(Raw_Data!E561,"%",""))/100,"")</f>
        <v>0.81</v>
      </c>
      <c r="G561" s="13">
        <f>IFERROR(VALUE(Raw_Data!F561),"")</f>
        <v>4.2</v>
      </c>
      <c r="H561" s="14">
        <f>IFERROR(VALUE(SUBSTITUTE(Raw_Data!G561,",","")),"")</f>
        <v>22638</v>
      </c>
      <c r="I561" s="11">
        <f t="shared" si="32"/>
        <v>6500</v>
      </c>
      <c r="J561" s="11">
        <f t="shared" si="33"/>
        <v>33934362</v>
      </c>
      <c r="K561" s="1">
        <f t="shared" si="34"/>
        <v>22638.000056100002</v>
      </c>
      <c r="L561" s="15">
        <f t="shared" si="35"/>
        <v>0.81005610000000006</v>
      </c>
    </row>
    <row r="562" spans="1:12" ht="15" customHeight="1" x14ac:dyDescent="0.25">
      <c r="A562" s="10" t="str">
        <f>Raw_Data!A562</f>
        <v>Lava A1 Josh 21(Blue Silver) -Dual Sim,Call Blink Notification,Military Grade Certified with 4 Day Battery Backup, Keypad Mobile</v>
      </c>
      <c r="B562" s="10" t="str">
        <f>IFERROR(TRIM(LEFT(Raw_Data!A562,FIND(" ",Raw_Data!A562)-1)),Raw_Data!A562)</f>
        <v>Lava</v>
      </c>
      <c r="C562" s="10" t="str">
        <f>IFERROR(LEFT(Raw_Data!B562,FIND("|",Raw_Data!B562)-1),Raw_Data!B562)</f>
        <v>Electronics</v>
      </c>
      <c r="D562" s="11">
        <f>IFERROR(VALUE(SUBSTITUTE(SUBSTITUTE(TRIM(Raw_Data!C562),"₹",""),",","")),"")</f>
        <v>1055</v>
      </c>
      <c r="E562" s="11">
        <f>IFERROR(VALUE(SUBSTITUTE(SUBSTITUTE(TRIM(Raw_Data!D562),"₹",""),",","")),"")</f>
        <v>1249</v>
      </c>
      <c r="F562" s="12">
        <f>IFERROR(VALUE(SUBSTITUTE(Raw_Data!E562,"%",""))/100,"")</f>
        <v>0.16</v>
      </c>
      <c r="G562" s="13">
        <f>IFERROR(VALUE(Raw_Data!F562),"")</f>
        <v>3.8</v>
      </c>
      <c r="H562" s="14">
        <f>IFERROR(VALUE(SUBSTITUTE(Raw_Data!G562,",","")),"")</f>
        <v>2352</v>
      </c>
      <c r="I562" s="11">
        <f t="shared" si="32"/>
        <v>194</v>
      </c>
      <c r="J562" s="11">
        <f t="shared" si="33"/>
        <v>2481360</v>
      </c>
      <c r="K562" s="1">
        <f t="shared" si="34"/>
        <v>2352.0000562</v>
      </c>
      <c r="L562" s="15">
        <f t="shared" si="35"/>
        <v>0.16005620000000001</v>
      </c>
    </row>
    <row r="563" spans="1:12" ht="15" customHeight="1" x14ac:dyDescent="0.25">
      <c r="A563" s="10" t="str">
        <f>Raw_Data!A563</f>
        <v>POPIO Tempered Glass Compatible for iPhone 13 / iPhone 13 Pro/iPhone 14 (Transparent) Edge to Edge Full Screen Coverage with Installation Kit, Pack of 2</v>
      </c>
      <c r="B563" s="10" t="str">
        <f>IFERROR(TRIM(LEFT(Raw_Data!A563,FIND(" ",Raw_Data!A563)-1)),Raw_Data!A563)</f>
        <v>POPIO</v>
      </c>
      <c r="C563" s="10" t="str">
        <f>IFERROR(LEFT(Raw_Data!B563,FIND("|",Raw_Data!B563)-1),Raw_Data!B563)</f>
        <v>Electronics</v>
      </c>
      <c r="D563" s="11">
        <f>IFERROR(VALUE(SUBSTITUTE(SUBSTITUTE(TRIM(Raw_Data!C563),"₹",""),",","")),"")</f>
        <v>150</v>
      </c>
      <c r="E563" s="11">
        <f>IFERROR(VALUE(SUBSTITUTE(SUBSTITUTE(TRIM(Raw_Data!D563),"₹",""),",","")),"")</f>
        <v>599</v>
      </c>
      <c r="F563" s="12">
        <f>IFERROR(VALUE(SUBSTITUTE(Raw_Data!E563,"%",""))/100,"")</f>
        <v>0.75</v>
      </c>
      <c r="G563" s="13">
        <f>IFERROR(VALUE(Raw_Data!F563),"")</f>
        <v>4.3</v>
      </c>
      <c r="H563" s="14">
        <f>IFERROR(VALUE(SUBSTITUTE(Raw_Data!G563,",","")),"")</f>
        <v>714</v>
      </c>
      <c r="I563" s="11">
        <f t="shared" si="32"/>
        <v>449</v>
      </c>
      <c r="J563" s="11">
        <f t="shared" si="33"/>
        <v>107100</v>
      </c>
      <c r="K563" s="1">
        <f t="shared" si="34"/>
        <v>714.00005629999998</v>
      </c>
      <c r="L563" s="15">
        <f t="shared" si="35"/>
        <v>0.75005630000000001</v>
      </c>
    </row>
    <row r="564" spans="1:12" ht="15" customHeight="1" x14ac:dyDescent="0.25">
      <c r="A564" s="10" t="str">
        <f>Raw_Data!A564</f>
        <v>Amazon Basics USB Type-C to USB-A 2.0 Male Fast Charging Cable for Laptop - 3 Feet (0.9 Meters), Black</v>
      </c>
      <c r="B564" s="10" t="str">
        <f>IFERROR(TRIM(LEFT(Raw_Data!A564,FIND(" ",Raw_Data!A564)-1)),Raw_Data!A564)</f>
        <v>Amazon</v>
      </c>
      <c r="C564" s="10" t="str">
        <f>IFERROR(LEFT(Raw_Data!B564,FIND("|",Raw_Data!B564)-1),Raw_Data!B564)</f>
        <v>Computers&amp;Accessories</v>
      </c>
      <c r="D564" s="11">
        <f>IFERROR(VALUE(SUBSTITUTE(SUBSTITUTE(TRIM(Raw_Data!C564),"₹",""),",","")),"")</f>
        <v>219</v>
      </c>
      <c r="E564" s="11">
        <f>IFERROR(VALUE(SUBSTITUTE(SUBSTITUTE(TRIM(Raw_Data!D564),"₹",""),",","")),"")</f>
        <v>700</v>
      </c>
      <c r="F564" s="12">
        <f>IFERROR(VALUE(SUBSTITUTE(Raw_Data!E564,"%",""))/100,"")</f>
        <v>0.69</v>
      </c>
      <c r="G564" s="13">
        <f>IFERROR(VALUE(Raw_Data!F564),"")</f>
        <v>4.3</v>
      </c>
      <c r="H564" s="14">
        <f>IFERROR(VALUE(SUBSTITUTE(Raw_Data!G564,",","")),"")</f>
        <v>20052</v>
      </c>
      <c r="I564" s="11">
        <f t="shared" si="32"/>
        <v>481</v>
      </c>
      <c r="J564" s="11">
        <f t="shared" si="33"/>
        <v>4391388</v>
      </c>
      <c r="K564" s="1">
        <f t="shared" si="34"/>
        <v>20052.0000564</v>
      </c>
      <c r="L564" s="15">
        <f t="shared" si="35"/>
        <v>0.6900563999999999</v>
      </c>
    </row>
    <row r="565" spans="1:12" ht="15" customHeight="1" x14ac:dyDescent="0.25">
      <c r="A565" s="10" t="str">
        <f>Raw_Data!A565</f>
        <v>Amozo Ultra Hybrid Camera and Drop Protection Back Cover Case for iPhone 13 (Polycarbonate| Back Transparent - Sides Black)</v>
      </c>
      <c r="B565" s="10" t="str">
        <f>IFERROR(TRIM(LEFT(Raw_Data!A565,FIND(" ",Raw_Data!A565)-1)),Raw_Data!A565)</f>
        <v>Amozo</v>
      </c>
      <c r="C565" s="10" t="str">
        <f>IFERROR(LEFT(Raw_Data!B565,FIND("|",Raw_Data!B565)-1),Raw_Data!B565)</f>
        <v>Electronics</v>
      </c>
      <c r="D565" s="11">
        <f>IFERROR(VALUE(SUBSTITUTE(SUBSTITUTE(TRIM(Raw_Data!C565),"₹",""),",","")),"")</f>
        <v>474</v>
      </c>
      <c r="E565" s="11">
        <f>IFERROR(VALUE(SUBSTITUTE(SUBSTITUTE(TRIM(Raw_Data!D565),"₹",""),",","")),"")</f>
        <v>1799</v>
      </c>
      <c r="F565" s="12">
        <f>IFERROR(VALUE(SUBSTITUTE(Raw_Data!E565,"%",""))/100,"")</f>
        <v>0.74</v>
      </c>
      <c r="G565" s="13">
        <f>IFERROR(VALUE(Raw_Data!F565),"")</f>
        <v>4.3</v>
      </c>
      <c r="H565" s="14">
        <f>IFERROR(VALUE(SUBSTITUTE(Raw_Data!G565,",","")),"")</f>
        <v>1454</v>
      </c>
      <c r="I565" s="11">
        <f t="shared" si="32"/>
        <v>1325</v>
      </c>
      <c r="J565" s="11">
        <f t="shared" si="33"/>
        <v>689196</v>
      </c>
      <c r="K565" s="1">
        <f t="shared" si="34"/>
        <v>1454.0000565</v>
      </c>
      <c r="L565" s="15">
        <f t="shared" si="35"/>
        <v>0.74005650000000001</v>
      </c>
    </row>
    <row r="566" spans="1:12" ht="15" customHeight="1" x14ac:dyDescent="0.25">
      <c r="A566" s="10" t="str">
        <f>Raw_Data!A566</f>
        <v>Pinnaclz Original Combo of 2 Micro USB Fast Charging Cable, USB Charging Cable for Data Transfer Perfect for Android Smart Phones White 1.2 Meter Made in India (Pack of 2)</v>
      </c>
      <c r="B566" s="10" t="str">
        <f>IFERROR(TRIM(LEFT(Raw_Data!A566,FIND(" ",Raw_Data!A566)-1)),Raw_Data!A566)</f>
        <v>Pinnaclz</v>
      </c>
      <c r="C566" s="10" t="str">
        <f>IFERROR(LEFT(Raw_Data!B566,FIND("|",Raw_Data!B566)-1),Raw_Data!B566)</f>
        <v>Computers&amp;Accessories</v>
      </c>
      <c r="D566" s="11">
        <f>IFERROR(VALUE(SUBSTITUTE(SUBSTITUTE(TRIM(Raw_Data!C566),"₹",""),",","")),"")</f>
        <v>115</v>
      </c>
      <c r="E566" s="11">
        <f>IFERROR(VALUE(SUBSTITUTE(SUBSTITUTE(TRIM(Raw_Data!D566),"₹",""),",","")),"")</f>
        <v>499</v>
      </c>
      <c r="F566" s="12">
        <f>IFERROR(VALUE(SUBSTITUTE(Raw_Data!E566,"%",""))/100,"")</f>
        <v>0.77</v>
      </c>
      <c r="G566" s="13">
        <f>IFERROR(VALUE(Raw_Data!F566),"")</f>
        <v>4</v>
      </c>
      <c r="H566" s="14">
        <f>IFERROR(VALUE(SUBSTITUTE(Raw_Data!G566,",","")),"")</f>
        <v>7732</v>
      </c>
      <c r="I566" s="11">
        <f t="shared" si="32"/>
        <v>384</v>
      </c>
      <c r="J566" s="11">
        <f t="shared" si="33"/>
        <v>889180</v>
      </c>
      <c r="K566" s="1">
        <f t="shared" si="34"/>
        <v>7732.0000565999999</v>
      </c>
      <c r="L566" s="15">
        <f t="shared" si="35"/>
        <v>0.77005659999999998</v>
      </c>
    </row>
    <row r="567" spans="1:12" ht="15" customHeight="1" x14ac:dyDescent="0.25">
      <c r="A567" s="10" t="str">
        <f>Raw_Data!A567</f>
        <v>FLiX Usb Charger,Flix (Beetel) Bolt 2.4 Dual Poart,5V/2.4A/12W Usb Wall Charger Fast Charging,Adapter For Android/Iphone 11/Xs/Xs Max/Xr/X/8/7/6/Plus,Ipad Pro/Air 2/Mini 3/4,Samsung S4/S5 &amp; More-Black</v>
      </c>
      <c r="B567" s="10" t="str">
        <f>IFERROR(TRIM(LEFT(Raw_Data!A567,FIND(" ",Raw_Data!A567)-1)),Raw_Data!A567)</f>
        <v>FLiX</v>
      </c>
      <c r="C567" s="10" t="str">
        <f>IFERROR(LEFT(Raw_Data!B567,FIND("|",Raw_Data!B567)-1),Raw_Data!B567)</f>
        <v>Electronics</v>
      </c>
      <c r="D567" s="11">
        <f>IFERROR(VALUE(SUBSTITUTE(SUBSTITUTE(TRIM(Raw_Data!C567),"₹",""),",","")),"")</f>
        <v>239</v>
      </c>
      <c r="E567" s="11">
        <f>IFERROR(VALUE(SUBSTITUTE(SUBSTITUTE(TRIM(Raw_Data!D567),"₹",""),",","")),"")</f>
        <v>599</v>
      </c>
      <c r="F567" s="12">
        <f>IFERROR(VALUE(SUBSTITUTE(Raw_Data!E567,"%",""))/100,"")</f>
        <v>0.6</v>
      </c>
      <c r="G567" s="13">
        <f>IFERROR(VALUE(Raw_Data!F567),"")</f>
        <v>3.9</v>
      </c>
      <c r="H567" s="14">
        <f>IFERROR(VALUE(SUBSTITUTE(Raw_Data!G567,",","")),"")</f>
        <v>2147</v>
      </c>
      <c r="I567" s="11">
        <f t="shared" si="32"/>
        <v>360</v>
      </c>
      <c r="J567" s="11">
        <f t="shared" si="33"/>
        <v>513133</v>
      </c>
      <c r="K567" s="1">
        <f t="shared" si="34"/>
        <v>2147.0000567000002</v>
      </c>
      <c r="L567" s="15">
        <f t="shared" si="35"/>
        <v>0.6000567</v>
      </c>
    </row>
    <row r="568" spans="1:12" ht="15" customHeight="1" x14ac:dyDescent="0.25">
      <c r="A568" s="10" t="str">
        <f>Raw_Data!A568</f>
        <v>Redmi 9A Sport (Coral Green, 3GB RAM, 32GB Storage) | 2GHz Octa-core Helio G25 Processor | 5000 mAh Battery</v>
      </c>
      <c r="B568" s="10" t="str">
        <f>IFERROR(TRIM(LEFT(Raw_Data!A568,FIND(" ",Raw_Data!A568)-1)),Raw_Data!A568)</f>
        <v>Redmi</v>
      </c>
      <c r="C568" s="10" t="str">
        <f>IFERROR(LEFT(Raw_Data!B568,FIND("|",Raw_Data!B568)-1),Raw_Data!B568)</f>
        <v>Electronics</v>
      </c>
      <c r="D568" s="11">
        <f>IFERROR(VALUE(SUBSTITUTE(SUBSTITUTE(TRIM(Raw_Data!C568),"₹",""),",","")),"")</f>
        <v>7499</v>
      </c>
      <c r="E568" s="11">
        <f>IFERROR(VALUE(SUBSTITUTE(SUBSTITUTE(TRIM(Raw_Data!D568),"₹",""),",","")),"")</f>
        <v>9499</v>
      </c>
      <c r="F568" s="12">
        <f>IFERROR(VALUE(SUBSTITUTE(Raw_Data!E568,"%",""))/100,"")</f>
        <v>0.21</v>
      </c>
      <c r="G568" s="13">
        <f>IFERROR(VALUE(Raw_Data!F568),"")</f>
        <v>4.0999999999999996</v>
      </c>
      <c r="H568" s="14">
        <f>IFERROR(VALUE(SUBSTITUTE(Raw_Data!G568,",","")),"")</f>
        <v>313832</v>
      </c>
      <c r="I568" s="11">
        <f t="shared" si="32"/>
        <v>2000</v>
      </c>
      <c r="J568" s="11">
        <f t="shared" si="33"/>
        <v>2353426168</v>
      </c>
      <c r="K568" s="1">
        <f t="shared" si="34"/>
        <v>313832.00005680003</v>
      </c>
      <c r="L568" s="15">
        <f t="shared" si="35"/>
        <v>0.21005679999999999</v>
      </c>
    </row>
    <row r="569" spans="1:12" ht="15" customHeight="1" x14ac:dyDescent="0.25">
      <c r="A569" s="10" t="str">
        <f>Raw_Data!A569</f>
        <v>Prolet Classic Bumper Case Cover for Samsung Galaxy Watch 4 44mm TPU Plated Full Screen Protector (Black)</v>
      </c>
      <c r="B569" s="10" t="str">
        <f>IFERROR(TRIM(LEFT(Raw_Data!A569,FIND(" ",Raw_Data!A569)-1)),Raw_Data!A569)</f>
        <v>Prolet</v>
      </c>
      <c r="C569" s="10" t="str">
        <f>IFERROR(LEFT(Raw_Data!B569,FIND("|",Raw_Data!B569)-1),Raw_Data!B569)</f>
        <v>Electronics</v>
      </c>
      <c r="D569" s="11">
        <f>IFERROR(VALUE(SUBSTITUTE(SUBSTITUTE(TRIM(Raw_Data!C569),"₹",""),",","")),"")</f>
        <v>265</v>
      </c>
      <c r="E569" s="11">
        <f>IFERROR(VALUE(SUBSTITUTE(SUBSTITUTE(TRIM(Raw_Data!D569),"₹",""),",","")),"")</f>
        <v>999</v>
      </c>
      <c r="F569" s="12">
        <f>IFERROR(VALUE(SUBSTITUTE(Raw_Data!E569,"%",""))/100,"")</f>
        <v>0.73</v>
      </c>
      <c r="G569" s="13">
        <f>IFERROR(VALUE(Raw_Data!F569),"")</f>
        <v>3.7</v>
      </c>
      <c r="H569" s="14">
        <f>IFERROR(VALUE(SUBSTITUTE(Raw_Data!G569,",","")),"")</f>
        <v>465</v>
      </c>
      <c r="I569" s="11">
        <f t="shared" si="32"/>
        <v>734</v>
      </c>
      <c r="J569" s="11">
        <f t="shared" si="33"/>
        <v>123225</v>
      </c>
      <c r="K569" s="1">
        <f t="shared" si="34"/>
        <v>465.0000569</v>
      </c>
      <c r="L569" s="15">
        <f t="shared" si="35"/>
        <v>0.73005690000000001</v>
      </c>
    </row>
    <row r="570" spans="1:12" ht="15" customHeight="1" x14ac:dyDescent="0.25">
      <c r="A570" s="10" t="str">
        <f>Raw_Data!A570</f>
        <v>Samsung Galaxy S20 FE 5G (Cloud Navy, 8GB RAM, 128GB Storage) with No Cost EMI &amp; Additional Exchange Offers</v>
      </c>
      <c r="B570" s="10" t="str">
        <f>IFERROR(TRIM(LEFT(Raw_Data!A570,FIND(" ",Raw_Data!A570)-1)),Raw_Data!A570)</f>
        <v>Samsung</v>
      </c>
      <c r="C570" s="10" t="str">
        <f>IFERROR(LEFT(Raw_Data!B570,FIND("|",Raw_Data!B570)-1),Raw_Data!B570)</f>
        <v>Electronics</v>
      </c>
      <c r="D570" s="11">
        <f>IFERROR(VALUE(SUBSTITUTE(SUBSTITUTE(TRIM(Raw_Data!C570),"₹",""),",","")),"")</f>
        <v>37990</v>
      </c>
      <c r="E570" s="11">
        <f>IFERROR(VALUE(SUBSTITUTE(SUBSTITUTE(TRIM(Raw_Data!D570),"₹",""),",","")),"")</f>
        <v>74999</v>
      </c>
      <c r="F570" s="12">
        <f>IFERROR(VALUE(SUBSTITUTE(Raw_Data!E570,"%",""))/100,"")</f>
        <v>0.49</v>
      </c>
      <c r="G570" s="13">
        <f>IFERROR(VALUE(Raw_Data!F570),"")</f>
        <v>4.2</v>
      </c>
      <c r="H570" s="14">
        <f>IFERROR(VALUE(SUBSTITUTE(Raw_Data!G570,",","")),"")</f>
        <v>27790</v>
      </c>
      <c r="I570" s="11">
        <f t="shared" si="32"/>
        <v>37009</v>
      </c>
      <c r="J570" s="11">
        <f t="shared" si="33"/>
        <v>1055742100</v>
      </c>
      <c r="K570" s="1">
        <f t="shared" si="34"/>
        <v>27790.000057000001</v>
      </c>
      <c r="L570" s="15">
        <f t="shared" si="35"/>
        <v>0.49005699999999996</v>
      </c>
    </row>
    <row r="571" spans="1:12" ht="15" customHeight="1" x14ac:dyDescent="0.25">
      <c r="A571" s="10" t="str">
        <f>Raw_Data!A571</f>
        <v>Ambrane 2 in 1 Type-C &amp; Micro USB Cable with 60W / 3A Fast Charging, 480 mbps High Data, PD Technology &amp; Quick Charge 3.0, Compatible with All Type-C &amp; Micro USB Devices (ABDC-10, Black)</v>
      </c>
      <c r="B571" s="10" t="str">
        <f>IFERROR(TRIM(LEFT(Raw_Data!A571,FIND(" ",Raw_Data!A571)-1)),Raw_Data!A571)</f>
        <v>Ambrane</v>
      </c>
      <c r="C571" s="10" t="str">
        <f>IFERROR(LEFT(Raw_Data!B571,FIND("|",Raw_Data!B571)-1),Raw_Data!B571)</f>
        <v>Computers&amp;Accessories</v>
      </c>
      <c r="D571" s="11">
        <f>IFERROR(VALUE(SUBSTITUTE(SUBSTITUTE(TRIM(Raw_Data!C571),"₹",""),",","")),"")</f>
        <v>199</v>
      </c>
      <c r="E571" s="11">
        <f>IFERROR(VALUE(SUBSTITUTE(SUBSTITUTE(TRIM(Raw_Data!D571),"₹",""),",","")),"")</f>
        <v>499</v>
      </c>
      <c r="F571" s="12">
        <f>IFERROR(VALUE(SUBSTITUTE(Raw_Data!E571,"%",""))/100,"")</f>
        <v>0.6</v>
      </c>
      <c r="G571" s="13">
        <f>IFERROR(VALUE(Raw_Data!F571),"")</f>
        <v>4.0999999999999996</v>
      </c>
      <c r="H571" s="14">
        <f>IFERROR(VALUE(SUBSTITUTE(Raw_Data!G571,",","")),"")</f>
        <v>602</v>
      </c>
      <c r="I571" s="11">
        <f t="shared" si="32"/>
        <v>300</v>
      </c>
      <c r="J571" s="11">
        <f t="shared" si="33"/>
        <v>119798</v>
      </c>
      <c r="K571" s="1">
        <f t="shared" si="34"/>
        <v>602.00005710000005</v>
      </c>
      <c r="L571" s="15">
        <f t="shared" si="35"/>
        <v>0.60005710000000001</v>
      </c>
    </row>
    <row r="572" spans="1:12" ht="15" customHeight="1" x14ac:dyDescent="0.25">
      <c r="A572" s="10" t="str">
        <f>Raw_Data!A572</f>
        <v>Ambrane 60W / 3A Fast Charging Output Cable with Type-C to USB for Mobile, Neckband, True Wireless Earphone Charging, 480mbps Data Sync Speed, 1m Length (ACT - AZ10, Black)</v>
      </c>
      <c r="B572" s="10" t="str">
        <f>IFERROR(TRIM(LEFT(Raw_Data!A572,FIND(" ",Raw_Data!A572)-1)),Raw_Data!A572)</f>
        <v>Ambrane</v>
      </c>
      <c r="C572" s="10" t="str">
        <f>IFERROR(LEFT(Raw_Data!B572,FIND("|",Raw_Data!B572)-1),Raw_Data!B572)</f>
        <v>Computers&amp;Accessories</v>
      </c>
      <c r="D572" s="11">
        <f>IFERROR(VALUE(SUBSTITUTE(SUBSTITUTE(TRIM(Raw_Data!C572),"₹",""),",","")),"")</f>
        <v>179</v>
      </c>
      <c r="E572" s="11">
        <f>IFERROR(VALUE(SUBSTITUTE(SUBSTITUTE(TRIM(Raw_Data!D572),"₹",""),",","")),"")</f>
        <v>399</v>
      </c>
      <c r="F572" s="12">
        <f>IFERROR(VALUE(SUBSTITUTE(Raw_Data!E572,"%",""))/100,"")</f>
        <v>0.55000000000000004</v>
      </c>
      <c r="G572" s="13">
        <f>IFERROR(VALUE(Raw_Data!F572),"")</f>
        <v>4</v>
      </c>
      <c r="H572" s="14">
        <f>IFERROR(VALUE(SUBSTITUTE(Raw_Data!G572,",","")),"")</f>
        <v>1423</v>
      </c>
      <c r="I572" s="11">
        <f t="shared" si="32"/>
        <v>220</v>
      </c>
      <c r="J572" s="11">
        <f t="shared" si="33"/>
        <v>254717</v>
      </c>
      <c r="K572" s="1">
        <f t="shared" si="34"/>
        <v>1423.0000571999999</v>
      </c>
      <c r="L572" s="15">
        <f t="shared" si="35"/>
        <v>0.55005720000000002</v>
      </c>
    </row>
    <row r="573" spans="1:12" ht="15" customHeight="1" x14ac:dyDescent="0.25">
      <c r="A573" s="10" t="str">
        <f>Raw_Data!A573</f>
        <v>WeCool S5 Long Selfie Stick, with Large Reinforced Tripod Stand up to 61 Inch / 156 Cms, Ultra Long Multi Function Bluetooth Selfie Stick with 1/4 Screw Compatible with Gopro, Camera, and Ring Light</v>
      </c>
      <c r="B573" s="10" t="str">
        <f>IFERROR(TRIM(LEFT(Raw_Data!A573,FIND(" ",Raw_Data!A573)-1)),Raw_Data!A573)</f>
        <v>WeCool</v>
      </c>
      <c r="C573" s="10" t="str">
        <f>IFERROR(LEFT(Raw_Data!B573,FIND("|",Raw_Data!B573)-1),Raw_Data!B573)</f>
        <v>Electronics</v>
      </c>
      <c r="D573" s="11">
        <f>IFERROR(VALUE(SUBSTITUTE(SUBSTITUTE(TRIM(Raw_Data!C573),"₹",""),",","")),"")</f>
        <v>1799</v>
      </c>
      <c r="E573" s="11">
        <f>IFERROR(VALUE(SUBSTITUTE(SUBSTITUTE(TRIM(Raw_Data!D573),"₹",""),",","")),"")</f>
        <v>3999</v>
      </c>
      <c r="F573" s="12">
        <f>IFERROR(VALUE(SUBSTITUTE(Raw_Data!E573,"%",""))/100,"")</f>
        <v>0.55000000000000004</v>
      </c>
      <c r="G573" s="13">
        <f>IFERROR(VALUE(Raw_Data!F573),"")</f>
        <v>4.5999999999999996</v>
      </c>
      <c r="H573" s="14">
        <f>IFERROR(VALUE(SUBSTITUTE(Raw_Data!G573,",","")),"")</f>
        <v>245</v>
      </c>
      <c r="I573" s="11">
        <f t="shared" si="32"/>
        <v>2200</v>
      </c>
      <c r="J573" s="11">
        <f t="shared" si="33"/>
        <v>440755</v>
      </c>
      <c r="K573" s="1">
        <f t="shared" si="34"/>
        <v>245.00005730000001</v>
      </c>
      <c r="L573" s="15">
        <f t="shared" si="35"/>
        <v>0.55005730000000008</v>
      </c>
    </row>
    <row r="574" spans="1:12" ht="15" customHeight="1" x14ac:dyDescent="0.25">
      <c r="A574" s="10" t="str">
        <f>Raw_Data!A574</f>
        <v>POCO C31 (Royal Blue, 64 GB) (4 GB RAM)</v>
      </c>
      <c r="B574" s="10" t="str">
        <f>IFERROR(TRIM(LEFT(Raw_Data!A574,FIND(" ",Raw_Data!A574)-1)),Raw_Data!A574)</f>
        <v>POCO</v>
      </c>
      <c r="C574" s="10" t="str">
        <f>IFERROR(LEFT(Raw_Data!B574,FIND("|",Raw_Data!B574)-1),Raw_Data!B574)</f>
        <v>Electronics</v>
      </c>
      <c r="D574" s="11">
        <f>IFERROR(VALUE(SUBSTITUTE(SUBSTITUTE(TRIM(Raw_Data!C574),"₹",""),",","")),"")</f>
        <v>8499</v>
      </c>
      <c r="E574" s="11">
        <f>IFERROR(VALUE(SUBSTITUTE(SUBSTITUTE(TRIM(Raw_Data!D574),"₹",""),",","")),"")</f>
        <v>11999</v>
      </c>
      <c r="F574" s="12">
        <f>IFERROR(VALUE(SUBSTITUTE(Raw_Data!E574,"%",""))/100,"")</f>
        <v>0.28999999999999998</v>
      </c>
      <c r="G574" s="13">
        <f>IFERROR(VALUE(Raw_Data!F574),"")</f>
        <v>3.9</v>
      </c>
      <c r="H574" s="14">
        <f>IFERROR(VALUE(SUBSTITUTE(Raw_Data!G574,",","")),"")</f>
        <v>276</v>
      </c>
      <c r="I574" s="11">
        <f t="shared" si="32"/>
        <v>3500</v>
      </c>
      <c r="J574" s="11">
        <f t="shared" si="33"/>
        <v>2345724</v>
      </c>
      <c r="K574" s="1">
        <f t="shared" si="34"/>
        <v>276.0000574</v>
      </c>
      <c r="L574" s="15">
        <f t="shared" si="35"/>
        <v>0.29005739999999997</v>
      </c>
    </row>
    <row r="575" spans="1:12" ht="15" customHeight="1" x14ac:dyDescent="0.25">
      <c r="A575" s="10" t="str">
        <f>Raw_Data!A575</f>
        <v>Noise ColorFit Pulse Grand Smart Watch with 1.69"(4.29cm) HD Display, 60 Sports Modes, 150 Watch Faces, Fast Charge, Spo2, Stress, Sleep, Heart Rate Monitoring &amp; IP68 Waterproof (Electric Blue)</v>
      </c>
      <c r="B575" s="10" t="str">
        <f>IFERROR(TRIM(LEFT(Raw_Data!A575,FIND(" ",Raw_Data!A575)-1)),Raw_Data!A575)</f>
        <v>Noise</v>
      </c>
      <c r="C575" s="10" t="str">
        <f>IFERROR(LEFT(Raw_Data!B575,FIND("|",Raw_Data!B575)-1),Raw_Data!B575)</f>
        <v>Electronics</v>
      </c>
      <c r="D575" s="11">
        <f>IFERROR(VALUE(SUBSTITUTE(SUBSTITUTE(TRIM(Raw_Data!C575),"₹",""),",","")),"")</f>
        <v>1999</v>
      </c>
      <c r="E575" s="11">
        <f>IFERROR(VALUE(SUBSTITUTE(SUBSTITUTE(TRIM(Raw_Data!D575),"₹",""),",","")),"")</f>
        <v>3999</v>
      </c>
      <c r="F575" s="12">
        <f>IFERROR(VALUE(SUBSTITUTE(Raw_Data!E575,"%",""))/100,"")</f>
        <v>0.5</v>
      </c>
      <c r="G575" s="13">
        <f>IFERROR(VALUE(Raw_Data!F575),"")</f>
        <v>4</v>
      </c>
      <c r="H575" s="14">
        <f>IFERROR(VALUE(SUBSTITUTE(Raw_Data!G575,",","")),"")</f>
        <v>30254</v>
      </c>
      <c r="I575" s="11">
        <f t="shared" si="32"/>
        <v>2000</v>
      </c>
      <c r="J575" s="11">
        <f t="shared" si="33"/>
        <v>60477746</v>
      </c>
      <c r="K575" s="1">
        <f t="shared" si="34"/>
        <v>30254.000057500001</v>
      </c>
      <c r="L575" s="15">
        <f t="shared" si="35"/>
        <v>0.50005750000000004</v>
      </c>
    </row>
    <row r="576" spans="1:12" ht="15" customHeight="1" x14ac:dyDescent="0.25">
      <c r="A576" s="10" t="str">
        <f>Raw_Data!A576</f>
        <v>Fire-Boltt Visionary 1.78" AMOLED Bluetooth Calling Smartwatch with 368*448 Pixel Resolution 100+ Sports Mode, TWS Connection, Voice Assistance, SPO2 &amp; Heart Rate Monitoring</v>
      </c>
      <c r="B576" s="10" t="str">
        <f>IFERROR(TRIM(LEFT(Raw_Data!A576,FIND(" ",Raw_Data!A576)-1)),Raw_Data!A576)</f>
        <v>Fire-Boltt</v>
      </c>
      <c r="C576" s="10" t="str">
        <f>IFERROR(LEFT(Raw_Data!B576,FIND("|",Raw_Data!B576)-1),Raw_Data!B576)</f>
        <v>Electronics</v>
      </c>
      <c r="D576" s="11">
        <f>IFERROR(VALUE(SUBSTITUTE(SUBSTITUTE(TRIM(Raw_Data!C576),"₹",""),",","")),"")</f>
        <v>3999</v>
      </c>
      <c r="E576" s="11">
        <f>IFERROR(VALUE(SUBSTITUTE(SUBSTITUTE(TRIM(Raw_Data!D576),"₹",""),",","")),"")</f>
        <v>17999</v>
      </c>
      <c r="F576" s="12">
        <f>IFERROR(VALUE(SUBSTITUTE(Raw_Data!E576,"%",""))/100,"")</f>
        <v>0.78</v>
      </c>
      <c r="G576" s="13">
        <f>IFERROR(VALUE(Raw_Data!F576),"")</f>
        <v>4.3</v>
      </c>
      <c r="H576" s="14">
        <f>IFERROR(VALUE(SUBSTITUTE(Raw_Data!G576,",","")),"")</f>
        <v>17161</v>
      </c>
      <c r="I576" s="11">
        <f t="shared" si="32"/>
        <v>14000</v>
      </c>
      <c r="J576" s="11">
        <f t="shared" si="33"/>
        <v>68626839</v>
      </c>
      <c r="K576" s="1">
        <f t="shared" si="34"/>
        <v>17161.000057599998</v>
      </c>
      <c r="L576" s="15">
        <f t="shared" si="35"/>
        <v>0.78005760000000002</v>
      </c>
    </row>
    <row r="577" spans="1:12" ht="15" customHeight="1" x14ac:dyDescent="0.25">
      <c r="A577" s="10" t="str">
        <f>Raw_Data!A577</f>
        <v>Amazon Basics 2 Amp USB Wall Charger &amp; Micro USB Cable (White)</v>
      </c>
      <c r="B577" s="10" t="str">
        <f>IFERROR(TRIM(LEFT(Raw_Data!A577,FIND(" ",Raw_Data!A577)-1)),Raw_Data!A577)</f>
        <v>Amazon</v>
      </c>
      <c r="C577" s="10" t="str">
        <f>IFERROR(LEFT(Raw_Data!B577,FIND("|",Raw_Data!B577)-1),Raw_Data!B577)</f>
        <v>Electronics</v>
      </c>
      <c r="D577" s="11">
        <f>IFERROR(VALUE(SUBSTITUTE(SUBSTITUTE(TRIM(Raw_Data!C577),"₹",""),",","")),"")</f>
        <v>219</v>
      </c>
      <c r="E577" s="11">
        <f>IFERROR(VALUE(SUBSTITUTE(SUBSTITUTE(TRIM(Raw_Data!D577),"₹",""),",","")),"")</f>
        <v>499</v>
      </c>
      <c r="F577" s="12">
        <f>IFERROR(VALUE(SUBSTITUTE(Raw_Data!E577,"%",""))/100,"")</f>
        <v>0.56000000000000005</v>
      </c>
      <c r="G577" s="13">
        <f>IFERROR(VALUE(Raw_Data!F577),"")</f>
        <v>4.4000000000000004</v>
      </c>
      <c r="H577" s="14">
        <f>IFERROR(VALUE(SUBSTITUTE(Raw_Data!G577,",","")),"")</f>
        <v>14</v>
      </c>
      <c r="I577" s="11">
        <f t="shared" si="32"/>
        <v>280</v>
      </c>
      <c r="J577" s="11">
        <f t="shared" si="33"/>
        <v>3066</v>
      </c>
      <c r="K577" s="1">
        <f t="shared" si="34"/>
        <v>14.000057699999999</v>
      </c>
      <c r="L577" s="15">
        <f t="shared" si="35"/>
        <v>0.5600577000000001</v>
      </c>
    </row>
    <row r="578" spans="1:12" ht="15" customHeight="1" x14ac:dyDescent="0.25">
      <c r="A578" s="10" t="str">
        <f>Raw_Data!A578</f>
        <v>Mobilife Bluetooth Extendable Selfie Stick with Tripod Stand and Wireless Remote,3-in-1 Multifunctional Selfie Stick Tripod for iPhone Samsung Mi Realme Oppo Vivo Google More,Black</v>
      </c>
      <c r="B578" s="10" t="str">
        <f>IFERROR(TRIM(LEFT(Raw_Data!A578,FIND(" ",Raw_Data!A578)-1)),Raw_Data!A578)</f>
        <v>Mobilife</v>
      </c>
      <c r="C578" s="10" t="str">
        <f>IFERROR(LEFT(Raw_Data!B578,FIND("|",Raw_Data!B578)-1),Raw_Data!B578)</f>
        <v>Electronics</v>
      </c>
      <c r="D578" s="11">
        <f>IFERROR(VALUE(SUBSTITUTE(SUBSTITUTE(TRIM(Raw_Data!C578),"₹",""),",","")),"")</f>
        <v>599</v>
      </c>
      <c r="E578" s="11">
        <f>IFERROR(VALUE(SUBSTITUTE(SUBSTITUTE(TRIM(Raw_Data!D578),"₹",""),",","")),"")</f>
        <v>1399</v>
      </c>
      <c r="F578" s="12">
        <f>IFERROR(VALUE(SUBSTITUTE(Raw_Data!E578,"%",""))/100,"")</f>
        <v>0.56999999999999995</v>
      </c>
      <c r="G578" s="13">
        <f>IFERROR(VALUE(Raw_Data!F578),"")</f>
        <v>4.0999999999999996</v>
      </c>
      <c r="H578" s="14">
        <f>IFERROR(VALUE(SUBSTITUTE(Raw_Data!G578,",","")),"")</f>
        <v>14560</v>
      </c>
      <c r="I578" s="11">
        <f t="shared" ref="I578:I641" si="36">IFERROR(E578-D578,"")</f>
        <v>800</v>
      </c>
      <c r="J578" s="11">
        <f t="shared" ref="J578:J641" si="37">IFERROR(D578*H578,"")</f>
        <v>8721440</v>
      </c>
      <c r="K578" s="1">
        <f t="shared" ref="K578:K641" si="38">IF(ISNUMBER(H578),H578+ROW()/10000000,"")</f>
        <v>14560.0000578</v>
      </c>
      <c r="L578" s="15">
        <f t="shared" ref="L578:L641" si="39">IF(ISNUMBER(F578),F578+ROW()/10000000,"")</f>
        <v>0.57005779999999995</v>
      </c>
    </row>
    <row r="579" spans="1:12" ht="15" customHeight="1" x14ac:dyDescent="0.25">
      <c r="A579" s="10" t="str">
        <f>Raw_Data!A579</f>
        <v>Ambrane 27000mAh Power Bank, 20W Fast Charging, Triple Output, Type C PD (Input &amp; Output), Quick Charge, Li-Polymer, Multi-Layer Protection for iPhone, Smartphones &amp; Other Devices (Stylo Pro, Black)</v>
      </c>
      <c r="B579" s="10" t="str">
        <f>IFERROR(TRIM(LEFT(Raw_Data!A579,FIND(" ",Raw_Data!A579)-1)),Raw_Data!A579)</f>
        <v>Ambrane</v>
      </c>
      <c r="C579" s="10" t="str">
        <f>IFERROR(LEFT(Raw_Data!B579,FIND("|",Raw_Data!B579)-1),Raw_Data!B579)</f>
        <v>Electronics</v>
      </c>
      <c r="D579" s="11">
        <f>IFERROR(VALUE(SUBSTITUTE(SUBSTITUTE(TRIM(Raw_Data!C579),"₹",""),",","")),"")</f>
        <v>2499</v>
      </c>
      <c r="E579" s="11">
        <f>IFERROR(VALUE(SUBSTITUTE(SUBSTITUTE(TRIM(Raw_Data!D579),"₹",""),",","")),"")</f>
        <v>2999</v>
      </c>
      <c r="F579" s="12">
        <f>IFERROR(VALUE(SUBSTITUTE(Raw_Data!E579,"%",""))/100,"")</f>
        <v>0.17</v>
      </c>
      <c r="G579" s="13">
        <f>IFERROR(VALUE(Raw_Data!F579),"")</f>
        <v>4.0999999999999996</v>
      </c>
      <c r="H579" s="14">
        <f>IFERROR(VALUE(SUBSTITUTE(Raw_Data!G579,",","")),"")</f>
        <v>3156</v>
      </c>
      <c r="I579" s="11">
        <f t="shared" si="36"/>
        <v>500</v>
      </c>
      <c r="J579" s="11">
        <f t="shared" si="37"/>
        <v>7886844</v>
      </c>
      <c r="K579" s="1">
        <f t="shared" si="38"/>
        <v>3156.0000578999998</v>
      </c>
      <c r="L579" s="15">
        <f t="shared" si="39"/>
        <v>0.17005790000000001</v>
      </c>
    </row>
    <row r="580" spans="1:12" ht="15" customHeight="1" x14ac:dyDescent="0.25">
      <c r="A580" s="10" t="str">
        <f>Raw_Data!A580</f>
        <v>STRIFF Wall Mount Phone Holder Wall Mount with Adhesive Strips, Charging Holder Compatible with iPhone, Smartphone and Mini Tablet (Pack of 1) (White)</v>
      </c>
      <c r="B580" s="10" t="str">
        <f>IFERROR(TRIM(LEFT(Raw_Data!A580,FIND(" ",Raw_Data!A580)-1)),Raw_Data!A580)</f>
        <v>STRIFF</v>
      </c>
      <c r="C580" s="10" t="str">
        <f>IFERROR(LEFT(Raw_Data!B580,FIND("|",Raw_Data!B580)-1),Raw_Data!B580)</f>
        <v>Electronics</v>
      </c>
      <c r="D580" s="11">
        <f>IFERROR(VALUE(SUBSTITUTE(SUBSTITUTE(TRIM(Raw_Data!C580),"₹",""),",","")),"")</f>
        <v>89</v>
      </c>
      <c r="E580" s="11">
        <f>IFERROR(VALUE(SUBSTITUTE(SUBSTITUTE(TRIM(Raw_Data!D580),"₹",""),",","")),"")</f>
        <v>499</v>
      </c>
      <c r="F580" s="12">
        <f>IFERROR(VALUE(SUBSTITUTE(Raw_Data!E580,"%",""))/100,"")</f>
        <v>0.82</v>
      </c>
      <c r="G580" s="13">
        <f>IFERROR(VALUE(Raw_Data!F580),"")</f>
        <v>4.0999999999999996</v>
      </c>
      <c r="H580" s="14">
        <f>IFERROR(VALUE(SUBSTITUTE(Raw_Data!G580,",","")),"")</f>
        <v>9340</v>
      </c>
      <c r="I580" s="11">
        <f t="shared" si="36"/>
        <v>410</v>
      </c>
      <c r="J580" s="11">
        <f t="shared" si="37"/>
        <v>831260</v>
      </c>
      <c r="K580" s="1">
        <f t="shared" si="38"/>
        <v>9340.0000579999996</v>
      </c>
      <c r="L580" s="15">
        <f t="shared" si="39"/>
        <v>0.82005799999999995</v>
      </c>
    </row>
    <row r="581" spans="1:12" ht="15" customHeight="1" x14ac:dyDescent="0.25">
      <c r="A581" s="10" t="str">
        <f>Raw_Data!A581</f>
        <v>Fire-Boltt Tank 1.85" Bluetooth Calling Smart Watch, 123 Sports Mode, 8 UI Interactions, Built in Speaker &amp; Mic, 7 Days Battery &amp; Fire-Boltt Health Suite</v>
      </c>
      <c r="B581" s="10" t="str">
        <f>IFERROR(TRIM(LEFT(Raw_Data!A581,FIND(" ",Raw_Data!A581)-1)),Raw_Data!A581)</f>
        <v>Fire-Boltt</v>
      </c>
      <c r="C581" s="10" t="str">
        <f>IFERROR(LEFT(Raw_Data!B581,FIND("|",Raw_Data!B581)-1),Raw_Data!B581)</f>
        <v>Electronics</v>
      </c>
      <c r="D581" s="11">
        <f>IFERROR(VALUE(SUBSTITUTE(SUBSTITUTE(TRIM(Raw_Data!C581),"₹",""),",","")),"")</f>
        <v>2999</v>
      </c>
      <c r="E581" s="11">
        <f>IFERROR(VALUE(SUBSTITUTE(SUBSTITUTE(TRIM(Raw_Data!D581),"₹",""),",","")),"")</f>
        <v>11999</v>
      </c>
      <c r="F581" s="12">
        <f>IFERROR(VALUE(SUBSTITUTE(Raw_Data!E581,"%",""))/100,"")</f>
        <v>0.75</v>
      </c>
      <c r="G581" s="13">
        <f>IFERROR(VALUE(Raw_Data!F581),"")</f>
        <v>4.4000000000000004</v>
      </c>
      <c r="H581" s="14">
        <f>IFERROR(VALUE(SUBSTITUTE(Raw_Data!G581,",","")),"")</f>
        <v>768</v>
      </c>
      <c r="I581" s="11">
        <f t="shared" si="36"/>
        <v>9000</v>
      </c>
      <c r="J581" s="11">
        <f t="shared" si="37"/>
        <v>2303232</v>
      </c>
      <c r="K581" s="1">
        <f t="shared" si="38"/>
        <v>768.00005810000005</v>
      </c>
      <c r="L581" s="15">
        <f t="shared" si="39"/>
        <v>0.75005809999999995</v>
      </c>
    </row>
    <row r="582" spans="1:12" ht="15" customHeight="1" x14ac:dyDescent="0.25">
      <c r="A582" s="10" t="str">
        <f>Raw_Data!A582</f>
        <v>Elv Aluminium Adjustable Mobile Phone Foldable Holder Tabletop Stand Dock Mount for All Smartphones, Tabs, Kindle, iPad (Moonlight Silver)</v>
      </c>
      <c r="B582" s="10" t="str">
        <f>IFERROR(TRIM(LEFT(Raw_Data!A582,FIND(" ",Raw_Data!A582)-1)),Raw_Data!A582)</f>
        <v>Elv</v>
      </c>
      <c r="C582" s="10" t="str">
        <f>IFERROR(LEFT(Raw_Data!B582,FIND("|",Raw_Data!B582)-1),Raw_Data!B582)</f>
        <v>Electronics</v>
      </c>
      <c r="D582" s="11">
        <f>IFERROR(VALUE(SUBSTITUTE(SUBSTITUTE(TRIM(Raw_Data!C582),"₹",""),",","")),"")</f>
        <v>314</v>
      </c>
      <c r="E582" s="11">
        <f>IFERROR(VALUE(SUBSTITUTE(SUBSTITUTE(TRIM(Raw_Data!D582),"₹",""),",","")),"")</f>
        <v>1499</v>
      </c>
      <c r="F582" s="12">
        <f>IFERROR(VALUE(SUBSTITUTE(Raw_Data!E582,"%",""))/100,"")</f>
        <v>0.79</v>
      </c>
      <c r="G582" s="13">
        <f>IFERROR(VALUE(Raw_Data!F582),"")</f>
        <v>4.5</v>
      </c>
      <c r="H582" s="14">
        <f>IFERROR(VALUE(SUBSTITUTE(Raw_Data!G582,",","")),"")</f>
        <v>28978</v>
      </c>
      <c r="I582" s="11">
        <f t="shared" si="36"/>
        <v>1185</v>
      </c>
      <c r="J582" s="11">
        <f t="shared" si="37"/>
        <v>9099092</v>
      </c>
      <c r="K582" s="1">
        <f t="shared" si="38"/>
        <v>28978.000058199999</v>
      </c>
      <c r="L582" s="15">
        <f t="shared" si="39"/>
        <v>0.79005820000000004</v>
      </c>
    </row>
    <row r="583" spans="1:12" ht="15" customHeight="1" x14ac:dyDescent="0.25">
      <c r="A583" s="10" t="str">
        <f>Raw_Data!A583</f>
        <v>Samsung Galaxy M13 5G (Stardust Brown, 6GB, 128GB Storage) | 5000mAh Battery | Upto 12GB RAM with RAM Plus</v>
      </c>
      <c r="B583" s="10" t="str">
        <f>IFERROR(TRIM(LEFT(Raw_Data!A583,FIND(" ",Raw_Data!A583)-1)),Raw_Data!A583)</f>
        <v>Samsung</v>
      </c>
      <c r="C583" s="10" t="str">
        <f>IFERROR(LEFT(Raw_Data!B583,FIND("|",Raw_Data!B583)-1),Raw_Data!B583)</f>
        <v>Electronics</v>
      </c>
      <c r="D583" s="11">
        <f>IFERROR(VALUE(SUBSTITUTE(SUBSTITUTE(TRIM(Raw_Data!C583),"₹",""),",","")),"")</f>
        <v>13999</v>
      </c>
      <c r="E583" s="11">
        <f>IFERROR(VALUE(SUBSTITUTE(SUBSTITUTE(TRIM(Raw_Data!D583),"₹",""),",","")),"")</f>
        <v>19499</v>
      </c>
      <c r="F583" s="12">
        <f>IFERROR(VALUE(SUBSTITUTE(Raw_Data!E583,"%",""))/100,"")</f>
        <v>0.28000000000000003</v>
      </c>
      <c r="G583" s="13">
        <f>IFERROR(VALUE(Raw_Data!F583),"")</f>
        <v>4.0999999999999996</v>
      </c>
      <c r="H583" s="14">
        <f>IFERROR(VALUE(SUBSTITUTE(Raw_Data!G583,",","")),"")</f>
        <v>18998</v>
      </c>
      <c r="I583" s="11">
        <f t="shared" si="36"/>
        <v>5500</v>
      </c>
      <c r="J583" s="11">
        <f t="shared" si="37"/>
        <v>265953002</v>
      </c>
      <c r="K583" s="1">
        <f t="shared" si="38"/>
        <v>18998.0000583</v>
      </c>
      <c r="L583" s="15">
        <f t="shared" si="39"/>
        <v>0.28005830000000004</v>
      </c>
    </row>
    <row r="584" spans="1:12" ht="15" customHeight="1" x14ac:dyDescent="0.25">
      <c r="A584" s="10" t="str">
        <f>Raw_Data!A584</f>
        <v>DYAZO USB 3.0 Type C Female to USB A Male Connector/Converter/Adapter Compatible for Samsung Galaxy Note s 20 10 Plus Ultra,Google Pixel 4 5 3 2 &amp; Other Type-c Devices</v>
      </c>
      <c r="B584" s="10" t="str">
        <f>IFERROR(TRIM(LEFT(Raw_Data!A584,FIND(" ",Raw_Data!A584)-1)),Raw_Data!A584)</f>
        <v>DYAZO</v>
      </c>
      <c r="C584" s="10" t="str">
        <f>IFERROR(LEFT(Raw_Data!B584,FIND("|",Raw_Data!B584)-1),Raw_Data!B584)</f>
        <v>Electronics</v>
      </c>
      <c r="D584" s="11">
        <f>IFERROR(VALUE(SUBSTITUTE(SUBSTITUTE(TRIM(Raw_Data!C584),"₹",""),",","")),"")</f>
        <v>139</v>
      </c>
      <c r="E584" s="11">
        <f>IFERROR(VALUE(SUBSTITUTE(SUBSTITUTE(TRIM(Raw_Data!D584),"₹",""),",","")),"")</f>
        <v>499</v>
      </c>
      <c r="F584" s="12">
        <f>IFERROR(VALUE(SUBSTITUTE(Raw_Data!E584,"%",""))/100,"")</f>
        <v>0.72</v>
      </c>
      <c r="G584" s="13">
        <f>IFERROR(VALUE(Raw_Data!F584),"")</f>
        <v>4.2</v>
      </c>
      <c r="H584" s="14">
        <f>IFERROR(VALUE(SUBSTITUTE(Raw_Data!G584,",","")),"")</f>
        <v>4971</v>
      </c>
      <c r="I584" s="11">
        <f t="shared" si="36"/>
        <v>360</v>
      </c>
      <c r="J584" s="11">
        <f t="shared" si="37"/>
        <v>690969</v>
      </c>
      <c r="K584" s="1">
        <f t="shared" si="38"/>
        <v>4971.0000583999999</v>
      </c>
      <c r="L584" s="15">
        <f t="shared" si="39"/>
        <v>0.72005839999999999</v>
      </c>
    </row>
    <row r="585" spans="1:12" ht="15" customHeight="1" x14ac:dyDescent="0.25">
      <c r="A585" s="10" t="str">
        <f>Raw_Data!A585</f>
        <v>KINGONE Wireless Charging Pencil (2nd Generation) for iPad with Magnetic and Tilt Sensitive, Palm Rejection, Compatible with Apple iPad Pro 11 inch 1/2/3/4, iPad Pro 12.9 Inch 3/4/5/6, iPad Air 4/5, mini6</v>
      </c>
      <c r="B585" s="10" t="str">
        <f>IFERROR(TRIM(LEFT(Raw_Data!A585,FIND(" ",Raw_Data!A585)-1)),Raw_Data!A585)</f>
        <v>KINGONE</v>
      </c>
      <c r="C585" s="10" t="str">
        <f>IFERROR(LEFT(Raw_Data!B585,FIND("|",Raw_Data!B585)-1),Raw_Data!B585)</f>
        <v>Electronics</v>
      </c>
      <c r="D585" s="11">
        <f>IFERROR(VALUE(SUBSTITUTE(SUBSTITUTE(TRIM(Raw_Data!C585),"₹",""),",","")),"")</f>
        <v>2599</v>
      </c>
      <c r="E585" s="11">
        <f>IFERROR(VALUE(SUBSTITUTE(SUBSTITUTE(TRIM(Raw_Data!D585),"₹",""),",","")),"")</f>
        <v>6999</v>
      </c>
      <c r="F585" s="12">
        <f>IFERROR(VALUE(SUBSTITUTE(Raw_Data!E585,"%",""))/100,"")</f>
        <v>0.63</v>
      </c>
      <c r="G585" s="13">
        <f>IFERROR(VALUE(Raw_Data!F585),"")</f>
        <v>4.5</v>
      </c>
      <c r="H585" s="14">
        <f>IFERROR(VALUE(SUBSTITUTE(Raw_Data!G585,",","")),"")</f>
        <v>1526</v>
      </c>
      <c r="I585" s="11">
        <f t="shared" si="36"/>
        <v>4400</v>
      </c>
      <c r="J585" s="11">
        <f t="shared" si="37"/>
        <v>3966074</v>
      </c>
      <c r="K585" s="1">
        <f t="shared" si="38"/>
        <v>1526.0000585</v>
      </c>
      <c r="L585" s="15">
        <f t="shared" si="39"/>
        <v>0.63005849999999997</v>
      </c>
    </row>
    <row r="586" spans="1:12" ht="15" customHeight="1" x14ac:dyDescent="0.25">
      <c r="A586" s="10" t="str">
        <f>Raw_Data!A586</f>
        <v>boAt BassHeads 100 in-Ear Wired Headphones with Mic (Black)</v>
      </c>
      <c r="B586" s="10" t="str">
        <f>IFERROR(TRIM(LEFT(Raw_Data!A586,FIND(" ",Raw_Data!A586)-1)),Raw_Data!A586)</f>
        <v>boAt</v>
      </c>
      <c r="C586" s="10" t="str">
        <f>IFERROR(LEFT(Raw_Data!B586,FIND("|",Raw_Data!B586)-1),Raw_Data!B586)</f>
        <v>Electronics</v>
      </c>
      <c r="D586" s="11">
        <f>IFERROR(VALUE(SUBSTITUTE(SUBSTITUTE(TRIM(Raw_Data!C586),"₹",""),",","")),"")</f>
        <v>365</v>
      </c>
      <c r="E586" s="11">
        <f>IFERROR(VALUE(SUBSTITUTE(SUBSTITUTE(TRIM(Raw_Data!D586),"₹",""),",","")),"")</f>
        <v>999</v>
      </c>
      <c r="F586" s="12">
        <f>IFERROR(VALUE(SUBSTITUTE(Raw_Data!E586,"%",""))/100,"")</f>
        <v>0.63</v>
      </c>
      <c r="G586" s="13">
        <f>IFERROR(VALUE(Raw_Data!F586),"")</f>
        <v>4.0999999999999996</v>
      </c>
      <c r="H586" s="14">
        <f>IFERROR(VALUE(SUBSTITUTE(Raw_Data!G586,",","")),"")</f>
        <v>363711</v>
      </c>
      <c r="I586" s="11">
        <f t="shared" si="36"/>
        <v>634</v>
      </c>
      <c r="J586" s="11">
        <f t="shared" si="37"/>
        <v>132754515</v>
      </c>
      <c r="K586" s="1">
        <f t="shared" si="38"/>
        <v>363711.00005859998</v>
      </c>
      <c r="L586" s="15">
        <f t="shared" si="39"/>
        <v>0.63005860000000002</v>
      </c>
    </row>
    <row r="587" spans="1:12" ht="15" customHeight="1" x14ac:dyDescent="0.25">
      <c r="A587" s="10" t="str">
        <f>Raw_Data!A587</f>
        <v>boAt Airdopes 141 Bluetooth Truly Wireless in Ear Earbuds with mic, 42H Playtime, Beast Mode(Low Latency Upto 80ms) for Gaming, ENx Tech, ASAP Charge, IWP, IPX4 Water Resistance (Bold Black)</v>
      </c>
      <c r="B587" s="10" t="str">
        <f>IFERROR(TRIM(LEFT(Raw_Data!A587,FIND(" ",Raw_Data!A587)-1)),Raw_Data!A587)</f>
        <v>boAt</v>
      </c>
      <c r="C587" s="10" t="str">
        <f>IFERROR(LEFT(Raw_Data!B587,FIND("|",Raw_Data!B587)-1),Raw_Data!B587)</f>
        <v>Electronics</v>
      </c>
      <c r="D587" s="11">
        <f>IFERROR(VALUE(SUBSTITUTE(SUBSTITUTE(TRIM(Raw_Data!C587),"₹",""),",","")),"")</f>
        <v>1499</v>
      </c>
      <c r="E587" s="11">
        <f>IFERROR(VALUE(SUBSTITUTE(SUBSTITUTE(TRIM(Raw_Data!D587),"₹",""),",","")),"")</f>
        <v>4490</v>
      </c>
      <c r="F587" s="12">
        <f>IFERROR(VALUE(SUBSTITUTE(Raw_Data!E587,"%",""))/100,"")</f>
        <v>0.67</v>
      </c>
      <c r="G587" s="13">
        <f>IFERROR(VALUE(Raw_Data!F587),"")</f>
        <v>3.9</v>
      </c>
      <c r="H587" s="14">
        <f>IFERROR(VALUE(SUBSTITUTE(Raw_Data!G587,",","")),"")</f>
        <v>136954</v>
      </c>
      <c r="I587" s="11">
        <f t="shared" si="36"/>
        <v>2991</v>
      </c>
      <c r="J587" s="11">
        <f t="shared" si="37"/>
        <v>205294046</v>
      </c>
      <c r="K587" s="1">
        <f t="shared" si="38"/>
        <v>136954.00005870001</v>
      </c>
      <c r="L587" s="15">
        <f t="shared" si="39"/>
        <v>0.67005870000000001</v>
      </c>
    </row>
    <row r="588" spans="1:12" ht="15" customHeight="1" x14ac:dyDescent="0.25">
      <c r="A588" s="10" t="str">
        <f>Raw_Data!A588</f>
        <v>Fire-Boltt Phoenix Smart Watch with Bluetooth Calling 1.3",120+ Sports Modes, 240*240 PX High Res with SpO2, Heart Rate Monitoring &amp; IP67 Rating</v>
      </c>
      <c r="B588" s="10" t="str">
        <f>IFERROR(TRIM(LEFT(Raw_Data!A588,FIND(" ",Raw_Data!A588)-1)),Raw_Data!A588)</f>
        <v>Fire-Boltt</v>
      </c>
      <c r="C588" s="10" t="str">
        <f>IFERROR(LEFT(Raw_Data!B588,FIND("|",Raw_Data!B588)-1),Raw_Data!B588)</f>
        <v>Electronics</v>
      </c>
      <c r="D588" s="11">
        <f>IFERROR(VALUE(SUBSTITUTE(SUBSTITUTE(TRIM(Raw_Data!C588),"₹",""),",","")),"")</f>
        <v>1998</v>
      </c>
      <c r="E588" s="11">
        <f>IFERROR(VALUE(SUBSTITUTE(SUBSTITUTE(TRIM(Raw_Data!D588),"₹",""),",","")),"")</f>
        <v>9999</v>
      </c>
      <c r="F588" s="12">
        <f>IFERROR(VALUE(SUBSTITUTE(Raw_Data!E588,"%",""))/100,"")</f>
        <v>0.8</v>
      </c>
      <c r="G588" s="13">
        <f>IFERROR(VALUE(Raw_Data!F588),"")</f>
        <v>4.3</v>
      </c>
      <c r="H588" s="14">
        <f>IFERROR(VALUE(SUBSTITUTE(Raw_Data!G588,",","")),"")</f>
        <v>27709</v>
      </c>
      <c r="I588" s="11">
        <f t="shared" si="36"/>
        <v>8001</v>
      </c>
      <c r="J588" s="11">
        <f t="shared" si="37"/>
        <v>55362582</v>
      </c>
      <c r="K588" s="1">
        <f t="shared" si="38"/>
        <v>27709.0000588</v>
      </c>
      <c r="L588" s="15">
        <f t="shared" si="39"/>
        <v>0.80005880000000007</v>
      </c>
    </row>
    <row r="589" spans="1:12" ht="15" customHeight="1" x14ac:dyDescent="0.25">
      <c r="A589" s="10" t="str">
        <f>Raw_Data!A589</f>
        <v>boAt Wave Call Smart Watch, Smart Talk with Advanced Dedicated Bluetooth Calling Chip, 1.69” HD Display with 550 NITS &amp; 70% Color Gamut, 150+ Watch Faces, Multi-Sport Modes,HR,SpO2, IP68(Active Black)</v>
      </c>
      <c r="B589" s="10" t="str">
        <f>IFERROR(TRIM(LEFT(Raw_Data!A589,FIND(" ",Raw_Data!A589)-1)),Raw_Data!A589)</f>
        <v>boAt</v>
      </c>
      <c r="C589" s="10" t="str">
        <f>IFERROR(LEFT(Raw_Data!B589,FIND("|",Raw_Data!B589)-1),Raw_Data!B589)</f>
        <v>Electronics</v>
      </c>
      <c r="D589" s="11">
        <f>IFERROR(VALUE(SUBSTITUTE(SUBSTITUTE(TRIM(Raw_Data!C589),"₹",""),",","")),"")</f>
        <v>1799</v>
      </c>
      <c r="E589" s="11">
        <f>IFERROR(VALUE(SUBSTITUTE(SUBSTITUTE(TRIM(Raw_Data!D589),"₹",""),",","")),"")</f>
        <v>7990</v>
      </c>
      <c r="F589" s="12">
        <f>IFERROR(VALUE(SUBSTITUTE(Raw_Data!E589,"%",""))/100,"")</f>
        <v>0.77</v>
      </c>
      <c r="G589" s="13">
        <f>IFERROR(VALUE(Raw_Data!F589),"")</f>
        <v>3.8</v>
      </c>
      <c r="H589" s="14">
        <f>IFERROR(VALUE(SUBSTITUTE(Raw_Data!G589,",","")),"")</f>
        <v>17833</v>
      </c>
      <c r="I589" s="11">
        <f t="shared" si="36"/>
        <v>6191</v>
      </c>
      <c r="J589" s="11">
        <f t="shared" si="37"/>
        <v>32081567</v>
      </c>
      <c r="K589" s="1">
        <f t="shared" si="38"/>
        <v>17833.000058900001</v>
      </c>
      <c r="L589" s="15">
        <f t="shared" si="39"/>
        <v>0.77005889999999999</v>
      </c>
    </row>
    <row r="590" spans="1:12" ht="15" customHeight="1" x14ac:dyDescent="0.25">
      <c r="A590" s="10" t="str">
        <f>Raw_Data!A590</f>
        <v>SanDisk Cruzer Blade 32GB USB Flash Drive</v>
      </c>
      <c r="B590" s="10" t="str">
        <f>IFERROR(TRIM(LEFT(Raw_Data!A590,FIND(" ",Raw_Data!A590)-1)),Raw_Data!A590)</f>
        <v>SanDisk</v>
      </c>
      <c r="C590" s="10" t="str">
        <f>IFERROR(LEFT(Raw_Data!B590,FIND("|",Raw_Data!B590)-1),Raw_Data!B590)</f>
        <v>Computers&amp;Accessories</v>
      </c>
      <c r="D590" s="11">
        <f>IFERROR(VALUE(SUBSTITUTE(SUBSTITUTE(TRIM(Raw_Data!C590),"₹",""),",","")),"")</f>
        <v>289</v>
      </c>
      <c r="E590" s="11">
        <f>IFERROR(VALUE(SUBSTITUTE(SUBSTITUTE(TRIM(Raw_Data!D590),"₹",""),",","")),"")</f>
        <v>650</v>
      </c>
      <c r="F590" s="12">
        <f>IFERROR(VALUE(SUBSTITUTE(Raw_Data!E590,"%",""))/100,"")</f>
        <v>0.56000000000000005</v>
      </c>
      <c r="G590" s="13">
        <f>IFERROR(VALUE(Raw_Data!F590),"")</f>
        <v>4.3</v>
      </c>
      <c r="H590" s="14">
        <f>IFERROR(VALUE(SUBSTITUTE(Raw_Data!G590,",","")),"")</f>
        <v>253105</v>
      </c>
      <c r="I590" s="11">
        <f t="shared" si="36"/>
        <v>361</v>
      </c>
      <c r="J590" s="11">
        <f t="shared" si="37"/>
        <v>73147345</v>
      </c>
      <c r="K590" s="1">
        <f t="shared" si="38"/>
        <v>253105.00005900001</v>
      </c>
      <c r="L590" s="15">
        <f t="shared" si="39"/>
        <v>0.56005900000000008</v>
      </c>
    </row>
    <row r="591" spans="1:12" ht="15" customHeight="1" x14ac:dyDescent="0.25">
      <c r="A591" s="10" t="str">
        <f>Raw_Data!A591</f>
        <v>Logitech B170 Wireless Mouse, 2.4 GHz with USB Nano Receiver, Optical Tracking, 12-Months Battery Life, Ambidextrous, PC/Mac/Laptop - Black</v>
      </c>
      <c r="B591" s="10" t="str">
        <f>IFERROR(TRIM(LEFT(Raw_Data!A591,FIND(" ",Raw_Data!A591)-1)),Raw_Data!A591)</f>
        <v>Logitech</v>
      </c>
      <c r="C591" s="10" t="str">
        <f>IFERROR(LEFT(Raw_Data!B591,FIND("|",Raw_Data!B591)-1),Raw_Data!B591)</f>
        <v>Computers&amp;Accessories</v>
      </c>
      <c r="D591" s="11">
        <f>IFERROR(VALUE(SUBSTITUTE(SUBSTITUTE(TRIM(Raw_Data!C591),"₹",""),",","")),"")</f>
        <v>599</v>
      </c>
      <c r="E591" s="11">
        <f>IFERROR(VALUE(SUBSTITUTE(SUBSTITUTE(TRIM(Raw_Data!D591),"₹",""),",","")),"")</f>
        <v>895</v>
      </c>
      <c r="F591" s="12">
        <f>IFERROR(VALUE(SUBSTITUTE(Raw_Data!E591,"%",""))/100,"")</f>
        <v>0.33</v>
      </c>
      <c r="G591" s="13">
        <f>IFERROR(VALUE(Raw_Data!F591),"")</f>
        <v>4.4000000000000004</v>
      </c>
      <c r="H591" s="14">
        <f>IFERROR(VALUE(SUBSTITUTE(Raw_Data!G591,",","")),"")</f>
        <v>61314</v>
      </c>
      <c r="I591" s="11">
        <f t="shared" si="36"/>
        <v>296</v>
      </c>
      <c r="J591" s="11">
        <f t="shared" si="37"/>
        <v>36727086</v>
      </c>
      <c r="K591" s="1">
        <f t="shared" si="38"/>
        <v>61314.000059099999</v>
      </c>
      <c r="L591" s="15">
        <f t="shared" si="39"/>
        <v>0.33005909999999999</v>
      </c>
    </row>
    <row r="592" spans="1:12" ht="15" customHeight="1" x14ac:dyDescent="0.25">
      <c r="A592" s="10" t="str">
        <f>Raw_Data!A592</f>
        <v>Storio Kids Toys LCD Writing Tablet 8.5Inch E-Note Pad Best Birthday Gift for Girls Boys, Multicolor (SC1667)</v>
      </c>
      <c r="B592" s="10" t="str">
        <f>IFERROR(TRIM(LEFT(Raw_Data!A592,FIND(" ",Raw_Data!A592)-1)),Raw_Data!A592)</f>
        <v>Storio</v>
      </c>
      <c r="C592" s="10" t="str">
        <f>IFERROR(LEFT(Raw_Data!B592,FIND("|",Raw_Data!B592)-1),Raw_Data!B592)</f>
        <v>Computers&amp;Accessories</v>
      </c>
      <c r="D592" s="11">
        <f>IFERROR(VALUE(SUBSTITUTE(SUBSTITUTE(TRIM(Raw_Data!C592),"₹",""),",","")),"")</f>
        <v>217</v>
      </c>
      <c r="E592" s="11">
        <f>IFERROR(VALUE(SUBSTITUTE(SUBSTITUTE(TRIM(Raw_Data!D592),"₹",""),",","")),"")</f>
        <v>237</v>
      </c>
      <c r="F592" s="12">
        <f>IFERROR(VALUE(SUBSTITUTE(Raw_Data!E592,"%",""))/100,"")</f>
        <v>0.08</v>
      </c>
      <c r="G592" s="13">
        <f>IFERROR(VALUE(Raw_Data!F592),"")</f>
        <v>3.8</v>
      </c>
      <c r="H592" s="14">
        <f>IFERROR(VALUE(SUBSTITUTE(Raw_Data!G592,",","")),"")</f>
        <v>7354</v>
      </c>
      <c r="I592" s="11">
        <f t="shared" si="36"/>
        <v>20</v>
      </c>
      <c r="J592" s="11">
        <f t="shared" si="37"/>
        <v>1595818</v>
      </c>
      <c r="K592" s="1">
        <f t="shared" si="38"/>
        <v>7354.0000591999997</v>
      </c>
      <c r="L592" s="15">
        <f t="shared" si="39"/>
        <v>8.0059199999999997E-2</v>
      </c>
    </row>
    <row r="593" spans="1:12" ht="15" customHeight="1" x14ac:dyDescent="0.25">
      <c r="A593" s="10" t="str">
        <f>Raw_Data!A593</f>
        <v>boAt Airdopes 121v2 in-Ear True Wireless Earbuds with Upto 14 Hours Playback, 8MM Drivers, Battery Indicators, Lightweight Earbuds &amp; Multifunction Controls (Active Black, with Mic)</v>
      </c>
      <c r="B593" s="10" t="str">
        <f>IFERROR(TRIM(LEFT(Raw_Data!A593,FIND(" ",Raw_Data!A593)-1)),Raw_Data!A593)</f>
        <v>boAt</v>
      </c>
      <c r="C593" s="10" t="str">
        <f>IFERROR(LEFT(Raw_Data!B593,FIND("|",Raw_Data!B593)-1),Raw_Data!B593)</f>
        <v>Electronics</v>
      </c>
      <c r="D593" s="11">
        <f>IFERROR(VALUE(SUBSTITUTE(SUBSTITUTE(TRIM(Raw_Data!C593),"₹",""),",","")),"")</f>
        <v>1299</v>
      </c>
      <c r="E593" s="11">
        <f>IFERROR(VALUE(SUBSTITUTE(SUBSTITUTE(TRIM(Raw_Data!D593),"₹",""),",","")),"")</f>
        <v>2990</v>
      </c>
      <c r="F593" s="12">
        <f>IFERROR(VALUE(SUBSTITUTE(Raw_Data!E593,"%",""))/100,"")</f>
        <v>0.56999999999999995</v>
      </c>
      <c r="G593" s="13">
        <f>IFERROR(VALUE(Raw_Data!F593),"")</f>
        <v>3.8</v>
      </c>
      <c r="H593" s="14">
        <f>IFERROR(VALUE(SUBSTITUTE(Raw_Data!G593,",","")),"")</f>
        <v>180998</v>
      </c>
      <c r="I593" s="11">
        <f t="shared" si="36"/>
        <v>1691</v>
      </c>
      <c r="J593" s="11">
        <f t="shared" si="37"/>
        <v>235116402</v>
      </c>
      <c r="K593" s="1">
        <f t="shared" si="38"/>
        <v>180998.00005929999</v>
      </c>
      <c r="L593" s="15">
        <f t="shared" si="39"/>
        <v>0.57005929999999994</v>
      </c>
    </row>
    <row r="594" spans="1:12" ht="15" customHeight="1" x14ac:dyDescent="0.25">
      <c r="A594" s="10" t="str">
        <f>Raw_Data!A594</f>
        <v>SKE Bed Study Table Portable Wood Multifunction Laptop-Table Lapdesk for Children Bed Foldabe Table Work with Tablet Slot &amp; Cup Holder Brown Black</v>
      </c>
      <c r="B594" s="10" t="str">
        <f>IFERROR(TRIM(LEFT(Raw_Data!A594,FIND(" ",Raw_Data!A594)-1)),Raw_Data!A594)</f>
        <v>SKE</v>
      </c>
      <c r="C594" s="10" t="str">
        <f>IFERROR(LEFT(Raw_Data!B594,FIND("|",Raw_Data!B594)-1),Raw_Data!B594)</f>
        <v>Computers&amp;Accessories</v>
      </c>
      <c r="D594" s="11">
        <f>IFERROR(VALUE(SUBSTITUTE(SUBSTITUTE(TRIM(Raw_Data!C594),"₹",""),",","")),"")</f>
        <v>263</v>
      </c>
      <c r="E594" s="11">
        <f>IFERROR(VALUE(SUBSTITUTE(SUBSTITUTE(TRIM(Raw_Data!D594),"₹",""),",","")),"")</f>
        <v>699</v>
      </c>
      <c r="F594" s="12">
        <f>IFERROR(VALUE(SUBSTITUTE(Raw_Data!E594,"%",""))/100,"")</f>
        <v>0.62</v>
      </c>
      <c r="G594" s="13">
        <f>IFERROR(VALUE(Raw_Data!F594),"")</f>
        <v>3.5</v>
      </c>
      <c r="H594" s="14">
        <f>IFERROR(VALUE(SUBSTITUTE(Raw_Data!G594,",","")),"")</f>
        <v>690</v>
      </c>
      <c r="I594" s="11">
        <f t="shared" si="36"/>
        <v>436</v>
      </c>
      <c r="J594" s="11">
        <f t="shared" si="37"/>
        <v>181470</v>
      </c>
      <c r="K594" s="1">
        <f t="shared" si="38"/>
        <v>690.00005940000005</v>
      </c>
      <c r="L594" s="15">
        <f t="shared" si="39"/>
        <v>0.62005940000000004</v>
      </c>
    </row>
    <row r="595" spans="1:12" ht="15" customHeight="1" x14ac:dyDescent="0.25">
      <c r="A595" s="10" t="str">
        <f>Raw_Data!A595</f>
        <v>SanDisk Ultra® microSDXC™ UHS-I Card, 64GB, 140MB/s R, 10 Y Warranty, for Smartphones</v>
      </c>
      <c r="B595" s="10" t="str">
        <f>IFERROR(TRIM(LEFT(Raw_Data!A595,FIND(" ",Raw_Data!A595)-1)),Raw_Data!A595)</f>
        <v>SanDisk</v>
      </c>
      <c r="C595" s="10" t="str">
        <f>IFERROR(LEFT(Raw_Data!B595,FIND("|",Raw_Data!B595)-1),Raw_Data!B595)</f>
        <v>Electronics</v>
      </c>
      <c r="D595" s="11">
        <f>IFERROR(VALUE(SUBSTITUTE(SUBSTITUTE(TRIM(Raw_Data!C595),"₹",""),",","")),"")</f>
        <v>569</v>
      </c>
      <c r="E595" s="11">
        <f>IFERROR(VALUE(SUBSTITUTE(SUBSTITUTE(TRIM(Raw_Data!D595),"₹",""),",","")),"")</f>
        <v>1000</v>
      </c>
      <c r="F595" s="12">
        <f>IFERROR(VALUE(SUBSTITUTE(Raw_Data!E595,"%",""))/100,"")</f>
        <v>0.43</v>
      </c>
      <c r="G595" s="13">
        <f>IFERROR(VALUE(Raw_Data!F595),"")</f>
        <v>4.4000000000000004</v>
      </c>
      <c r="H595" s="14">
        <f>IFERROR(VALUE(SUBSTITUTE(Raw_Data!G595,",","")),"")</f>
        <v>67262</v>
      </c>
      <c r="I595" s="11">
        <f t="shared" si="36"/>
        <v>431</v>
      </c>
      <c r="J595" s="11">
        <f t="shared" si="37"/>
        <v>38272078</v>
      </c>
      <c r="K595" s="1">
        <f t="shared" si="38"/>
        <v>67262.000059500002</v>
      </c>
      <c r="L595" s="15">
        <f t="shared" si="39"/>
        <v>0.43005949999999998</v>
      </c>
    </row>
    <row r="596" spans="1:12" ht="15" customHeight="1" x14ac:dyDescent="0.25">
      <c r="A596" s="10" t="str">
        <f>Raw_Data!A596</f>
        <v>Noise Pulse Go Buzz Smart Watch Bluetooth Calling with 1.69" Display, 550 NITS, 150+ Cloud Watch Face, SPo2, Heart Rate Tracking, 100 Sports Mode with Auto Detection, Longer Battery (Jet Black)</v>
      </c>
      <c r="B596" s="10" t="str">
        <f>IFERROR(TRIM(LEFT(Raw_Data!A596,FIND(" ",Raw_Data!A596)-1)),Raw_Data!A596)</f>
        <v>Noise</v>
      </c>
      <c r="C596" s="10" t="str">
        <f>IFERROR(LEFT(Raw_Data!B596,FIND("|",Raw_Data!B596)-1),Raw_Data!B596)</f>
        <v>Electronics</v>
      </c>
      <c r="D596" s="11">
        <f>IFERROR(VALUE(SUBSTITUTE(SUBSTITUTE(TRIM(Raw_Data!C596),"₹",""),",","")),"")</f>
        <v>1999</v>
      </c>
      <c r="E596" s="11">
        <f>IFERROR(VALUE(SUBSTITUTE(SUBSTITUTE(TRIM(Raw_Data!D596),"₹",""),",","")),"")</f>
        <v>4999</v>
      </c>
      <c r="F596" s="12">
        <f>IFERROR(VALUE(SUBSTITUTE(Raw_Data!E596,"%",""))/100,"")</f>
        <v>0.6</v>
      </c>
      <c r="G596" s="13">
        <f>IFERROR(VALUE(Raw_Data!F596),"")</f>
        <v>4.0999999999999996</v>
      </c>
      <c r="H596" s="14">
        <f>IFERROR(VALUE(SUBSTITUTE(Raw_Data!G596,",","")),"")</f>
        <v>10689</v>
      </c>
      <c r="I596" s="11">
        <f t="shared" si="36"/>
        <v>3000</v>
      </c>
      <c r="J596" s="11">
        <f t="shared" si="37"/>
        <v>21367311</v>
      </c>
      <c r="K596" s="1">
        <f t="shared" si="38"/>
        <v>10689.000059600001</v>
      </c>
      <c r="L596" s="15">
        <f t="shared" si="39"/>
        <v>0.60005960000000003</v>
      </c>
    </row>
    <row r="597" spans="1:12" ht="15" customHeight="1" x14ac:dyDescent="0.25">
      <c r="A597" s="10" t="str">
        <f>Raw_Data!A597</f>
        <v>boAt Rockerz 255 Pro+ in-Ear Bluetooth Neckband with Upto 40 Hours Playback, ASAP  Charge, IPX7, Dual Pairing, BT v5.0, with Mic (Active Black)</v>
      </c>
      <c r="B597" s="10" t="str">
        <f>IFERROR(TRIM(LEFT(Raw_Data!A597,FIND(" ",Raw_Data!A597)-1)),Raw_Data!A597)</f>
        <v>boAt</v>
      </c>
      <c r="C597" s="10" t="str">
        <f>IFERROR(LEFT(Raw_Data!B597,FIND("|",Raw_Data!B597)-1),Raw_Data!B597)</f>
        <v>Electronics</v>
      </c>
      <c r="D597" s="11">
        <f>IFERROR(VALUE(SUBSTITUTE(SUBSTITUTE(TRIM(Raw_Data!C597),"₹",""),",","")),"")</f>
        <v>1399</v>
      </c>
      <c r="E597" s="11">
        <f>IFERROR(VALUE(SUBSTITUTE(SUBSTITUTE(TRIM(Raw_Data!D597),"₹",""),",","")),"")</f>
        <v>3990</v>
      </c>
      <c r="F597" s="12">
        <f>IFERROR(VALUE(SUBSTITUTE(Raw_Data!E597,"%",""))/100,"")</f>
        <v>0.65</v>
      </c>
      <c r="G597" s="13">
        <f>IFERROR(VALUE(Raw_Data!F597),"")</f>
        <v>4.0999999999999996</v>
      </c>
      <c r="H597" s="14">
        <f>IFERROR(VALUE(SUBSTITUTE(Raw_Data!G597,",","")),"")</f>
        <v>141841</v>
      </c>
      <c r="I597" s="11">
        <f t="shared" si="36"/>
        <v>2591</v>
      </c>
      <c r="J597" s="11">
        <f t="shared" si="37"/>
        <v>198435559</v>
      </c>
      <c r="K597" s="1">
        <f t="shared" si="38"/>
        <v>141841.00005969999</v>
      </c>
      <c r="L597" s="15">
        <f t="shared" si="39"/>
        <v>0.65005970000000002</v>
      </c>
    </row>
    <row r="598" spans="1:12" ht="15" customHeight="1" x14ac:dyDescent="0.25">
      <c r="A598" s="10" t="str">
        <f>Raw_Data!A598</f>
        <v>STRIFF Adjustable Laptop Tabletop Stand Patented Riser Ventilated Portable Foldable Compatible with MacBook Notebook Tablet Tray Desk Table Book with Free Phone Stand (Black)</v>
      </c>
      <c r="B598" s="10" t="str">
        <f>IFERROR(TRIM(LEFT(Raw_Data!A598,FIND(" ",Raw_Data!A598)-1)),Raw_Data!A598)</f>
        <v>STRIFF</v>
      </c>
      <c r="C598" s="10" t="str">
        <f>IFERROR(LEFT(Raw_Data!B598,FIND("|",Raw_Data!B598)-1),Raw_Data!B598)</f>
        <v>Computers&amp;Accessories</v>
      </c>
      <c r="D598" s="11">
        <f>IFERROR(VALUE(SUBSTITUTE(SUBSTITUTE(TRIM(Raw_Data!C598),"₹",""),",","")),"")</f>
        <v>349</v>
      </c>
      <c r="E598" s="11">
        <f>IFERROR(VALUE(SUBSTITUTE(SUBSTITUTE(TRIM(Raw_Data!D598),"₹",""),",","")),"")</f>
        <v>1499</v>
      </c>
      <c r="F598" s="12">
        <f>IFERROR(VALUE(SUBSTITUTE(Raw_Data!E598,"%",""))/100,"")</f>
        <v>0.77</v>
      </c>
      <c r="G598" s="13">
        <f>IFERROR(VALUE(Raw_Data!F598),"")</f>
        <v>4.3</v>
      </c>
      <c r="H598" s="14">
        <f>IFERROR(VALUE(SUBSTITUTE(Raw_Data!G598,",","")),"")</f>
        <v>24791</v>
      </c>
      <c r="I598" s="11">
        <f t="shared" si="36"/>
        <v>1150</v>
      </c>
      <c r="J598" s="11">
        <f t="shared" si="37"/>
        <v>8652059</v>
      </c>
      <c r="K598" s="1">
        <f t="shared" si="38"/>
        <v>24791.000059800001</v>
      </c>
      <c r="L598" s="15">
        <f t="shared" si="39"/>
        <v>0.77005980000000007</v>
      </c>
    </row>
    <row r="599" spans="1:12" ht="15" customHeight="1" x14ac:dyDescent="0.25">
      <c r="A599" s="10" t="str">
        <f>Raw_Data!A599</f>
        <v>ZEBRONICS Zeb-Bro in Ear Wired Earphones with Mic, 3.5mm Audio Jack, 10mm Drivers, Phone/Tablet Compatible(Black)</v>
      </c>
      <c r="B599" s="10" t="str">
        <f>IFERROR(TRIM(LEFT(Raw_Data!A599,FIND(" ",Raw_Data!A599)-1)),Raw_Data!A599)</f>
        <v>ZEBRONICS</v>
      </c>
      <c r="C599" s="10" t="str">
        <f>IFERROR(LEFT(Raw_Data!B599,FIND("|",Raw_Data!B599)-1),Raw_Data!B599)</f>
        <v>Electronics</v>
      </c>
      <c r="D599" s="11">
        <f>IFERROR(VALUE(SUBSTITUTE(SUBSTITUTE(TRIM(Raw_Data!C599),"₹",""),",","")),"")</f>
        <v>149</v>
      </c>
      <c r="E599" s="11">
        <f>IFERROR(VALUE(SUBSTITUTE(SUBSTITUTE(TRIM(Raw_Data!D599),"₹",""),",","")),"")</f>
        <v>399</v>
      </c>
      <c r="F599" s="12">
        <f>IFERROR(VALUE(SUBSTITUTE(Raw_Data!E599,"%",""))/100,"")</f>
        <v>0.63</v>
      </c>
      <c r="G599" s="13">
        <f>IFERROR(VALUE(Raw_Data!F599),"")</f>
        <v>3.5</v>
      </c>
      <c r="H599" s="14">
        <f>IFERROR(VALUE(SUBSTITUTE(Raw_Data!G599,",","")),"")</f>
        <v>21764</v>
      </c>
      <c r="I599" s="11">
        <f t="shared" si="36"/>
        <v>250</v>
      </c>
      <c r="J599" s="11">
        <f t="shared" si="37"/>
        <v>3242836</v>
      </c>
      <c r="K599" s="1">
        <f t="shared" si="38"/>
        <v>21764.000059900001</v>
      </c>
      <c r="L599" s="15">
        <f t="shared" si="39"/>
        <v>0.63005990000000001</v>
      </c>
    </row>
    <row r="600" spans="1:12" ht="15" customHeight="1" x14ac:dyDescent="0.25">
      <c r="A600" s="10" t="str">
        <f>Raw_Data!A600</f>
        <v>JBL C100SI Wired In Ear Headphones with Mic, JBL Pure Bass Sound, One Button Multi-function Remote, Angled Buds for Comfort fit (Black)</v>
      </c>
      <c r="B600" s="10" t="str">
        <f>IFERROR(TRIM(LEFT(Raw_Data!A600,FIND(" ",Raw_Data!A600)-1)),Raw_Data!A600)</f>
        <v>JBL</v>
      </c>
      <c r="C600" s="10" t="str">
        <f>IFERROR(LEFT(Raw_Data!B600,FIND("|",Raw_Data!B600)-1),Raw_Data!B600)</f>
        <v>Electronics</v>
      </c>
      <c r="D600" s="11">
        <f>IFERROR(VALUE(SUBSTITUTE(SUBSTITUTE(TRIM(Raw_Data!C600),"₹",""),",","")),"")</f>
        <v>599</v>
      </c>
      <c r="E600" s="11">
        <f>IFERROR(VALUE(SUBSTITUTE(SUBSTITUTE(TRIM(Raw_Data!D600),"₹",""),",","")),"")</f>
        <v>999</v>
      </c>
      <c r="F600" s="12">
        <f>IFERROR(VALUE(SUBSTITUTE(Raw_Data!E600,"%",""))/100,"")</f>
        <v>0.4</v>
      </c>
      <c r="G600" s="13">
        <f>IFERROR(VALUE(Raw_Data!F600),"")</f>
        <v>4.0999999999999996</v>
      </c>
      <c r="H600" s="14">
        <f>IFERROR(VALUE(SUBSTITUTE(Raw_Data!G600,",","")),"")</f>
        <v>192587</v>
      </c>
      <c r="I600" s="11">
        <f t="shared" si="36"/>
        <v>400</v>
      </c>
      <c r="J600" s="11">
        <f t="shared" si="37"/>
        <v>115359613</v>
      </c>
      <c r="K600" s="1">
        <f t="shared" si="38"/>
        <v>192587.00005999999</v>
      </c>
      <c r="L600" s="15">
        <f t="shared" si="39"/>
        <v>0.40006000000000003</v>
      </c>
    </row>
    <row r="601" spans="1:12" ht="15" customHeight="1" x14ac:dyDescent="0.25">
      <c r="A601" s="10" t="str">
        <f>Raw_Data!A601</f>
        <v>boAt Rockerz 450 Bluetooth On Ear Headphones with Mic, Upto 15 Hours Playback, 40MM Drivers, Padded Ear Cushions, Integrated Controls and Dual Modes(Luscious Black)</v>
      </c>
      <c r="B601" s="10" t="str">
        <f>IFERROR(TRIM(LEFT(Raw_Data!A601,FIND(" ",Raw_Data!A601)-1)),Raw_Data!A601)</f>
        <v>boAt</v>
      </c>
      <c r="C601" s="10" t="str">
        <f>IFERROR(LEFT(Raw_Data!B601,FIND("|",Raw_Data!B601)-1),Raw_Data!B601)</f>
        <v>Electronics</v>
      </c>
      <c r="D601" s="11">
        <f>IFERROR(VALUE(SUBSTITUTE(SUBSTITUTE(TRIM(Raw_Data!C601),"₹",""),",","")),"")</f>
        <v>1220</v>
      </c>
      <c r="E601" s="11">
        <f>IFERROR(VALUE(SUBSTITUTE(SUBSTITUTE(TRIM(Raw_Data!D601),"₹",""),",","")),"")</f>
        <v>3990</v>
      </c>
      <c r="F601" s="12">
        <f>IFERROR(VALUE(SUBSTITUTE(Raw_Data!E601,"%",""))/100,"")</f>
        <v>0.69</v>
      </c>
      <c r="G601" s="13">
        <f>IFERROR(VALUE(Raw_Data!F601),"")</f>
        <v>4.0999999999999996</v>
      </c>
      <c r="H601" s="14">
        <f>IFERROR(VALUE(SUBSTITUTE(Raw_Data!G601,",","")),"")</f>
        <v>107151</v>
      </c>
      <c r="I601" s="11">
        <f t="shared" si="36"/>
        <v>2770</v>
      </c>
      <c r="J601" s="11">
        <f t="shared" si="37"/>
        <v>130724220</v>
      </c>
      <c r="K601" s="1">
        <f t="shared" si="38"/>
        <v>107151.00006010001</v>
      </c>
      <c r="L601" s="15">
        <f t="shared" si="39"/>
        <v>0.69006009999999995</v>
      </c>
    </row>
    <row r="602" spans="1:12" ht="15" customHeight="1" x14ac:dyDescent="0.25">
      <c r="A602" s="10" t="str">
        <f>Raw_Data!A602</f>
        <v>boAt Wave Lite Smartwatch with 1.69" HD Display, Sleek Metal Body, HR &amp; SpO2 Level Monitor, 140+ Watch Faces, Activity Tracker, Multiple Sports Modes, IP68 &amp; 7 Days Battery Life(Active Black)</v>
      </c>
      <c r="B602" s="10" t="str">
        <f>IFERROR(TRIM(LEFT(Raw_Data!A602,FIND(" ",Raw_Data!A602)-1)),Raw_Data!A602)</f>
        <v>boAt</v>
      </c>
      <c r="C602" s="10" t="str">
        <f>IFERROR(LEFT(Raw_Data!B602,FIND("|",Raw_Data!B602)-1),Raw_Data!B602)</f>
        <v>Electronics</v>
      </c>
      <c r="D602" s="11">
        <f>IFERROR(VALUE(SUBSTITUTE(SUBSTITUTE(TRIM(Raw_Data!C602),"₹",""),",","")),"")</f>
        <v>1499</v>
      </c>
      <c r="E602" s="11">
        <f>IFERROR(VALUE(SUBSTITUTE(SUBSTITUTE(TRIM(Raw_Data!D602),"₹",""),",","")),"")</f>
        <v>6990</v>
      </c>
      <c r="F602" s="12">
        <f>IFERROR(VALUE(SUBSTITUTE(Raw_Data!E602,"%",""))/100,"")</f>
        <v>0.79</v>
      </c>
      <c r="G602" s="13">
        <f>IFERROR(VALUE(Raw_Data!F602),"")</f>
        <v>3.9</v>
      </c>
      <c r="H602" s="14">
        <f>IFERROR(VALUE(SUBSTITUTE(Raw_Data!G602,",","")),"")</f>
        <v>21797</v>
      </c>
      <c r="I602" s="11">
        <f t="shared" si="36"/>
        <v>5491</v>
      </c>
      <c r="J602" s="11">
        <f t="shared" si="37"/>
        <v>32673703</v>
      </c>
      <c r="K602" s="1">
        <f t="shared" si="38"/>
        <v>21797.0000602</v>
      </c>
      <c r="L602" s="15">
        <f t="shared" si="39"/>
        <v>0.79006019999999999</v>
      </c>
    </row>
    <row r="603" spans="1:12" ht="15" customHeight="1" x14ac:dyDescent="0.25">
      <c r="A603" s="10" t="str">
        <f>Raw_Data!A603</f>
        <v>JBL C50HI, Wired in Ear Headphones with Mic, One Button Multi-Function Remote, Lightweight &amp; Comfortable fit (Black)</v>
      </c>
      <c r="B603" s="10" t="str">
        <f>IFERROR(TRIM(LEFT(Raw_Data!A603,FIND(" ",Raw_Data!A603)-1)),Raw_Data!A603)</f>
        <v>JBL</v>
      </c>
      <c r="C603" s="10" t="str">
        <f>IFERROR(LEFT(Raw_Data!B603,FIND("|",Raw_Data!B603)-1),Raw_Data!B603)</f>
        <v>Electronics</v>
      </c>
      <c r="D603" s="11">
        <f>IFERROR(VALUE(SUBSTITUTE(SUBSTITUTE(TRIM(Raw_Data!C603),"₹",""),",","")),"")</f>
        <v>499</v>
      </c>
      <c r="E603" s="11">
        <f>IFERROR(VALUE(SUBSTITUTE(SUBSTITUTE(TRIM(Raw_Data!D603),"₹",""),",","")),"")</f>
        <v>999</v>
      </c>
      <c r="F603" s="12">
        <f>IFERROR(VALUE(SUBSTITUTE(Raw_Data!E603,"%",""))/100,"")</f>
        <v>0.5</v>
      </c>
      <c r="G603" s="13">
        <f>IFERROR(VALUE(Raw_Data!F603),"")</f>
        <v>3.9</v>
      </c>
      <c r="H603" s="14">
        <f>IFERROR(VALUE(SUBSTITUTE(Raw_Data!G603,",","")),"")</f>
        <v>92995</v>
      </c>
      <c r="I603" s="11">
        <f t="shared" si="36"/>
        <v>500</v>
      </c>
      <c r="J603" s="11">
        <f t="shared" si="37"/>
        <v>46404505</v>
      </c>
      <c r="K603" s="1">
        <f t="shared" si="38"/>
        <v>92995.000060299993</v>
      </c>
      <c r="L603" s="15">
        <f t="shared" si="39"/>
        <v>0.50006030000000001</v>
      </c>
    </row>
    <row r="604" spans="1:12" ht="15" customHeight="1" x14ac:dyDescent="0.25">
      <c r="A604" s="10" t="str">
        <f>Raw_Data!A604</f>
        <v>LAPSTER Spiral Charger Spiral Charger Cable Protectors for Wires Data Cable Saver Charging Cord Protective Cable Cover Set of 3 (12 Pieces)</v>
      </c>
      <c r="B604" s="10" t="str">
        <f>IFERROR(TRIM(LEFT(Raw_Data!A604,FIND(" ",Raw_Data!A604)-1)),Raw_Data!A604)</f>
        <v>LAPSTER</v>
      </c>
      <c r="C604" s="10" t="str">
        <f>IFERROR(LEFT(Raw_Data!B604,FIND("|",Raw_Data!B604)-1),Raw_Data!B604)</f>
        <v>Computers&amp;Accessories</v>
      </c>
      <c r="D604" s="11">
        <f>IFERROR(VALUE(SUBSTITUTE(SUBSTITUTE(TRIM(Raw_Data!C604),"₹",""),",","")),"")</f>
        <v>99</v>
      </c>
      <c r="E604" s="11">
        <f>IFERROR(VALUE(SUBSTITUTE(SUBSTITUTE(TRIM(Raw_Data!D604),"₹",""),",","")),"")</f>
        <v>999</v>
      </c>
      <c r="F604" s="12">
        <f>IFERROR(VALUE(SUBSTITUTE(Raw_Data!E604,"%",""))/100,"")</f>
        <v>0.9</v>
      </c>
      <c r="G604" s="13">
        <f>IFERROR(VALUE(Raw_Data!F604),"")</f>
        <v>4.0999999999999996</v>
      </c>
      <c r="H604" s="14">
        <f>IFERROR(VALUE(SUBSTITUTE(Raw_Data!G604,",","")),"")</f>
        <v>8751</v>
      </c>
      <c r="I604" s="11">
        <f t="shared" si="36"/>
        <v>900</v>
      </c>
      <c r="J604" s="11">
        <f t="shared" si="37"/>
        <v>866349</v>
      </c>
      <c r="K604" s="1">
        <f t="shared" si="38"/>
        <v>8751.0000603999997</v>
      </c>
      <c r="L604" s="15">
        <f t="shared" si="39"/>
        <v>0.90006039999999998</v>
      </c>
    </row>
    <row r="605" spans="1:12" ht="15" customHeight="1" x14ac:dyDescent="0.25">
      <c r="A605" s="10" t="str">
        <f>Raw_Data!A605</f>
        <v>pTron Bullet Pro 36W PD Quick Charger, 3 Port Fast Car Charger Adapter - Compatible with All Smartphones &amp; Tablets (Black)</v>
      </c>
      <c r="B605" s="10" t="str">
        <f>IFERROR(TRIM(LEFT(Raw_Data!A605,FIND(" ",Raw_Data!A605)-1)),Raw_Data!A605)</f>
        <v>pTron</v>
      </c>
      <c r="C605" s="10" t="str">
        <f>IFERROR(LEFT(Raw_Data!B605,FIND("|",Raw_Data!B605)-1),Raw_Data!B605)</f>
        <v>Electronics</v>
      </c>
      <c r="D605" s="11">
        <f>IFERROR(VALUE(SUBSTITUTE(SUBSTITUTE(TRIM(Raw_Data!C605),"₹",""),",","")),"")</f>
        <v>349</v>
      </c>
      <c r="E605" s="11">
        <f>IFERROR(VALUE(SUBSTITUTE(SUBSTITUTE(TRIM(Raw_Data!D605),"₹",""),",","")),"")</f>
        <v>1299</v>
      </c>
      <c r="F605" s="12">
        <f>IFERROR(VALUE(SUBSTITUTE(Raw_Data!E605,"%",""))/100,"")</f>
        <v>0.73</v>
      </c>
      <c r="G605" s="13">
        <f>IFERROR(VALUE(Raw_Data!F605),"")</f>
        <v>4</v>
      </c>
      <c r="H605" s="14">
        <f>IFERROR(VALUE(SUBSTITUTE(Raw_Data!G605,",","")),"")</f>
        <v>14283</v>
      </c>
      <c r="I605" s="11">
        <f t="shared" si="36"/>
        <v>950</v>
      </c>
      <c r="J605" s="11">
        <f t="shared" si="37"/>
        <v>4984767</v>
      </c>
      <c r="K605" s="1">
        <f t="shared" si="38"/>
        <v>14283.0000605</v>
      </c>
      <c r="L605" s="15">
        <f t="shared" si="39"/>
        <v>0.7300605</v>
      </c>
    </row>
    <row r="606" spans="1:12" ht="15" customHeight="1" x14ac:dyDescent="0.25">
      <c r="A606" s="10" t="str">
        <f>Raw_Data!A606</f>
        <v>HP v236w USB 2.0 64GB Pen Drive, Metal</v>
      </c>
      <c r="B606" s="10" t="str">
        <f>IFERROR(TRIM(LEFT(Raw_Data!A606,FIND(" ",Raw_Data!A606)-1)),Raw_Data!A606)</f>
        <v>HP</v>
      </c>
      <c r="C606" s="10" t="str">
        <f>IFERROR(LEFT(Raw_Data!B606,FIND("|",Raw_Data!B606)-1),Raw_Data!B606)</f>
        <v>Computers&amp;Accessories</v>
      </c>
      <c r="D606" s="11">
        <f>IFERROR(VALUE(SUBSTITUTE(SUBSTITUTE(TRIM(Raw_Data!C606),"₹",""),",","")),"")</f>
        <v>475</v>
      </c>
      <c r="E606" s="11">
        <f>IFERROR(VALUE(SUBSTITUTE(SUBSTITUTE(TRIM(Raw_Data!D606),"₹",""),",","")),"")</f>
        <v>1500</v>
      </c>
      <c r="F606" s="12">
        <f>IFERROR(VALUE(SUBSTITUTE(Raw_Data!E606,"%",""))/100,"")</f>
        <v>0.68</v>
      </c>
      <c r="G606" s="13">
        <f>IFERROR(VALUE(Raw_Data!F606),"")</f>
        <v>4.2</v>
      </c>
      <c r="H606" s="14">
        <f>IFERROR(VALUE(SUBSTITUTE(Raw_Data!G606,",","")),"")</f>
        <v>64273</v>
      </c>
      <c r="I606" s="11">
        <f t="shared" si="36"/>
        <v>1025</v>
      </c>
      <c r="J606" s="11">
        <f t="shared" si="37"/>
        <v>30529675</v>
      </c>
      <c r="K606" s="1">
        <f t="shared" si="38"/>
        <v>64273.000060600003</v>
      </c>
      <c r="L606" s="15">
        <f t="shared" si="39"/>
        <v>0.68006060000000002</v>
      </c>
    </row>
    <row r="607" spans="1:12" ht="15" customHeight="1" x14ac:dyDescent="0.25">
      <c r="A607" s="10" t="str">
        <f>Raw_Data!A607</f>
        <v>HP X1000 Wired USB Mouse with 3 Handy Buttons, Fast-Moving Scroll Wheel and Optical Sensor works on most Surfaces (H2C21AA, Black/Grey)</v>
      </c>
      <c r="B607" s="10" t="str">
        <f>IFERROR(TRIM(LEFT(Raw_Data!A607,FIND(" ",Raw_Data!A607)-1)),Raw_Data!A607)</f>
        <v>HP</v>
      </c>
      <c r="C607" s="10" t="str">
        <f>IFERROR(LEFT(Raw_Data!B607,FIND("|",Raw_Data!B607)-1),Raw_Data!B607)</f>
        <v>Computers&amp;Accessories</v>
      </c>
      <c r="D607" s="11">
        <f>IFERROR(VALUE(SUBSTITUTE(SUBSTITUTE(TRIM(Raw_Data!C607),"₹",""),",","")),"")</f>
        <v>269</v>
      </c>
      <c r="E607" s="11">
        <f>IFERROR(VALUE(SUBSTITUTE(SUBSTITUTE(TRIM(Raw_Data!D607),"₹",""),",","")),"")</f>
        <v>649</v>
      </c>
      <c r="F607" s="12">
        <f>IFERROR(VALUE(SUBSTITUTE(Raw_Data!E607,"%",""))/100,"")</f>
        <v>0.59</v>
      </c>
      <c r="G607" s="13">
        <f>IFERROR(VALUE(Raw_Data!F607),"")</f>
        <v>4.3</v>
      </c>
      <c r="H607" s="14">
        <f>IFERROR(VALUE(SUBSTITUTE(Raw_Data!G607,",","")),"")</f>
        <v>54315</v>
      </c>
      <c r="I607" s="11">
        <f t="shared" si="36"/>
        <v>380</v>
      </c>
      <c r="J607" s="11">
        <f t="shared" si="37"/>
        <v>14610735</v>
      </c>
      <c r="K607" s="1">
        <f t="shared" si="38"/>
        <v>54315.000060699997</v>
      </c>
      <c r="L607" s="15">
        <f t="shared" si="39"/>
        <v>0.59006069999999999</v>
      </c>
    </row>
    <row r="608" spans="1:12" ht="15" customHeight="1" x14ac:dyDescent="0.25">
      <c r="A608" s="10" t="str">
        <f>Raw_Data!A608</f>
        <v>Portronics Toad 23 Wireless Optical Mouse with 2.4GHz, USB Nano Dongle, Optical Orientation, Click Wheel, Adjustable DPI(Black)</v>
      </c>
      <c r="B608" s="10" t="str">
        <f>IFERROR(TRIM(LEFT(Raw_Data!A608,FIND(" ",Raw_Data!A608)-1)),Raw_Data!A608)</f>
        <v>Portronics</v>
      </c>
      <c r="C608" s="10" t="str">
        <f>IFERROR(LEFT(Raw_Data!B608,FIND("|",Raw_Data!B608)-1),Raw_Data!B608)</f>
        <v>Computers&amp;Accessories</v>
      </c>
      <c r="D608" s="11">
        <f>IFERROR(VALUE(SUBSTITUTE(SUBSTITUTE(TRIM(Raw_Data!C608),"₹",""),",","")),"")</f>
        <v>299</v>
      </c>
      <c r="E608" s="11">
        <f>IFERROR(VALUE(SUBSTITUTE(SUBSTITUTE(TRIM(Raw_Data!D608),"₹",""),",","")),"")</f>
        <v>599</v>
      </c>
      <c r="F608" s="12">
        <f>IFERROR(VALUE(SUBSTITUTE(Raw_Data!E608,"%",""))/100,"")</f>
        <v>0.5</v>
      </c>
      <c r="G608" s="13">
        <f>IFERROR(VALUE(Raw_Data!F608),"")</f>
        <v>4.0999999999999996</v>
      </c>
      <c r="H608" s="14">
        <f>IFERROR(VALUE(SUBSTITUTE(Raw_Data!G608,",","")),"")</f>
        <v>1597</v>
      </c>
      <c r="I608" s="11">
        <f t="shared" si="36"/>
        <v>300</v>
      </c>
      <c r="J608" s="11">
        <f t="shared" si="37"/>
        <v>477503</v>
      </c>
      <c r="K608" s="1">
        <f t="shared" si="38"/>
        <v>1597.0000608</v>
      </c>
      <c r="L608" s="15">
        <f t="shared" si="39"/>
        <v>0.50006079999999997</v>
      </c>
    </row>
    <row r="609" spans="1:12" ht="15" customHeight="1" x14ac:dyDescent="0.25">
      <c r="A609" s="10" t="str">
        <f>Raw_Data!A609</f>
        <v>Noise ColorFit Pulse Grand Smart Watch with 1.69"(4.29cm) HD Display, 60 Sports Modes, 150 Watch Faces, Fast Charge, Spo2, Stress, Sleep, Heart Rate Monitoring &amp; IP68 Waterproof (Jet Black)</v>
      </c>
      <c r="B609" s="10" t="str">
        <f>IFERROR(TRIM(LEFT(Raw_Data!A609,FIND(" ",Raw_Data!A609)-1)),Raw_Data!A609)</f>
        <v>Noise</v>
      </c>
      <c r="C609" s="10" t="str">
        <f>IFERROR(LEFT(Raw_Data!B609,FIND("|",Raw_Data!B609)-1),Raw_Data!B609)</f>
        <v>Electronics</v>
      </c>
      <c r="D609" s="11">
        <f>IFERROR(VALUE(SUBSTITUTE(SUBSTITUTE(TRIM(Raw_Data!C609),"₹",""),",","")),"")</f>
        <v>1599</v>
      </c>
      <c r="E609" s="11">
        <f>IFERROR(VALUE(SUBSTITUTE(SUBSTITUTE(TRIM(Raw_Data!D609),"₹",""),",","")),"")</f>
        <v>3999</v>
      </c>
      <c r="F609" s="12">
        <f>IFERROR(VALUE(SUBSTITUTE(Raw_Data!E609,"%",""))/100,"")</f>
        <v>0.6</v>
      </c>
      <c r="G609" s="13">
        <f>IFERROR(VALUE(Raw_Data!F609),"")</f>
        <v>4</v>
      </c>
      <c r="H609" s="14">
        <f>IFERROR(VALUE(SUBSTITUTE(Raw_Data!G609,",","")),"")</f>
        <v>30254</v>
      </c>
      <c r="I609" s="11">
        <f t="shared" si="36"/>
        <v>2400</v>
      </c>
      <c r="J609" s="11">
        <f t="shared" si="37"/>
        <v>48376146</v>
      </c>
      <c r="K609" s="1">
        <f t="shared" si="38"/>
        <v>30254.000060900002</v>
      </c>
      <c r="L609" s="15">
        <f t="shared" si="39"/>
        <v>0.60006090000000001</v>
      </c>
    </row>
    <row r="610" spans="1:12" ht="15" customHeight="1" x14ac:dyDescent="0.25">
      <c r="A610" s="10" t="str">
        <f>Raw_Data!A610</f>
        <v>Fire-Boltt Ninja 3 Smartwatch Full Touch 1.69 &amp; 60 Sports Modes with IP68, Sp02 Tracking, Over 100 Cloud based watch faces - Black</v>
      </c>
      <c r="B610" s="10" t="str">
        <f>IFERROR(TRIM(LEFT(Raw_Data!A610,FIND(" ",Raw_Data!A610)-1)),Raw_Data!A610)</f>
        <v>Fire-Boltt</v>
      </c>
      <c r="C610" s="10" t="str">
        <f>IFERROR(LEFT(Raw_Data!B610,FIND("|",Raw_Data!B610)-1),Raw_Data!B610)</f>
        <v>Electronics</v>
      </c>
      <c r="D610" s="11">
        <f>IFERROR(VALUE(SUBSTITUTE(SUBSTITUTE(TRIM(Raw_Data!C610),"₹",""),",","")),"")</f>
        <v>1499</v>
      </c>
      <c r="E610" s="11">
        <f>IFERROR(VALUE(SUBSTITUTE(SUBSTITUTE(TRIM(Raw_Data!D610),"₹",""),",","")),"")</f>
        <v>7999</v>
      </c>
      <c r="F610" s="12">
        <f>IFERROR(VALUE(SUBSTITUTE(Raw_Data!E610,"%",""))/100,"")</f>
        <v>0.81</v>
      </c>
      <c r="G610" s="13">
        <f>IFERROR(VALUE(Raw_Data!F610),"")</f>
        <v>4.2</v>
      </c>
      <c r="H610" s="14">
        <f>IFERROR(VALUE(SUBSTITUTE(Raw_Data!G610,",","")),"")</f>
        <v>22638</v>
      </c>
      <c r="I610" s="11">
        <f t="shared" si="36"/>
        <v>6500</v>
      </c>
      <c r="J610" s="11">
        <f t="shared" si="37"/>
        <v>33934362</v>
      </c>
      <c r="K610" s="1">
        <f t="shared" si="38"/>
        <v>22638.000060999999</v>
      </c>
      <c r="L610" s="15">
        <f t="shared" si="39"/>
        <v>0.81006100000000003</v>
      </c>
    </row>
    <row r="611" spans="1:12" ht="15" customHeight="1" x14ac:dyDescent="0.25">
      <c r="A611" s="10" t="str">
        <f>Raw_Data!A611</f>
        <v>Boult Audio BassBuds X1 in-Ear Wired Earphones with 10mm Extra Bass Driver and HD Sound with mic(Black)</v>
      </c>
      <c r="B611" s="10" t="str">
        <f>IFERROR(TRIM(LEFT(Raw_Data!A611,FIND(" ",Raw_Data!A611)-1)),Raw_Data!A611)</f>
        <v>Boult</v>
      </c>
      <c r="C611" s="10" t="str">
        <f>IFERROR(LEFT(Raw_Data!B611,FIND("|",Raw_Data!B611)-1),Raw_Data!B611)</f>
        <v>Electronics</v>
      </c>
      <c r="D611" s="11">
        <f>IFERROR(VALUE(SUBSTITUTE(SUBSTITUTE(TRIM(Raw_Data!C611),"₹",""),",","")),"")</f>
        <v>329</v>
      </c>
      <c r="E611" s="11">
        <f>IFERROR(VALUE(SUBSTITUTE(SUBSTITUTE(TRIM(Raw_Data!D611),"₹",""),",","")),"")</f>
        <v>999</v>
      </c>
      <c r="F611" s="12">
        <f>IFERROR(VALUE(SUBSTITUTE(Raw_Data!E611,"%",""))/100,"")</f>
        <v>0.67</v>
      </c>
      <c r="G611" s="13">
        <f>IFERROR(VALUE(Raw_Data!F611),"")</f>
        <v>3.9</v>
      </c>
      <c r="H611" s="14">
        <f>IFERROR(VALUE(SUBSTITUTE(Raw_Data!G611,",","")),"")</f>
        <v>77027</v>
      </c>
      <c r="I611" s="11">
        <f t="shared" si="36"/>
        <v>670</v>
      </c>
      <c r="J611" s="11">
        <f t="shared" si="37"/>
        <v>25341883</v>
      </c>
      <c r="K611" s="1">
        <f t="shared" si="38"/>
        <v>77027.0000611</v>
      </c>
      <c r="L611" s="15">
        <f t="shared" si="39"/>
        <v>0.67006110000000008</v>
      </c>
    </row>
    <row r="612" spans="1:12" ht="15" customHeight="1" x14ac:dyDescent="0.25">
      <c r="A612" s="10" t="str">
        <f>Raw_Data!A612</f>
        <v>Dell KB216 Wired Multimedia USB Keyboard with Super Quite Plunger Keys with Spill-Resistant – Black</v>
      </c>
      <c r="B612" s="10" t="str">
        <f>IFERROR(TRIM(LEFT(Raw_Data!A612,FIND(" ",Raw_Data!A612)-1)),Raw_Data!A612)</f>
        <v>Dell</v>
      </c>
      <c r="C612" s="10" t="str">
        <f>IFERROR(LEFT(Raw_Data!B612,FIND("|",Raw_Data!B612)-1),Raw_Data!B612)</f>
        <v>Computers&amp;Accessories</v>
      </c>
      <c r="D612" s="11">
        <f>IFERROR(VALUE(SUBSTITUTE(SUBSTITUTE(TRIM(Raw_Data!C612),"₹",""),",","")),"")</f>
        <v>549</v>
      </c>
      <c r="E612" s="11">
        <f>IFERROR(VALUE(SUBSTITUTE(SUBSTITUTE(TRIM(Raw_Data!D612),"₹",""),",","")),"")</f>
        <v>1799</v>
      </c>
      <c r="F612" s="12">
        <f>IFERROR(VALUE(SUBSTITUTE(Raw_Data!E612,"%",""))/100,"")</f>
        <v>0.69</v>
      </c>
      <c r="G612" s="13">
        <f>IFERROR(VALUE(Raw_Data!F612),"")</f>
        <v>4.3</v>
      </c>
      <c r="H612" s="14">
        <f>IFERROR(VALUE(SUBSTITUTE(Raw_Data!G612,",","")),"")</f>
        <v>28829</v>
      </c>
      <c r="I612" s="11">
        <f t="shared" si="36"/>
        <v>1250</v>
      </c>
      <c r="J612" s="11">
        <f t="shared" si="37"/>
        <v>15827121</v>
      </c>
      <c r="K612" s="1">
        <f t="shared" si="38"/>
        <v>28829.0000612</v>
      </c>
      <c r="L612" s="15">
        <f t="shared" si="39"/>
        <v>0.69006119999999993</v>
      </c>
    </row>
    <row r="613" spans="1:12" ht="15" customHeight="1" x14ac:dyDescent="0.25">
      <c r="A613" s="10" t="str">
        <f>Raw_Data!A613</f>
        <v>Fire-Boltt India's No 1 Smartwatch Brand Talk 2 Bluetooth Calling Smartwatch with Dual Button, Hands On Voice Assistance, 60 Sports Modes, in Built Mic &amp; Speaker with IP68 Rating</v>
      </c>
      <c r="B613" s="10" t="str">
        <f>IFERROR(TRIM(LEFT(Raw_Data!A613,FIND(" ",Raw_Data!A613)-1)),Raw_Data!A613)</f>
        <v>Fire-Boltt</v>
      </c>
      <c r="C613" s="10" t="str">
        <f>IFERROR(LEFT(Raw_Data!B613,FIND("|",Raw_Data!B613)-1),Raw_Data!B613)</f>
        <v>Electronics</v>
      </c>
      <c r="D613" s="11">
        <f>IFERROR(VALUE(SUBSTITUTE(SUBSTITUTE(TRIM(Raw_Data!C613),"₹",""),",","")),"")</f>
        <v>2199</v>
      </c>
      <c r="E613" s="11">
        <f>IFERROR(VALUE(SUBSTITUTE(SUBSTITUTE(TRIM(Raw_Data!D613),"₹",""),",","")),"")</f>
        <v>9999</v>
      </c>
      <c r="F613" s="12">
        <f>IFERROR(VALUE(SUBSTITUTE(Raw_Data!E613,"%",""))/100,"")</f>
        <v>0.78</v>
      </c>
      <c r="G613" s="13">
        <f>IFERROR(VALUE(Raw_Data!F613),"")</f>
        <v>4.2</v>
      </c>
      <c r="H613" s="14">
        <f>IFERROR(VALUE(SUBSTITUTE(Raw_Data!G613,",","")),"")</f>
        <v>29478</v>
      </c>
      <c r="I613" s="11">
        <f t="shared" si="36"/>
        <v>7800</v>
      </c>
      <c r="J613" s="11">
        <f t="shared" si="37"/>
        <v>64822122</v>
      </c>
      <c r="K613" s="1">
        <f t="shared" si="38"/>
        <v>29478.000061300001</v>
      </c>
      <c r="L613" s="15">
        <f t="shared" si="39"/>
        <v>0.78006130000000007</v>
      </c>
    </row>
    <row r="614" spans="1:12" ht="15" customHeight="1" x14ac:dyDescent="0.25">
      <c r="A614" s="10" t="str">
        <f>Raw_Data!A614</f>
        <v>Dell MS116 1000Dpi USB Wired Optical Mouse, Led Tracking, Scrolling Wheel, Plug and Play.</v>
      </c>
      <c r="B614" s="10" t="str">
        <f>IFERROR(TRIM(LEFT(Raw_Data!A614,FIND(" ",Raw_Data!A614)-1)),Raw_Data!A614)</f>
        <v>Dell</v>
      </c>
      <c r="C614" s="10" t="str">
        <f>IFERROR(LEFT(Raw_Data!B614,FIND("|",Raw_Data!B614)-1),Raw_Data!B614)</f>
        <v>Computers&amp;Accessories</v>
      </c>
      <c r="D614" s="11">
        <f>IFERROR(VALUE(SUBSTITUTE(SUBSTITUTE(TRIM(Raw_Data!C614),"₹",""),",","")),"")</f>
        <v>299</v>
      </c>
      <c r="E614" s="11">
        <f>IFERROR(VALUE(SUBSTITUTE(SUBSTITUTE(TRIM(Raw_Data!D614),"₹",""),",","")),"")</f>
        <v>650</v>
      </c>
      <c r="F614" s="12">
        <f>IFERROR(VALUE(SUBSTITUTE(Raw_Data!E614,"%",""))/100,"")</f>
        <v>0.54</v>
      </c>
      <c r="G614" s="13">
        <f>IFERROR(VALUE(Raw_Data!F614),"")</f>
        <v>4.5</v>
      </c>
      <c r="H614" s="14">
        <f>IFERROR(VALUE(SUBSTITUTE(Raw_Data!G614,",","")),"")</f>
        <v>33176</v>
      </c>
      <c r="I614" s="11">
        <f t="shared" si="36"/>
        <v>351</v>
      </c>
      <c r="J614" s="11">
        <f t="shared" si="37"/>
        <v>9919624</v>
      </c>
      <c r="K614" s="1">
        <f t="shared" si="38"/>
        <v>33176.000061400002</v>
      </c>
      <c r="L614" s="15">
        <f t="shared" si="39"/>
        <v>0.54006140000000002</v>
      </c>
    </row>
    <row r="615" spans="1:12" ht="15" customHeight="1" x14ac:dyDescent="0.25">
      <c r="A615" s="10" t="str">
        <f>Raw_Data!A615</f>
        <v>Boya ByM1 Auxiliary Omnidirectional Lavalier Condenser Microphone with 20ft Audio Cable (Black)</v>
      </c>
      <c r="B615" s="10" t="str">
        <f>IFERROR(TRIM(LEFT(Raw_Data!A615,FIND(" ",Raw_Data!A615)-1)),Raw_Data!A615)</f>
        <v>Boya</v>
      </c>
      <c r="C615" s="10" t="str">
        <f>IFERROR(LEFT(Raw_Data!B615,FIND("|",Raw_Data!B615)-1),Raw_Data!B615)</f>
        <v>MusicalInstruments</v>
      </c>
      <c r="D615" s="11">
        <f>IFERROR(VALUE(SUBSTITUTE(SUBSTITUTE(TRIM(Raw_Data!C615),"₹",""),",","")),"")</f>
        <v>798</v>
      </c>
      <c r="E615" s="11">
        <f>IFERROR(VALUE(SUBSTITUTE(SUBSTITUTE(TRIM(Raw_Data!D615),"₹",""),",","")),"")</f>
        <v>1995</v>
      </c>
      <c r="F615" s="12">
        <f>IFERROR(VALUE(SUBSTITUTE(Raw_Data!E615,"%",""))/100,"")</f>
        <v>0.6</v>
      </c>
      <c r="G615" s="13">
        <f>IFERROR(VALUE(Raw_Data!F615),"")</f>
        <v>4</v>
      </c>
      <c r="H615" s="14">
        <f>IFERROR(VALUE(SUBSTITUTE(Raw_Data!G615,",","")),"")</f>
        <v>68664</v>
      </c>
      <c r="I615" s="11">
        <f t="shared" si="36"/>
        <v>1197</v>
      </c>
      <c r="J615" s="11">
        <f t="shared" si="37"/>
        <v>54793872</v>
      </c>
      <c r="K615" s="1">
        <f t="shared" si="38"/>
        <v>68664.000061500003</v>
      </c>
      <c r="L615" s="15">
        <f t="shared" si="39"/>
        <v>0.60006150000000003</v>
      </c>
    </row>
    <row r="616" spans="1:12" ht="15" customHeight="1" x14ac:dyDescent="0.25">
      <c r="A616" s="10" t="str">
        <f>Raw_Data!A616</f>
        <v>Wayona Nylon Braided USB to Lightning Fast Charging and Data Sync Cable Compatible for iPhone 13, 12,11, X, 8, 7, 6, 5, iPad Air, Pro, Mini (3 FT Pack of 1, Grey)</v>
      </c>
      <c r="B616" s="10" t="str">
        <f>IFERROR(TRIM(LEFT(Raw_Data!A616,FIND(" ",Raw_Data!A616)-1)),Raw_Data!A616)</f>
        <v>Wayona</v>
      </c>
      <c r="C616" s="10" t="str">
        <f>IFERROR(LEFT(Raw_Data!B616,FIND("|",Raw_Data!B616)-1),Raw_Data!B616)</f>
        <v>Computers&amp;Accessories</v>
      </c>
      <c r="D616" s="11">
        <f>IFERROR(VALUE(SUBSTITUTE(SUBSTITUTE(TRIM(Raw_Data!C616),"₹",""),",","")),"")</f>
        <v>399</v>
      </c>
      <c r="E616" s="11">
        <f>IFERROR(VALUE(SUBSTITUTE(SUBSTITUTE(TRIM(Raw_Data!D616),"₹",""),",","")),"")</f>
        <v>1099</v>
      </c>
      <c r="F616" s="12">
        <f>IFERROR(VALUE(SUBSTITUTE(Raw_Data!E616,"%",""))/100,"")</f>
        <v>0.64</v>
      </c>
      <c r="G616" s="13">
        <f>IFERROR(VALUE(Raw_Data!F616),"")</f>
        <v>4.2</v>
      </c>
      <c r="H616" s="14">
        <f>IFERROR(VALUE(SUBSTITUTE(Raw_Data!G616,",","")),"")</f>
        <v>24269</v>
      </c>
      <c r="I616" s="11">
        <f t="shared" si="36"/>
        <v>700</v>
      </c>
      <c r="J616" s="11">
        <f t="shared" si="37"/>
        <v>9683331</v>
      </c>
      <c r="K616" s="1">
        <f t="shared" si="38"/>
        <v>24269.0000616</v>
      </c>
      <c r="L616" s="15">
        <f t="shared" si="39"/>
        <v>0.64006160000000001</v>
      </c>
    </row>
    <row r="617" spans="1:12" ht="15" customHeight="1" x14ac:dyDescent="0.25">
      <c r="A617" s="10" t="str">
        <f>Raw_Data!A617</f>
        <v>Duracell Ultra Alkaline AA Battery, 8 Pcs</v>
      </c>
      <c r="B617" s="10" t="str">
        <f>IFERROR(TRIM(LEFT(Raw_Data!A617,FIND(" ",Raw_Data!A617)-1)),Raw_Data!A617)</f>
        <v>Duracell</v>
      </c>
      <c r="C617" s="10" t="str">
        <f>IFERROR(LEFT(Raw_Data!B617,FIND("|",Raw_Data!B617)-1),Raw_Data!B617)</f>
        <v>Electronics</v>
      </c>
      <c r="D617" s="11">
        <f>IFERROR(VALUE(SUBSTITUTE(SUBSTITUTE(TRIM(Raw_Data!C617),"₹",""),",","")),"")</f>
        <v>266</v>
      </c>
      <c r="E617" s="11">
        <f>IFERROR(VALUE(SUBSTITUTE(SUBSTITUTE(TRIM(Raw_Data!D617),"₹",""),",","")),"")</f>
        <v>315</v>
      </c>
      <c r="F617" s="12">
        <f>IFERROR(VALUE(SUBSTITUTE(Raw_Data!E617,"%",""))/100,"")</f>
        <v>0.16</v>
      </c>
      <c r="G617" s="13">
        <f>IFERROR(VALUE(Raw_Data!F617),"")</f>
        <v>4.5</v>
      </c>
      <c r="H617" s="14">
        <f>IFERROR(VALUE(SUBSTITUTE(Raw_Data!G617,",","")),"")</f>
        <v>28030</v>
      </c>
      <c r="I617" s="11">
        <f t="shared" si="36"/>
        <v>49</v>
      </c>
      <c r="J617" s="11">
        <f t="shared" si="37"/>
        <v>7455980</v>
      </c>
      <c r="K617" s="1">
        <f t="shared" si="38"/>
        <v>28030.000061700001</v>
      </c>
      <c r="L617" s="15">
        <f t="shared" si="39"/>
        <v>0.1600617</v>
      </c>
    </row>
    <row r="618" spans="1:12" ht="15" customHeight="1" x14ac:dyDescent="0.25">
      <c r="A618" s="10" t="str">
        <f>Raw_Data!A618</f>
        <v>Classmate Octane Neon- Blue Gel Pens(Pack of 5)|Smooth Writing Pen|Attractive body colour for Boys &amp; Girls|Waterproof ink for smudge free writing|Preferred by Students for Exam|Study at home essential</v>
      </c>
      <c r="B618" s="10" t="str">
        <f>IFERROR(TRIM(LEFT(Raw_Data!A618,FIND(" ",Raw_Data!A618)-1)),Raw_Data!A618)</f>
        <v>Classmate</v>
      </c>
      <c r="C618" s="10" t="str">
        <f>IFERROR(LEFT(Raw_Data!B618,FIND("|",Raw_Data!B618)-1),Raw_Data!B618)</f>
        <v>OfficeProducts</v>
      </c>
      <c r="D618" s="11">
        <f>IFERROR(VALUE(SUBSTITUTE(SUBSTITUTE(TRIM(Raw_Data!C618),"₹",""),",","")),"")</f>
        <v>50</v>
      </c>
      <c r="E618" s="11">
        <f>IFERROR(VALUE(SUBSTITUTE(SUBSTITUTE(TRIM(Raw_Data!D618),"₹",""),",","")),"")</f>
        <v>50</v>
      </c>
      <c r="F618" s="12">
        <f>IFERROR(VALUE(SUBSTITUTE(Raw_Data!E618,"%",""))/100,"")</f>
        <v>0</v>
      </c>
      <c r="G618" s="13">
        <f>IFERROR(VALUE(Raw_Data!F618),"")</f>
        <v>4.3</v>
      </c>
      <c r="H618" s="14">
        <f>IFERROR(VALUE(SUBSTITUTE(Raw_Data!G618,",","")),"")</f>
        <v>5792</v>
      </c>
      <c r="I618" s="11">
        <f t="shared" si="36"/>
        <v>0</v>
      </c>
      <c r="J618" s="11">
        <f t="shared" si="37"/>
        <v>289600</v>
      </c>
      <c r="K618" s="1">
        <f t="shared" si="38"/>
        <v>5792.0000618000004</v>
      </c>
      <c r="L618" s="15">
        <f t="shared" si="39"/>
        <v>6.1799999999999998E-5</v>
      </c>
    </row>
    <row r="619" spans="1:12" ht="15" customHeight="1" x14ac:dyDescent="0.25">
      <c r="A619" s="10" t="str">
        <f>Raw_Data!A619</f>
        <v>3M Scotch Double Sided Heavy Duty Tape(1m holds 4.5Kgs) for indoor hanging applications (Photo frames, Mirrors, Key Holders, Car Interiors, Extension Boards, Wall decoration, etc)(L: 3m, W: 24mm)</v>
      </c>
      <c r="B619" s="10" t="str">
        <f>IFERROR(TRIM(LEFT(Raw_Data!A619,FIND(" ",Raw_Data!A619)-1)),Raw_Data!A619)</f>
        <v>3M</v>
      </c>
      <c r="C619" s="10" t="str">
        <f>IFERROR(LEFT(Raw_Data!B619,FIND("|",Raw_Data!B619)-1),Raw_Data!B619)</f>
        <v>Home&amp;Kitchen</v>
      </c>
      <c r="D619" s="11">
        <f>IFERROR(VALUE(SUBSTITUTE(SUBSTITUTE(TRIM(Raw_Data!C619),"₹",""),",","")),"")</f>
        <v>130</v>
      </c>
      <c r="E619" s="11">
        <f>IFERROR(VALUE(SUBSTITUTE(SUBSTITUTE(TRIM(Raw_Data!D619),"₹",""),",","")),"")</f>
        <v>165</v>
      </c>
      <c r="F619" s="12">
        <f>IFERROR(VALUE(SUBSTITUTE(Raw_Data!E619,"%",""))/100,"")</f>
        <v>0.21</v>
      </c>
      <c r="G619" s="13">
        <f>IFERROR(VALUE(Raw_Data!F619),"")</f>
        <v>3.9</v>
      </c>
      <c r="H619" s="14">
        <f>IFERROR(VALUE(SUBSTITUTE(Raw_Data!G619,",","")),"")</f>
        <v>14778</v>
      </c>
      <c r="I619" s="11">
        <f t="shared" si="36"/>
        <v>35</v>
      </c>
      <c r="J619" s="11">
        <f t="shared" si="37"/>
        <v>1921140</v>
      </c>
      <c r="K619" s="1">
        <f t="shared" si="38"/>
        <v>14778.0000619</v>
      </c>
      <c r="L619" s="15">
        <f t="shared" si="39"/>
        <v>0.2100619</v>
      </c>
    </row>
    <row r="620" spans="1:12" ht="15" customHeight="1" x14ac:dyDescent="0.25">
      <c r="A620" s="10" t="str">
        <f>Raw_Data!A620</f>
        <v>boAt Bassheads 152 in Ear Wired Earphones with Mic(Active Black)</v>
      </c>
      <c r="B620" s="10" t="str">
        <f>IFERROR(TRIM(LEFT(Raw_Data!A620,FIND(" ",Raw_Data!A620)-1)),Raw_Data!A620)</f>
        <v>boAt</v>
      </c>
      <c r="C620" s="10" t="str">
        <f>IFERROR(LEFT(Raw_Data!B620,FIND("|",Raw_Data!B620)-1),Raw_Data!B620)</f>
        <v>Electronics</v>
      </c>
      <c r="D620" s="11">
        <f>IFERROR(VALUE(SUBSTITUTE(SUBSTITUTE(TRIM(Raw_Data!C620),"₹",""),",","")),"")</f>
        <v>449</v>
      </c>
      <c r="E620" s="11">
        <f>IFERROR(VALUE(SUBSTITUTE(SUBSTITUTE(TRIM(Raw_Data!D620),"₹",""),",","")),"")</f>
        <v>1290</v>
      </c>
      <c r="F620" s="12">
        <f>IFERROR(VALUE(SUBSTITUTE(Raw_Data!E620,"%",""))/100,"")</f>
        <v>0.65</v>
      </c>
      <c r="G620" s="13">
        <f>IFERROR(VALUE(Raw_Data!F620),"")</f>
        <v>4.0999999999999996</v>
      </c>
      <c r="H620" s="14">
        <f>IFERROR(VALUE(SUBSTITUTE(Raw_Data!G620,",","")),"")</f>
        <v>91770</v>
      </c>
      <c r="I620" s="11">
        <f t="shared" si="36"/>
        <v>841</v>
      </c>
      <c r="J620" s="11">
        <f t="shared" si="37"/>
        <v>41204730</v>
      </c>
      <c r="K620" s="1">
        <f t="shared" si="38"/>
        <v>91770.000062000006</v>
      </c>
      <c r="L620" s="15">
        <f t="shared" si="39"/>
        <v>0.65006200000000003</v>
      </c>
    </row>
    <row r="621" spans="1:12" ht="15" customHeight="1" x14ac:dyDescent="0.25">
      <c r="A621" s="10" t="str">
        <f>Raw_Data!A621</f>
        <v>Fire-Boltt Visionary 1.78" AMOLED Bluetooth Calling Smartwatch with 368*448 Pixel Resolution 100+ Sports Mode, TWS Connection, Voice Assistance, SPO2 &amp; Heart Rate Monitoring</v>
      </c>
      <c r="B621" s="10" t="str">
        <f>IFERROR(TRIM(LEFT(Raw_Data!A621,FIND(" ",Raw_Data!A621)-1)),Raw_Data!A621)</f>
        <v>Fire-Boltt</v>
      </c>
      <c r="C621" s="10" t="str">
        <f>IFERROR(LEFT(Raw_Data!B621,FIND("|",Raw_Data!B621)-1),Raw_Data!B621)</f>
        <v>Electronics</v>
      </c>
      <c r="D621" s="11">
        <f>IFERROR(VALUE(SUBSTITUTE(SUBSTITUTE(TRIM(Raw_Data!C621),"₹",""),",","")),"")</f>
        <v>3999</v>
      </c>
      <c r="E621" s="11">
        <f>IFERROR(VALUE(SUBSTITUTE(SUBSTITUTE(TRIM(Raw_Data!D621),"₹",""),",","")),"")</f>
        <v>16999</v>
      </c>
      <c r="F621" s="12">
        <f>IFERROR(VALUE(SUBSTITUTE(Raw_Data!E621,"%",""))/100,"")</f>
        <v>0.76</v>
      </c>
      <c r="G621" s="13">
        <f>IFERROR(VALUE(Raw_Data!F621),"")</f>
        <v>4.3</v>
      </c>
      <c r="H621" s="14">
        <f>IFERROR(VALUE(SUBSTITUTE(Raw_Data!G621,",","")),"")</f>
        <v>17162</v>
      </c>
      <c r="I621" s="11">
        <f t="shared" si="36"/>
        <v>13000</v>
      </c>
      <c r="J621" s="11">
        <f t="shared" si="37"/>
        <v>68630838</v>
      </c>
      <c r="K621" s="1">
        <f t="shared" si="38"/>
        <v>17162.0000621</v>
      </c>
      <c r="L621" s="15">
        <f t="shared" si="39"/>
        <v>0.76006209999999996</v>
      </c>
    </row>
    <row r="622" spans="1:12" ht="15" customHeight="1" x14ac:dyDescent="0.25">
      <c r="A622" s="10" t="str">
        <f>Raw_Data!A622</f>
        <v>boAt BassHeads 122 Wired Earphones with Heavy Bass, Integrated Controls and Mic (Gun Metal)</v>
      </c>
      <c r="B622" s="10" t="str">
        <f>IFERROR(TRIM(LEFT(Raw_Data!A622,FIND(" ",Raw_Data!A622)-1)),Raw_Data!A622)</f>
        <v>boAt</v>
      </c>
      <c r="C622" s="10" t="str">
        <f>IFERROR(LEFT(Raw_Data!B622,FIND("|",Raw_Data!B622)-1),Raw_Data!B622)</f>
        <v>Electronics</v>
      </c>
      <c r="D622" s="11">
        <f>IFERROR(VALUE(SUBSTITUTE(SUBSTITUTE(TRIM(Raw_Data!C622),"₹",""),",","")),"")</f>
        <v>399</v>
      </c>
      <c r="E622" s="11">
        <f>IFERROR(VALUE(SUBSTITUTE(SUBSTITUTE(TRIM(Raw_Data!D622),"₹",""),",","")),"")</f>
        <v>1290</v>
      </c>
      <c r="F622" s="12">
        <f>IFERROR(VALUE(SUBSTITUTE(Raw_Data!E622,"%",""))/100,"")</f>
        <v>0.69</v>
      </c>
      <c r="G622" s="13">
        <f>IFERROR(VALUE(Raw_Data!F622),"")</f>
        <v>4.2</v>
      </c>
      <c r="H622" s="14">
        <f>IFERROR(VALUE(SUBSTITUTE(Raw_Data!G622,",","")),"")</f>
        <v>206</v>
      </c>
      <c r="I622" s="11">
        <f t="shared" si="36"/>
        <v>891</v>
      </c>
      <c r="J622" s="11">
        <f t="shared" si="37"/>
        <v>82194</v>
      </c>
      <c r="K622" s="1">
        <f t="shared" si="38"/>
        <v>206.0000622</v>
      </c>
      <c r="L622" s="15">
        <f t="shared" si="39"/>
        <v>0.69006219999999996</v>
      </c>
    </row>
    <row r="623" spans="1:12" ht="15" customHeight="1" x14ac:dyDescent="0.25">
      <c r="A623" s="10" t="str">
        <f>Raw_Data!A623</f>
        <v>Dell USB Wireless Keyboard and Mouse Set- KM3322W, Anti-Fade &amp; Spill-Resistant Keys, up to 36 Month Battery Life, 3Y Advance Exchange Warranty, Black</v>
      </c>
      <c r="B623" s="10" t="str">
        <f>IFERROR(TRIM(LEFT(Raw_Data!A623,FIND(" ",Raw_Data!A623)-1)),Raw_Data!A623)</f>
        <v>Dell</v>
      </c>
      <c r="C623" s="10" t="str">
        <f>IFERROR(LEFT(Raw_Data!B623,FIND("|",Raw_Data!B623)-1),Raw_Data!B623)</f>
        <v>Computers&amp;Accessories</v>
      </c>
      <c r="D623" s="11">
        <f>IFERROR(VALUE(SUBSTITUTE(SUBSTITUTE(TRIM(Raw_Data!C623),"₹",""),",","")),"")</f>
        <v>1399</v>
      </c>
      <c r="E623" s="11">
        <f>IFERROR(VALUE(SUBSTITUTE(SUBSTITUTE(TRIM(Raw_Data!D623),"₹",""),",","")),"")</f>
        <v>2498</v>
      </c>
      <c r="F623" s="12">
        <f>IFERROR(VALUE(SUBSTITUTE(Raw_Data!E623,"%",""))/100,"")</f>
        <v>0.44</v>
      </c>
      <c r="G623" s="13">
        <f>IFERROR(VALUE(Raw_Data!F623),"")</f>
        <v>4.2</v>
      </c>
      <c r="H623" s="14">
        <f>IFERROR(VALUE(SUBSTITUTE(Raw_Data!G623,",","")),"")</f>
        <v>33717</v>
      </c>
      <c r="I623" s="11">
        <f t="shared" si="36"/>
        <v>1099</v>
      </c>
      <c r="J623" s="11">
        <f t="shared" si="37"/>
        <v>47170083</v>
      </c>
      <c r="K623" s="1">
        <f t="shared" si="38"/>
        <v>33717.000062300001</v>
      </c>
      <c r="L623" s="15">
        <f t="shared" si="39"/>
        <v>0.44006230000000002</v>
      </c>
    </row>
    <row r="624" spans="1:12" ht="15" customHeight="1" x14ac:dyDescent="0.25">
      <c r="A624" s="10" t="str">
        <f>Raw_Data!A624</f>
        <v>Ambrane Unbreakable 60W / 3A Fast Charging 1.5m Braided Type C Cable for Smartphones, Tablets, Laptops &amp; other Type C devices, PD Technology, 480Mbps Data Sync, Quick Charge 3.0 (RCT15A, Black)</v>
      </c>
      <c r="B624" s="10" t="str">
        <f>IFERROR(TRIM(LEFT(Raw_Data!A624,FIND(" ",Raw_Data!A624)-1)),Raw_Data!A624)</f>
        <v>Ambrane</v>
      </c>
      <c r="C624" s="10" t="str">
        <f>IFERROR(LEFT(Raw_Data!B624,FIND("|",Raw_Data!B624)-1),Raw_Data!B624)</f>
        <v>Computers&amp;Accessories</v>
      </c>
      <c r="D624" s="11">
        <f>IFERROR(VALUE(SUBSTITUTE(SUBSTITUTE(TRIM(Raw_Data!C624),"₹",""),",","")),"")</f>
        <v>199</v>
      </c>
      <c r="E624" s="11">
        <f>IFERROR(VALUE(SUBSTITUTE(SUBSTITUTE(TRIM(Raw_Data!D624),"₹",""),",","")),"")</f>
        <v>349</v>
      </c>
      <c r="F624" s="12">
        <f>IFERROR(VALUE(SUBSTITUTE(Raw_Data!E624,"%",""))/100,"")</f>
        <v>0.43</v>
      </c>
      <c r="G624" s="13">
        <f>IFERROR(VALUE(Raw_Data!F624),"")</f>
        <v>4</v>
      </c>
      <c r="H624" s="14">
        <f>IFERROR(VALUE(SUBSTITUTE(Raw_Data!G624,",","")),"")</f>
        <v>43994</v>
      </c>
      <c r="I624" s="11">
        <f t="shared" si="36"/>
        <v>150</v>
      </c>
      <c r="J624" s="11">
        <f t="shared" si="37"/>
        <v>8754806</v>
      </c>
      <c r="K624" s="1">
        <f t="shared" si="38"/>
        <v>43994.000062400002</v>
      </c>
      <c r="L624" s="15">
        <f t="shared" si="39"/>
        <v>0.43006240000000001</v>
      </c>
    </row>
    <row r="625" spans="1:12" ht="15" customHeight="1" x14ac:dyDescent="0.25">
      <c r="A625" s="10" t="str">
        <f>Raw_Data!A625</f>
        <v>Sounce Fast Phone Charging Cable &amp; Data Sync USB Cable Compatible for iPhone 13, 12,11, X, 8, 7, 6, 5, iPad Air, Pro, Mini &amp; iOS Devices</v>
      </c>
      <c r="B625" s="10" t="str">
        <f>IFERROR(TRIM(LEFT(Raw_Data!A625,FIND(" ",Raw_Data!A625)-1)),Raw_Data!A625)</f>
        <v>Sounce</v>
      </c>
      <c r="C625" s="10" t="str">
        <f>IFERROR(LEFT(Raw_Data!B625,FIND("|",Raw_Data!B625)-1),Raw_Data!B625)</f>
        <v>Computers&amp;Accessories</v>
      </c>
      <c r="D625" s="11">
        <f>IFERROR(VALUE(SUBSTITUTE(SUBSTITUTE(TRIM(Raw_Data!C625),"₹",""),",","")),"")</f>
        <v>199</v>
      </c>
      <c r="E625" s="11">
        <f>IFERROR(VALUE(SUBSTITUTE(SUBSTITUTE(TRIM(Raw_Data!D625),"₹",""),",","")),"")</f>
        <v>999</v>
      </c>
      <c r="F625" s="12">
        <f>IFERROR(VALUE(SUBSTITUTE(Raw_Data!E625,"%",""))/100,"")</f>
        <v>0.8</v>
      </c>
      <c r="G625" s="13">
        <f>IFERROR(VALUE(Raw_Data!F625),"")</f>
        <v>3.9</v>
      </c>
      <c r="H625" s="14">
        <f>IFERROR(VALUE(SUBSTITUTE(Raw_Data!G625,",","")),"")</f>
        <v>7928</v>
      </c>
      <c r="I625" s="11">
        <f t="shared" si="36"/>
        <v>800</v>
      </c>
      <c r="J625" s="11">
        <f t="shared" si="37"/>
        <v>1577672</v>
      </c>
      <c r="K625" s="1">
        <f t="shared" si="38"/>
        <v>7928.0000625000002</v>
      </c>
      <c r="L625" s="15">
        <f t="shared" si="39"/>
        <v>0.80006250000000001</v>
      </c>
    </row>
    <row r="626" spans="1:12" ht="15" customHeight="1" x14ac:dyDescent="0.25">
      <c r="A626" s="10" t="str">
        <f>Raw_Data!A626</f>
        <v>Noise ColorFit Pro 4 Advanced Bluetooth Calling Smart Watch with 1.72" TruView Display, Fully-Functional Digital Crown, 311 PPI, 60Hz Refresh Rate, 500 NITS Brightness (Charcoal Black)</v>
      </c>
      <c r="B626" s="10" t="str">
        <f>IFERROR(TRIM(LEFT(Raw_Data!A626,FIND(" ",Raw_Data!A626)-1)),Raw_Data!A626)</f>
        <v>Noise</v>
      </c>
      <c r="C626" s="10" t="str">
        <f>IFERROR(LEFT(Raw_Data!B626,FIND("|",Raw_Data!B626)-1),Raw_Data!B626)</f>
        <v>Electronics</v>
      </c>
      <c r="D626" s="11">
        <f>IFERROR(VALUE(SUBSTITUTE(SUBSTITUTE(TRIM(Raw_Data!C626),"₹",""),",","")),"")</f>
        <v>2998</v>
      </c>
      <c r="E626" s="11">
        <f>IFERROR(VALUE(SUBSTITUTE(SUBSTITUTE(TRIM(Raw_Data!D626),"₹",""),",","")),"")</f>
        <v>5999</v>
      </c>
      <c r="F626" s="12">
        <f>IFERROR(VALUE(SUBSTITUTE(Raw_Data!E626,"%",""))/100,"")</f>
        <v>0.5</v>
      </c>
      <c r="G626" s="13">
        <f>IFERROR(VALUE(Raw_Data!F626),"")</f>
        <v>4.0999999999999996</v>
      </c>
      <c r="H626" s="14">
        <f>IFERROR(VALUE(SUBSTITUTE(Raw_Data!G626,",","")),"")</f>
        <v>5179</v>
      </c>
      <c r="I626" s="11">
        <f t="shared" si="36"/>
        <v>3001</v>
      </c>
      <c r="J626" s="11">
        <f t="shared" si="37"/>
        <v>15526642</v>
      </c>
      <c r="K626" s="1">
        <f t="shared" si="38"/>
        <v>5179.0000626000001</v>
      </c>
      <c r="L626" s="15">
        <f t="shared" si="39"/>
        <v>0.50006260000000002</v>
      </c>
    </row>
    <row r="627" spans="1:12" ht="15" customHeight="1" x14ac:dyDescent="0.25">
      <c r="A627" s="10" t="str">
        <f>Raw_Data!A627</f>
        <v>Seagate Expansion 1TB External HDD - USB 3.0 for Windows and Mac with 3 yr Data Recovery Services, Portable Hard Drive (STKM1000400)</v>
      </c>
      <c r="B627" s="10" t="str">
        <f>IFERROR(TRIM(LEFT(Raw_Data!A627,FIND(" ",Raw_Data!A627)-1)),Raw_Data!A627)</f>
        <v>Seagate</v>
      </c>
      <c r="C627" s="10" t="str">
        <f>IFERROR(LEFT(Raw_Data!B627,FIND("|",Raw_Data!B627)-1),Raw_Data!B627)</f>
        <v>Computers&amp;Accessories</v>
      </c>
      <c r="D627" s="11">
        <f>IFERROR(VALUE(SUBSTITUTE(SUBSTITUTE(TRIM(Raw_Data!C627),"₹",""),",","")),"")</f>
        <v>4098</v>
      </c>
      <c r="E627" s="11">
        <f>IFERROR(VALUE(SUBSTITUTE(SUBSTITUTE(TRIM(Raw_Data!D627),"₹",""),",","")),"")</f>
        <v>4999</v>
      </c>
      <c r="F627" s="12">
        <f>IFERROR(VALUE(SUBSTITUTE(Raw_Data!E627,"%",""))/100,"")</f>
        <v>0.18</v>
      </c>
      <c r="G627" s="13">
        <f>IFERROR(VALUE(Raw_Data!F627),"")</f>
        <v>4.5</v>
      </c>
      <c r="H627" s="14">
        <f>IFERROR(VALUE(SUBSTITUTE(Raw_Data!G627,",","")),"")</f>
        <v>50810</v>
      </c>
      <c r="I627" s="11">
        <f t="shared" si="36"/>
        <v>901</v>
      </c>
      <c r="J627" s="11">
        <f t="shared" si="37"/>
        <v>208219380</v>
      </c>
      <c r="K627" s="1">
        <f t="shared" si="38"/>
        <v>50810.000062699997</v>
      </c>
      <c r="L627" s="15">
        <f t="shared" si="39"/>
        <v>0.18006269999999999</v>
      </c>
    </row>
    <row r="628" spans="1:12" ht="15" customHeight="1" x14ac:dyDescent="0.25">
      <c r="A628" s="10" t="str">
        <f>Raw_Data!A628</f>
        <v>HP w100 480P 30 FPS Digital Webcam with Built-in Mic, Plug and Play Setup, Wide-Angle View for Video Calling on Skype, Zoom, Microsoft Teams and Other Apps (Black)</v>
      </c>
      <c r="B628" s="10" t="str">
        <f>IFERROR(TRIM(LEFT(Raw_Data!A628,FIND(" ",Raw_Data!A628)-1)),Raw_Data!A628)</f>
        <v>HP</v>
      </c>
      <c r="C628" s="10" t="str">
        <f>IFERROR(LEFT(Raw_Data!B628,FIND("|",Raw_Data!B628)-1),Raw_Data!B628)</f>
        <v>Electronics</v>
      </c>
      <c r="D628" s="11">
        <f>IFERROR(VALUE(SUBSTITUTE(SUBSTITUTE(TRIM(Raw_Data!C628),"₹",""),",","")),"")</f>
        <v>499</v>
      </c>
      <c r="E628" s="11">
        <f>IFERROR(VALUE(SUBSTITUTE(SUBSTITUTE(TRIM(Raw_Data!D628),"₹",""),",","")),"")</f>
        <v>1999</v>
      </c>
      <c r="F628" s="12">
        <f>IFERROR(VALUE(SUBSTITUTE(Raw_Data!E628,"%",""))/100,"")</f>
        <v>0.75</v>
      </c>
      <c r="G628" s="13">
        <f>IFERROR(VALUE(Raw_Data!F628),"")</f>
        <v>3.7</v>
      </c>
      <c r="H628" s="14">
        <f>IFERROR(VALUE(SUBSTITUTE(Raw_Data!G628,",","")),"")</f>
        <v>3369</v>
      </c>
      <c r="I628" s="11">
        <f t="shared" si="36"/>
        <v>1500</v>
      </c>
      <c r="J628" s="11">
        <f t="shared" si="37"/>
        <v>1681131</v>
      </c>
      <c r="K628" s="1">
        <f t="shared" si="38"/>
        <v>3369.0000627999998</v>
      </c>
      <c r="L628" s="15">
        <f t="shared" si="39"/>
        <v>0.75006280000000003</v>
      </c>
    </row>
    <row r="629" spans="1:12" ht="15" customHeight="1" x14ac:dyDescent="0.25">
      <c r="A629" s="10" t="str">
        <f>Raw_Data!A629</f>
        <v>ZEBRONICS Zeb-Dash Plus 2.4GHz High Precision Wireless Mouse with up to 1600 DPI, Power Saving Mode, Nano Receiver and Plug &amp; Play Usage - USB</v>
      </c>
      <c r="B629" s="10" t="str">
        <f>IFERROR(TRIM(LEFT(Raw_Data!A629,FIND(" ",Raw_Data!A629)-1)),Raw_Data!A629)</f>
        <v>ZEBRONICS</v>
      </c>
      <c r="C629" s="10" t="str">
        <f>IFERROR(LEFT(Raw_Data!B629,FIND("|",Raw_Data!B629)-1),Raw_Data!B629)</f>
        <v>Computers&amp;Accessories</v>
      </c>
      <c r="D629" s="11">
        <f>IFERROR(VALUE(SUBSTITUTE(SUBSTITUTE(TRIM(Raw_Data!C629),"₹",""),",","")),"")</f>
        <v>299</v>
      </c>
      <c r="E629" s="11">
        <f>IFERROR(VALUE(SUBSTITUTE(SUBSTITUTE(TRIM(Raw_Data!D629),"₹",""),",","")),"")</f>
        <v>449</v>
      </c>
      <c r="F629" s="12">
        <f>IFERROR(VALUE(SUBSTITUTE(Raw_Data!E629,"%",""))/100,"")</f>
        <v>0.33</v>
      </c>
      <c r="G629" s="13">
        <f>IFERROR(VALUE(Raw_Data!F629),"")</f>
        <v>3.5</v>
      </c>
      <c r="H629" s="14">
        <f>IFERROR(VALUE(SUBSTITUTE(Raw_Data!G629,",","")),"")</f>
        <v>11827</v>
      </c>
      <c r="I629" s="11">
        <f t="shared" si="36"/>
        <v>150</v>
      </c>
      <c r="J629" s="11">
        <f t="shared" si="37"/>
        <v>3536273</v>
      </c>
      <c r="K629" s="1">
        <f t="shared" si="38"/>
        <v>11827.000062900001</v>
      </c>
      <c r="L629" s="15">
        <f t="shared" si="39"/>
        <v>0.33006289999999999</v>
      </c>
    </row>
    <row r="630" spans="1:12" ht="15" customHeight="1" x14ac:dyDescent="0.25">
      <c r="A630" s="10" t="str">
        <f>Raw_Data!A630</f>
        <v>boAt Deuce USB 300 2 in 1 Type-C &amp; Micro USB Stress Resistant, Tangle-Free, Sturdy Cable with 3A Fast Charging &amp; 480mbps Data Transmission, 10000+ Bends Lifespan and Extended 1.5m Length(Martian Red)</v>
      </c>
      <c r="B630" s="10" t="str">
        <f>IFERROR(TRIM(LEFT(Raw_Data!A630,FIND(" ",Raw_Data!A630)-1)),Raw_Data!A630)</f>
        <v>boAt</v>
      </c>
      <c r="C630" s="10" t="str">
        <f>IFERROR(LEFT(Raw_Data!B630,FIND("|",Raw_Data!B630)-1),Raw_Data!B630)</f>
        <v>Computers&amp;Accessories</v>
      </c>
      <c r="D630" s="11">
        <f>IFERROR(VALUE(SUBSTITUTE(SUBSTITUTE(TRIM(Raw_Data!C630),"₹",""),",","")),"")</f>
        <v>329</v>
      </c>
      <c r="E630" s="11">
        <f>IFERROR(VALUE(SUBSTITUTE(SUBSTITUTE(TRIM(Raw_Data!D630),"₹",""),",","")),"")</f>
        <v>699</v>
      </c>
      <c r="F630" s="12">
        <f>IFERROR(VALUE(SUBSTITUTE(Raw_Data!E630,"%",""))/100,"")</f>
        <v>0.53</v>
      </c>
      <c r="G630" s="13">
        <f>IFERROR(VALUE(Raw_Data!F630),"")</f>
        <v>4.2</v>
      </c>
      <c r="H630" s="14">
        <f>IFERROR(VALUE(SUBSTITUTE(Raw_Data!G630,",","")),"")</f>
        <v>94364</v>
      </c>
      <c r="I630" s="11">
        <f t="shared" si="36"/>
        <v>370</v>
      </c>
      <c r="J630" s="11">
        <f t="shared" si="37"/>
        <v>31045756</v>
      </c>
      <c r="K630" s="1">
        <f t="shared" si="38"/>
        <v>94364.000062999999</v>
      </c>
      <c r="L630" s="15">
        <f t="shared" si="39"/>
        <v>0.53006300000000006</v>
      </c>
    </row>
    <row r="631" spans="1:12" ht="15" customHeight="1" x14ac:dyDescent="0.25">
      <c r="A631" s="10" t="str">
        <f>Raw_Data!A631</f>
        <v>Zebronics Zeb-Companion 107 USB Wireless Keyboard and Mouse Set with Nano Receiver (Black)</v>
      </c>
      <c r="B631" s="10" t="str">
        <f>IFERROR(TRIM(LEFT(Raw_Data!A631,FIND(" ",Raw_Data!A631)-1)),Raw_Data!A631)</f>
        <v>Zebronics</v>
      </c>
      <c r="C631" s="10" t="str">
        <f>IFERROR(LEFT(Raw_Data!B631,FIND("|",Raw_Data!B631)-1),Raw_Data!B631)</f>
        <v>Computers&amp;Accessories</v>
      </c>
      <c r="D631" s="11">
        <f>IFERROR(VALUE(SUBSTITUTE(SUBSTITUTE(TRIM(Raw_Data!C631),"₹",""),",","")),"")</f>
        <v>699</v>
      </c>
      <c r="E631" s="11">
        <f>IFERROR(VALUE(SUBSTITUTE(SUBSTITUTE(TRIM(Raw_Data!D631),"₹",""),",","")),"")</f>
        <v>999</v>
      </c>
      <c r="F631" s="12">
        <f>IFERROR(VALUE(SUBSTITUTE(Raw_Data!E631,"%",""))/100,"")</f>
        <v>0.3</v>
      </c>
      <c r="G631" s="13">
        <f>IFERROR(VALUE(Raw_Data!F631),"")</f>
        <v>3.5</v>
      </c>
      <c r="H631" s="14">
        <f>IFERROR(VALUE(SUBSTITUTE(Raw_Data!G631,",","")),"")</f>
        <v>15295</v>
      </c>
      <c r="I631" s="11">
        <f t="shared" si="36"/>
        <v>300</v>
      </c>
      <c r="J631" s="11">
        <f t="shared" si="37"/>
        <v>10691205</v>
      </c>
      <c r="K631" s="1">
        <f t="shared" si="38"/>
        <v>15295.0000631</v>
      </c>
      <c r="L631" s="15">
        <f t="shared" si="39"/>
        <v>0.30006309999999997</v>
      </c>
    </row>
    <row r="632" spans="1:12" ht="15" customHeight="1" x14ac:dyDescent="0.25">
      <c r="A632" s="10" t="str">
        <f>Raw_Data!A632</f>
        <v>SYVO WT 3130 Aluminum Tripod (133CM), Universal Lightweight Tripod with Mobile Phone Holder Mount &amp; Carry Bag for All Smart Phones, Gopro, Cameras - Brown</v>
      </c>
      <c r="B632" s="10" t="str">
        <f>IFERROR(TRIM(LEFT(Raw_Data!A632,FIND(" ",Raw_Data!A632)-1)),Raw_Data!A632)</f>
        <v>SYVO</v>
      </c>
      <c r="C632" s="10" t="str">
        <f>IFERROR(LEFT(Raw_Data!B632,FIND("|",Raw_Data!B632)-1),Raw_Data!B632)</f>
        <v>Electronics</v>
      </c>
      <c r="D632" s="11">
        <f>IFERROR(VALUE(SUBSTITUTE(SUBSTITUTE(TRIM(Raw_Data!C632),"₹",""),",","")),"")</f>
        <v>799</v>
      </c>
      <c r="E632" s="11">
        <f>IFERROR(VALUE(SUBSTITUTE(SUBSTITUTE(TRIM(Raw_Data!D632),"₹",""),",","")),"")</f>
        <v>3990</v>
      </c>
      <c r="F632" s="12">
        <f>IFERROR(VALUE(SUBSTITUTE(Raw_Data!E632,"%",""))/100,"")</f>
        <v>0.8</v>
      </c>
      <c r="G632" s="13">
        <f>IFERROR(VALUE(Raw_Data!F632),"")</f>
        <v>4.3</v>
      </c>
      <c r="H632" s="14">
        <f>IFERROR(VALUE(SUBSTITUTE(Raw_Data!G632,",","")),"")</f>
        <v>27139</v>
      </c>
      <c r="I632" s="11">
        <f t="shared" si="36"/>
        <v>3191</v>
      </c>
      <c r="J632" s="11">
        <f t="shared" si="37"/>
        <v>21684061</v>
      </c>
      <c r="K632" s="1">
        <f t="shared" si="38"/>
        <v>27139.000063200001</v>
      </c>
      <c r="L632" s="15">
        <f t="shared" si="39"/>
        <v>0.80006320000000009</v>
      </c>
    </row>
    <row r="633" spans="1:12" ht="15" customHeight="1" x14ac:dyDescent="0.25">
      <c r="A633" s="10" t="str">
        <f>Raw_Data!A633</f>
        <v>Boult Audio Airbass Z20 True Wireless, 40H Battery Life, Zen ENC Mic, Type-C Lightning Boult Fast Charging (10Mins=100Mins), BoomX Tech Bass, ENC, IPX5 in Ear Earbuds with mic (Green)</v>
      </c>
      <c r="B633" s="10" t="str">
        <f>IFERROR(TRIM(LEFT(Raw_Data!A633,FIND(" ",Raw_Data!A633)-1)),Raw_Data!A633)</f>
        <v>Boult</v>
      </c>
      <c r="C633" s="10" t="str">
        <f>IFERROR(LEFT(Raw_Data!B633,FIND("|",Raw_Data!B633)-1),Raw_Data!B633)</f>
        <v>Electronics</v>
      </c>
      <c r="D633" s="11">
        <f>IFERROR(VALUE(SUBSTITUTE(SUBSTITUTE(TRIM(Raw_Data!C633),"₹",""),",","")),"")</f>
        <v>1399</v>
      </c>
      <c r="E633" s="11">
        <f>IFERROR(VALUE(SUBSTITUTE(SUBSTITUTE(TRIM(Raw_Data!D633),"₹",""),",","")),"")</f>
        <v>5499</v>
      </c>
      <c r="F633" s="12">
        <f>IFERROR(VALUE(SUBSTITUTE(Raw_Data!E633,"%",""))/100,"")</f>
        <v>0.75</v>
      </c>
      <c r="G633" s="13">
        <f>IFERROR(VALUE(Raw_Data!F633),"")</f>
        <v>3.9</v>
      </c>
      <c r="H633" s="14">
        <f>IFERROR(VALUE(SUBSTITUTE(Raw_Data!G633,",","")),"")</f>
        <v>9504</v>
      </c>
      <c r="I633" s="11">
        <f t="shared" si="36"/>
        <v>4100</v>
      </c>
      <c r="J633" s="11">
        <f t="shared" si="37"/>
        <v>13296096</v>
      </c>
      <c r="K633" s="1">
        <f t="shared" si="38"/>
        <v>9504.0000633</v>
      </c>
      <c r="L633" s="15">
        <f t="shared" si="39"/>
        <v>0.75006329999999999</v>
      </c>
    </row>
    <row r="634" spans="1:12" ht="15" customHeight="1" x14ac:dyDescent="0.25">
      <c r="A634" s="10" t="str">
        <f>Raw_Data!A634</f>
        <v>Portronics Konnect L 1.2M Fast Charging 3A 8 Pin USB Cable with Charge &amp; Sync Function for iPhone, iPad (Grey)</v>
      </c>
      <c r="B634" s="10" t="str">
        <f>IFERROR(TRIM(LEFT(Raw_Data!A634,FIND(" ",Raw_Data!A634)-1)),Raw_Data!A634)</f>
        <v>Portronics</v>
      </c>
      <c r="C634" s="10" t="str">
        <f>IFERROR(LEFT(Raw_Data!B634,FIND("|",Raw_Data!B634)-1),Raw_Data!B634)</f>
        <v>Computers&amp;Accessories</v>
      </c>
      <c r="D634" s="11">
        <f>IFERROR(VALUE(SUBSTITUTE(SUBSTITUTE(TRIM(Raw_Data!C634),"₹",""),",","")),"")</f>
        <v>154</v>
      </c>
      <c r="E634" s="11">
        <f>IFERROR(VALUE(SUBSTITUTE(SUBSTITUTE(TRIM(Raw_Data!D634),"₹",""),",","")),"")</f>
        <v>399</v>
      </c>
      <c r="F634" s="12">
        <f>IFERROR(VALUE(SUBSTITUTE(Raw_Data!E634,"%",""))/100,"")</f>
        <v>0.61</v>
      </c>
      <c r="G634" s="13">
        <f>IFERROR(VALUE(Raw_Data!F634),"")</f>
        <v>4.2</v>
      </c>
      <c r="H634" s="14">
        <f>IFERROR(VALUE(SUBSTITUTE(Raw_Data!G634,",","")),"")</f>
        <v>16905</v>
      </c>
      <c r="I634" s="11">
        <f t="shared" si="36"/>
        <v>245</v>
      </c>
      <c r="J634" s="11">
        <f t="shared" si="37"/>
        <v>2603370</v>
      </c>
      <c r="K634" s="1">
        <f t="shared" si="38"/>
        <v>16905.000063399999</v>
      </c>
      <c r="L634" s="15">
        <f t="shared" si="39"/>
        <v>0.61006340000000003</v>
      </c>
    </row>
    <row r="635" spans="1:12" ht="15" customHeight="1" x14ac:dyDescent="0.25">
      <c r="A635" s="10" t="str">
        <f>Raw_Data!A635</f>
        <v>SanDisk Ultra Flair 64GB USB 3.0 Pen Drive, Multicolor</v>
      </c>
      <c r="B635" s="10" t="str">
        <f>IFERROR(TRIM(LEFT(Raw_Data!A635,FIND(" ",Raw_Data!A635)-1)),Raw_Data!A635)</f>
        <v>SanDisk</v>
      </c>
      <c r="C635" s="10" t="str">
        <f>IFERROR(LEFT(Raw_Data!B635,FIND("|",Raw_Data!B635)-1),Raw_Data!B635)</f>
        <v>Computers&amp;Accessories</v>
      </c>
      <c r="D635" s="11">
        <f>IFERROR(VALUE(SUBSTITUTE(SUBSTITUTE(TRIM(Raw_Data!C635),"₹",""),",","")),"")</f>
        <v>519</v>
      </c>
      <c r="E635" s="11">
        <f>IFERROR(VALUE(SUBSTITUTE(SUBSTITUTE(TRIM(Raw_Data!D635),"₹",""),",","")),"")</f>
        <v>1350</v>
      </c>
      <c r="F635" s="12">
        <f>IFERROR(VALUE(SUBSTITUTE(Raw_Data!E635,"%",""))/100,"")</f>
        <v>0.62</v>
      </c>
      <c r="G635" s="13">
        <f>IFERROR(VALUE(Raw_Data!F635),"")</f>
        <v>4.3</v>
      </c>
      <c r="H635" s="14">
        <f>IFERROR(VALUE(SUBSTITUTE(Raw_Data!G635,",","")),"")</f>
        <v>30058</v>
      </c>
      <c r="I635" s="11">
        <f t="shared" si="36"/>
        <v>831</v>
      </c>
      <c r="J635" s="11">
        <f t="shared" si="37"/>
        <v>15600102</v>
      </c>
      <c r="K635" s="1">
        <f t="shared" si="38"/>
        <v>30058.0000635</v>
      </c>
      <c r="L635" s="15">
        <f t="shared" si="39"/>
        <v>0.62006349999999999</v>
      </c>
    </row>
    <row r="636" spans="1:12" ht="15" customHeight="1" x14ac:dyDescent="0.25">
      <c r="A636" s="10" t="str">
        <f>Raw_Data!A636</f>
        <v>boAt Xtend Smartwatch with Alexa Built-in, 1.69” HD Display, Multiple Watch Faces, Stress Monitor, Heart &amp; SpO2 Monitoring, 14 Sports Modes, Sleep Monitor, 5 ATM &amp; 7 Days Battery(Charcoal Black)</v>
      </c>
      <c r="B636" s="10" t="str">
        <f>IFERROR(TRIM(LEFT(Raw_Data!A636,FIND(" ",Raw_Data!A636)-1)),Raw_Data!A636)</f>
        <v>boAt</v>
      </c>
      <c r="C636" s="10" t="str">
        <f>IFERROR(LEFT(Raw_Data!B636,FIND("|",Raw_Data!B636)-1),Raw_Data!B636)</f>
        <v>Electronics</v>
      </c>
      <c r="D636" s="11">
        <f>IFERROR(VALUE(SUBSTITUTE(SUBSTITUTE(TRIM(Raw_Data!C636),"₹",""),",","")),"")</f>
        <v>2299</v>
      </c>
      <c r="E636" s="11">
        <f>IFERROR(VALUE(SUBSTITUTE(SUBSTITUTE(TRIM(Raw_Data!D636),"₹",""),",","")),"")</f>
        <v>7990</v>
      </c>
      <c r="F636" s="12">
        <f>IFERROR(VALUE(SUBSTITUTE(Raw_Data!E636,"%",""))/100,"")</f>
        <v>0.71</v>
      </c>
      <c r="G636" s="13">
        <f>IFERROR(VALUE(Raw_Data!F636),"")</f>
        <v>4.2</v>
      </c>
      <c r="H636" s="14">
        <f>IFERROR(VALUE(SUBSTITUTE(Raw_Data!G636,",","")),"")</f>
        <v>69619</v>
      </c>
      <c r="I636" s="11">
        <f t="shared" si="36"/>
        <v>5691</v>
      </c>
      <c r="J636" s="11">
        <f t="shared" si="37"/>
        <v>160054081</v>
      </c>
      <c r="K636" s="1">
        <f t="shared" si="38"/>
        <v>69619.000063600004</v>
      </c>
      <c r="L636" s="15">
        <f t="shared" si="39"/>
        <v>0.71006360000000002</v>
      </c>
    </row>
    <row r="637" spans="1:12" ht="15" customHeight="1" x14ac:dyDescent="0.25">
      <c r="A637" s="10" t="str">
        <f>Raw_Data!A637</f>
        <v>Tygot Bluetooth Extendable Selfie Sticks with Wireless Remote and Tripod Stand, 3-in-1 Multifunctional Selfie Stick with Tripod Stand Compatible with iPhone/OnePlus/Samsung/Oppo/Vivo and All Phones</v>
      </c>
      <c r="B637" s="10" t="str">
        <f>IFERROR(TRIM(LEFT(Raw_Data!A637,FIND(" ",Raw_Data!A637)-1)),Raw_Data!A637)</f>
        <v>Tygot</v>
      </c>
      <c r="C637" s="10" t="str">
        <f>IFERROR(LEFT(Raw_Data!B637,FIND("|",Raw_Data!B637)-1),Raw_Data!B637)</f>
        <v>Electronics</v>
      </c>
      <c r="D637" s="11">
        <f>IFERROR(VALUE(SUBSTITUTE(SUBSTITUTE(TRIM(Raw_Data!C637),"₹",""),",","")),"")</f>
        <v>399</v>
      </c>
      <c r="E637" s="11">
        <f>IFERROR(VALUE(SUBSTITUTE(SUBSTITUTE(TRIM(Raw_Data!D637),"₹",""),",","")),"")</f>
        <v>1999</v>
      </c>
      <c r="F637" s="12">
        <f>IFERROR(VALUE(SUBSTITUTE(Raw_Data!E637,"%",""))/100,"")</f>
        <v>0.8</v>
      </c>
      <c r="G637" s="13">
        <f>IFERROR(VALUE(Raw_Data!F637),"")</f>
        <v>4</v>
      </c>
      <c r="H637" s="14">
        <f>IFERROR(VALUE(SUBSTITUTE(Raw_Data!G637,",","")),"")</f>
        <v>3382</v>
      </c>
      <c r="I637" s="11">
        <f t="shared" si="36"/>
        <v>1600</v>
      </c>
      <c r="J637" s="11">
        <f t="shared" si="37"/>
        <v>1349418</v>
      </c>
      <c r="K637" s="1">
        <f t="shared" si="38"/>
        <v>3382.0000636999998</v>
      </c>
      <c r="L637" s="15">
        <f t="shared" si="39"/>
        <v>0.80006370000000004</v>
      </c>
    </row>
    <row r="638" spans="1:12" ht="15" customHeight="1" x14ac:dyDescent="0.25">
      <c r="A638" s="10" t="str">
        <f>Raw_Data!A638</f>
        <v>boAt Rockerz 330 in-Ear Bluetooth Neckband with Upto 30 Hours Playtime, ASAP  Charge, Signature Sound, Dual Pairing &amp; IPX5 with Mic (Active Black)</v>
      </c>
      <c r="B638" s="10" t="str">
        <f>IFERROR(TRIM(LEFT(Raw_Data!A638,FIND(" ",Raw_Data!A638)-1)),Raw_Data!A638)</f>
        <v>boAt</v>
      </c>
      <c r="C638" s="10" t="str">
        <f>IFERROR(LEFT(Raw_Data!B638,FIND("|",Raw_Data!B638)-1),Raw_Data!B638)</f>
        <v>Electronics</v>
      </c>
      <c r="D638" s="11">
        <f>IFERROR(VALUE(SUBSTITUTE(SUBSTITUTE(TRIM(Raw_Data!C638),"₹",""),",","")),"")</f>
        <v>1499</v>
      </c>
      <c r="E638" s="11">
        <f>IFERROR(VALUE(SUBSTITUTE(SUBSTITUTE(TRIM(Raw_Data!D638),"₹",""),",","")),"")</f>
        <v>3990</v>
      </c>
      <c r="F638" s="12">
        <f>IFERROR(VALUE(SUBSTITUTE(Raw_Data!E638,"%",""))/100,"")</f>
        <v>0.62</v>
      </c>
      <c r="G638" s="13">
        <f>IFERROR(VALUE(Raw_Data!F638),"")</f>
        <v>4.0999999999999996</v>
      </c>
      <c r="H638" s="14">
        <f>IFERROR(VALUE(SUBSTITUTE(Raw_Data!G638,",","")),"")</f>
        <v>109864</v>
      </c>
      <c r="I638" s="11">
        <f t="shared" si="36"/>
        <v>2491</v>
      </c>
      <c r="J638" s="11">
        <f t="shared" si="37"/>
        <v>164686136</v>
      </c>
      <c r="K638" s="1">
        <f t="shared" si="38"/>
        <v>109864.00006380001</v>
      </c>
      <c r="L638" s="15">
        <f t="shared" si="39"/>
        <v>0.62006379999999994</v>
      </c>
    </row>
    <row r="639" spans="1:12" ht="15" customHeight="1" x14ac:dyDescent="0.25">
      <c r="A639" s="10" t="str">
        <f>Raw_Data!A639</f>
        <v>Casio FX-991ES Plus-2nd Edition Scientific Calculator, Black</v>
      </c>
      <c r="B639" s="10" t="str">
        <f>IFERROR(TRIM(LEFT(Raw_Data!A639,FIND(" ",Raw_Data!A639)-1)),Raw_Data!A639)</f>
        <v>Casio</v>
      </c>
      <c r="C639" s="10" t="str">
        <f>IFERROR(LEFT(Raw_Data!B639,FIND("|",Raw_Data!B639)-1),Raw_Data!B639)</f>
        <v>OfficeProducts</v>
      </c>
      <c r="D639" s="11">
        <f>IFERROR(VALUE(SUBSTITUTE(SUBSTITUTE(TRIM(Raw_Data!C639),"₹",""),",","")),"")</f>
        <v>1295</v>
      </c>
      <c r="E639" s="11">
        <f>IFERROR(VALUE(SUBSTITUTE(SUBSTITUTE(TRIM(Raw_Data!D639),"₹",""),",","")),"")</f>
        <v>1295</v>
      </c>
      <c r="F639" s="12">
        <f>IFERROR(VALUE(SUBSTITUTE(Raw_Data!E639,"%",""))/100,"")</f>
        <v>0</v>
      </c>
      <c r="G639" s="13">
        <f>IFERROR(VALUE(Raw_Data!F639),"")</f>
        <v>4.5</v>
      </c>
      <c r="H639" s="14">
        <f>IFERROR(VALUE(SUBSTITUTE(Raw_Data!G639,",","")),"")</f>
        <v>5760</v>
      </c>
      <c r="I639" s="11">
        <f t="shared" si="36"/>
        <v>0</v>
      </c>
      <c r="J639" s="11">
        <f t="shared" si="37"/>
        <v>7459200</v>
      </c>
      <c r="K639" s="1">
        <f t="shared" si="38"/>
        <v>5760.0000639</v>
      </c>
      <c r="L639" s="15">
        <f t="shared" si="39"/>
        <v>6.3899999999999995E-5</v>
      </c>
    </row>
    <row r="640" spans="1:12" ht="15" customHeight="1" x14ac:dyDescent="0.25">
      <c r="A640" s="10" t="str">
        <f>Raw_Data!A640</f>
        <v>TP-Link AC750 Wifi Range Extender | Up to 750Mbps | Dual Band WiFi Extender, Repeater, Wifi Signal Booster, Access Point| Easy Set-Up | Extends Wifi to Smart Home &amp; Alexa Devices (RE200)</v>
      </c>
      <c r="B640" s="10" t="str">
        <f>IFERROR(TRIM(LEFT(Raw_Data!A640,FIND(" ",Raw_Data!A640)-1)),Raw_Data!A640)</f>
        <v>TP-Link</v>
      </c>
      <c r="C640" s="10" t="str">
        <f>IFERROR(LEFT(Raw_Data!B640,FIND("|",Raw_Data!B640)-1),Raw_Data!B640)</f>
        <v>Computers&amp;Accessories</v>
      </c>
      <c r="D640" s="11">
        <f>IFERROR(VALUE(SUBSTITUTE(SUBSTITUTE(TRIM(Raw_Data!C640),"₹",""),",","")),"")</f>
        <v>1889</v>
      </c>
      <c r="E640" s="11">
        <f>IFERROR(VALUE(SUBSTITUTE(SUBSTITUTE(TRIM(Raw_Data!D640),"₹",""),",","")),"")</f>
        <v>5499</v>
      </c>
      <c r="F640" s="12">
        <f>IFERROR(VALUE(SUBSTITUTE(Raw_Data!E640,"%",""))/100,"")</f>
        <v>0.66</v>
      </c>
      <c r="G640" s="13">
        <f>IFERROR(VALUE(Raw_Data!F640),"")</f>
        <v>4.2</v>
      </c>
      <c r="H640" s="14">
        <f>IFERROR(VALUE(SUBSTITUTE(Raw_Data!G640,",","")),"")</f>
        <v>49551</v>
      </c>
      <c r="I640" s="11">
        <f t="shared" si="36"/>
        <v>3610</v>
      </c>
      <c r="J640" s="11">
        <f t="shared" si="37"/>
        <v>93601839</v>
      </c>
      <c r="K640" s="1">
        <f t="shared" si="38"/>
        <v>49551.000064</v>
      </c>
      <c r="L640" s="15">
        <f t="shared" si="39"/>
        <v>0.66006399999999998</v>
      </c>
    </row>
    <row r="641" spans="1:12" ht="15" customHeight="1" x14ac:dyDescent="0.25">
      <c r="A641" s="10" t="str">
        <f>Raw_Data!A641</f>
        <v>boAt Bassheads 242 in Ear Wired Earphones with Mic(Blue)</v>
      </c>
      <c r="B641" s="10" t="str">
        <f>IFERROR(TRIM(LEFT(Raw_Data!A641,FIND(" ",Raw_Data!A641)-1)),Raw_Data!A641)</f>
        <v>boAt</v>
      </c>
      <c r="C641" s="10" t="str">
        <f>IFERROR(LEFT(Raw_Data!B641,FIND("|",Raw_Data!B641)-1),Raw_Data!B641)</f>
        <v>Electronics</v>
      </c>
      <c r="D641" s="11">
        <f>IFERROR(VALUE(SUBSTITUTE(SUBSTITUTE(TRIM(Raw_Data!C641),"₹",""),",","")),"")</f>
        <v>455</v>
      </c>
      <c r="E641" s="11">
        <f>IFERROR(VALUE(SUBSTITUTE(SUBSTITUTE(TRIM(Raw_Data!D641),"₹",""),",","")),"")</f>
        <v>1490</v>
      </c>
      <c r="F641" s="12">
        <f>IFERROR(VALUE(SUBSTITUTE(Raw_Data!E641,"%",""))/100,"")</f>
        <v>0.69</v>
      </c>
      <c r="G641" s="13">
        <f>IFERROR(VALUE(Raw_Data!F641),"")</f>
        <v>4.0999999999999996</v>
      </c>
      <c r="H641" s="14">
        <f>IFERROR(VALUE(SUBSTITUTE(Raw_Data!G641,",","")),"")</f>
        <v>161677</v>
      </c>
      <c r="I641" s="11">
        <f t="shared" si="36"/>
        <v>1035</v>
      </c>
      <c r="J641" s="11">
        <f t="shared" si="37"/>
        <v>73563035</v>
      </c>
      <c r="K641" s="1">
        <f t="shared" si="38"/>
        <v>161677.00006409999</v>
      </c>
      <c r="L641" s="15">
        <f t="shared" si="39"/>
        <v>0.69006409999999996</v>
      </c>
    </row>
    <row r="642" spans="1:12" ht="15" customHeight="1" x14ac:dyDescent="0.25">
      <c r="A642" s="10" t="str">
        <f>Raw_Data!A642</f>
        <v>DIGITEK® (DTR 260 GT) Gorilla Tripod/Mini 33 cm (13 Inch) Tripod for Mobile Phone with Phone Mount &amp; Remote, Flexible Gorilla Stand for DSLR &amp; Action Cameras</v>
      </c>
      <c r="B642" s="10" t="str">
        <f>IFERROR(TRIM(LEFT(Raw_Data!A642,FIND(" ",Raw_Data!A642)-1)),Raw_Data!A642)</f>
        <v>DIGITEK®</v>
      </c>
      <c r="C642" s="10" t="str">
        <f>IFERROR(LEFT(Raw_Data!B642,FIND("|",Raw_Data!B642)-1),Raw_Data!B642)</f>
        <v>Electronics</v>
      </c>
      <c r="D642" s="11">
        <f>IFERROR(VALUE(SUBSTITUTE(SUBSTITUTE(TRIM(Raw_Data!C642),"₹",""),",","")),"")</f>
        <v>399</v>
      </c>
      <c r="E642" s="11">
        <f>IFERROR(VALUE(SUBSTITUTE(SUBSTITUTE(TRIM(Raw_Data!D642),"₹",""),",","")),"")</f>
        <v>995</v>
      </c>
      <c r="F642" s="12">
        <f>IFERROR(VALUE(SUBSTITUTE(Raw_Data!E642,"%",""))/100,"")</f>
        <v>0.6</v>
      </c>
      <c r="G642" s="13">
        <f>IFERROR(VALUE(Raw_Data!F642),"")</f>
        <v>3.9</v>
      </c>
      <c r="H642" s="14">
        <f>IFERROR(VALUE(SUBSTITUTE(Raw_Data!G642,",","")),"")</f>
        <v>21372</v>
      </c>
      <c r="I642" s="11">
        <f t="shared" ref="I642:I705" si="40">IFERROR(E642-D642,"")</f>
        <v>596</v>
      </c>
      <c r="J642" s="11">
        <f t="shared" ref="J642:J705" si="41">IFERROR(D642*H642,"")</f>
        <v>8527428</v>
      </c>
      <c r="K642" s="1">
        <f t="shared" ref="K642:K705" si="42">IF(ISNUMBER(H642),H642+ROW()/10000000,"")</f>
        <v>21372.000064200001</v>
      </c>
      <c r="L642" s="15">
        <f t="shared" ref="L642:L705" si="43">IF(ISNUMBER(F642),F642+ROW()/10000000,"")</f>
        <v>0.60006419999999994</v>
      </c>
    </row>
    <row r="643" spans="1:12" ht="15" customHeight="1" x14ac:dyDescent="0.25">
      <c r="A643" s="10" t="str">
        <f>Raw_Data!A643</f>
        <v>Samsung EVO Plus 128GB microSDXC UHS-I U3 130MB/s Full HD &amp; 4K UHD Memory Card with Adapter (MB-MC128KA), Blue</v>
      </c>
      <c r="B643" s="10" t="str">
        <f>IFERROR(TRIM(LEFT(Raw_Data!A643,FIND(" ",Raw_Data!A643)-1)),Raw_Data!A643)</f>
        <v>Samsung</v>
      </c>
      <c r="C643" s="10" t="str">
        <f>IFERROR(LEFT(Raw_Data!B643,FIND("|",Raw_Data!B643)-1),Raw_Data!B643)</f>
        <v>Electronics</v>
      </c>
      <c r="D643" s="11">
        <f>IFERROR(VALUE(SUBSTITUTE(SUBSTITUTE(TRIM(Raw_Data!C643),"₹",""),",","")),"")</f>
        <v>1059</v>
      </c>
      <c r="E643" s="11">
        <f>IFERROR(VALUE(SUBSTITUTE(SUBSTITUTE(TRIM(Raw_Data!D643),"₹",""),",","")),"")</f>
        <v>3999</v>
      </c>
      <c r="F643" s="12">
        <f>IFERROR(VALUE(SUBSTITUTE(Raw_Data!E643,"%",""))/100,"")</f>
        <v>0.74</v>
      </c>
      <c r="G643" s="13">
        <f>IFERROR(VALUE(Raw_Data!F643),"")</f>
        <v>4.3</v>
      </c>
      <c r="H643" s="14">
        <f>IFERROR(VALUE(SUBSTITUTE(Raw_Data!G643,",","")),"")</f>
        <v>140035</v>
      </c>
      <c r="I643" s="11">
        <f t="shared" si="40"/>
        <v>2940</v>
      </c>
      <c r="J643" s="11">
        <f t="shared" si="41"/>
        <v>148297065</v>
      </c>
      <c r="K643" s="1">
        <f t="shared" si="42"/>
        <v>140035.00006429999</v>
      </c>
      <c r="L643" s="15">
        <f t="shared" si="43"/>
        <v>0.74006430000000001</v>
      </c>
    </row>
    <row r="644" spans="1:12" ht="15" customHeight="1" x14ac:dyDescent="0.25">
      <c r="A644" s="10" t="str">
        <f>Raw_Data!A644</f>
        <v>pTron Solero TB301 3A Type-C Data and Fast Charging Cable, Made in India, 480Mbps Data Sync, Strong and Durable 1.5-Meter Nylon Braided USB Cable for Type-C Devices for Charging Adapter (Black)</v>
      </c>
      <c r="B644" s="10" t="str">
        <f>IFERROR(TRIM(LEFT(Raw_Data!A644,FIND(" ",Raw_Data!A644)-1)),Raw_Data!A644)</f>
        <v>pTron</v>
      </c>
      <c r="C644" s="10" t="str">
        <f>IFERROR(LEFT(Raw_Data!B644,FIND("|",Raw_Data!B644)-1),Raw_Data!B644)</f>
        <v>Computers&amp;Accessories</v>
      </c>
      <c r="D644" s="11">
        <f>IFERROR(VALUE(SUBSTITUTE(SUBSTITUTE(TRIM(Raw_Data!C644),"₹",""),",","")),"")</f>
        <v>149</v>
      </c>
      <c r="E644" s="11">
        <f>IFERROR(VALUE(SUBSTITUTE(SUBSTITUTE(TRIM(Raw_Data!D644),"₹",""),",","")),"")</f>
        <v>1000</v>
      </c>
      <c r="F644" s="12">
        <f>IFERROR(VALUE(SUBSTITUTE(Raw_Data!E644,"%",""))/100,"")</f>
        <v>0.85</v>
      </c>
      <c r="G644" s="13">
        <f>IFERROR(VALUE(Raw_Data!F644),"")</f>
        <v>3.9</v>
      </c>
      <c r="H644" s="14">
        <f>IFERROR(VALUE(SUBSTITUTE(Raw_Data!G644,",","")),"")</f>
        <v>24870</v>
      </c>
      <c r="I644" s="11">
        <f t="shared" si="40"/>
        <v>851</v>
      </c>
      <c r="J644" s="11">
        <f t="shared" si="41"/>
        <v>3705630</v>
      </c>
      <c r="K644" s="1">
        <f t="shared" si="42"/>
        <v>24870.000064399999</v>
      </c>
      <c r="L644" s="15">
        <f t="shared" si="43"/>
        <v>0.85006439999999994</v>
      </c>
    </row>
    <row r="645" spans="1:12" ht="15" customHeight="1" x14ac:dyDescent="0.25">
      <c r="A645" s="10" t="str">
        <f>Raw_Data!A645</f>
        <v>HP 805 Black Original Ink Cartridge</v>
      </c>
      <c r="B645" s="10" t="str">
        <f>IFERROR(TRIM(LEFT(Raw_Data!A645,FIND(" ",Raw_Data!A645)-1)),Raw_Data!A645)</f>
        <v>HP</v>
      </c>
      <c r="C645" s="10" t="str">
        <f>IFERROR(LEFT(Raw_Data!B645,FIND("|",Raw_Data!B645)-1),Raw_Data!B645)</f>
        <v>Computers&amp;Accessories</v>
      </c>
      <c r="D645" s="11">
        <f>IFERROR(VALUE(SUBSTITUTE(SUBSTITUTE(TRIM(Raw_Data!C645),"₹",""),",","")),"")</f>
        <v>717</v>
      </c>
      <c r="E645" s="11">
        <f>IFERROR(VALUE(SUBSTITUTE(SUBSTITUTE(TRIM(Raw_Data!D645),"₹",""),",","")),"")</f>
        <v>761</v>
      </c>
      <c r="F645" s="12">
        <f>IFERROR(VALUE(SUBSTITUTE(Raw_Data!E645,"%",""))/100,"")</f>
        <v>0.06</v>
      </c>
      <c r="G645" s="13">
        <f>IFERROR(VALUE(Raw_Data!F645),"")</f>
        <v>4</v>
      </c>
      <c r="H645" s="14">
        <f>IFERROR(VALUE(SUBSTITUTE(Raw_Data!G645,",","")),"")</f>
        <v>7199</v>
      </c>
      <c r="I645" s="11">
        <f t="shared" si="40"/>
        <v>44</v>
      </c>
      <c r="J645" s="11">
        <f t="shared" si="41"/>
        <v>5161683</v>
      </c>
      <c r="K645" s="1">
        <f t="shared" si="42"/>
        <v>7199.0000645</v>
      </c>
      <c r="L645" s="15">
        <f t="shared" si="43"/>
        <v>6.00645E-2</v>
      </c>
    </row>
    <row r="646" spans="1:12" ht="15" customHeight="1" x14ac:dyDescent="0.25">
      <c r="A646" s="10" t="str">
        <f>Raw_Data!A646</f>
        <v>Sounce Spiral Charger Cable Protector Data Cable Saver Charging Cord Protective Cable Cover Headphone MacBook Laptop Earphone Cell Phone Set of 3 (Cable Protector (12 Units))</v>
      </c>
      <c r="B646" s="10" t="str">
        <f>IFERROR(TRIM(LEFT(Raw_Data!A646,FIND(" ",Raw_Data!A646)-1)),Raw_Data!A646)</f>
        <v>Sounce</v>
      </c>
      <c r="C646" s="10" t="str">
        <f>IFERROR(LEFT(Raw_Data!B646,FIND("|",Raw_Data!B646)-1),Raw_Data!B646)</f>
        <v>Computers&amp;Accessories</v>
      </c>
      <c r="D646" s="11">
        <f>IFERROR(VALUE(SUBSTITUTE(SUBSTITUTE(TRIM(Raw_Data!C646),"₹",""),",","")),"")</f>
        <v>99</v>
      </c>
      <c r="E646" s="11">
        <f>IFERROR(VALUE(SUBSTITUTE(SUBSTITUTE(TRIM(Raw_Data!D646),"₹",""),",","")),"")</f>
        <v>999</v>
      </c>
      <c r="F646" s="12">
        <f>IFERROR(VALUE(SUBSTITUTE(Raw_Data!E646,"%",""))/100,"")</f>
        <v>0.9</v>
      </c>
      <c r="G646" s="13">
        <f>IFERROR(VALUE(Raw_Data!F646),"")</f>
        <v>4</v>
      </c>
      <c r="H646" s="14">
        <f>IFERROR(VALUE(SUBSTITUTE(Raw_Data!G646,",","")),"")</f>
        <v>1396</v>
      </c>
      <c r="I646" s="11">
        <f t="shared" si="40"/>
        <v>900</v>
      </c>
      <c r="J646" s="11">
        <f t="shared" si="41"/>
        <v>138204</v>
      </c>
      <c r="K646" s="1">
        <f t="shared" si="42"/>
        <v>1396.0000646000001</v>
      </c>
      <c r="L646" s="15">
        <f t="shared" si="43"/>
        <v>0.90006459999999999</v>
      </c>
    </row>
    <row r="647" spans="1:12" ht="15" customHeight="1" x14ac:dyDescent="0.25">
      <c r="A647" s="10" t="str">
        <f>Raw_Data!A647</f>
        <v>GIZGA essentials Universal Silicone Keyboard Protector Skin for 15.6-inches Laptop (5 x 6 x 3 inches)</v>
      </c>
      <c r="B647" s="10" t="str">
        <f>IFERROR(TRIM(LEFT(Raw_Data!A647,FIND(" ",Raw_Data!A647)-1)),Raw_Data!A647)</f>
        <v>GIZGA</v>
      </c>
      <c r="C647" s="10" t="str">
        <f>IFERROR(LEFT(Raw_Data!B647,FIND("|",Raw_Data!B647)-1),Raw_Data!B647)</f>
        <v>Computers&amp;Accessories</v>
      </c>
      <c r="D647" s="11">
        <f>IFERROR(VALUE(SUBSTITUTE(SUBSTITUTE(TRIM(Raw_Data!C647),"₹",""),",","")),"")</f>
        <v>39</v>
      </c>
      <c r="E647" s="11">
        <f>IFERROR(VALUE(SUBSTITUTE(SUBSTITUTE(TRIM(Raw_Data!D647),"₹",""),",","")),"")</f>
        <v>299</v>
      </c>
      <c r="F647" s="12">
        <f>IFERROR(VALUE(SUBSTITUTE(Raw_Data!E647,"%",""))/100,"")</f>
        <v>0.87</v>
      </c>
      <c r="G647" s="13">
        <f>IFERROR(VALUE(Raw_Data!F647),"")</f>
        <v>3.5</v>
      </c>
      <c r="H647" s="14">
        <f>IFERROR(VALUE(SUBSTITUTE(Raw_Data!G647,",","")),"")</f>
        <v>15233</v>
      </c>
      <c r="I647" s="11">
        <f t="shared" si="40"/>
        <v>260</v>
      </c>
      <c r="J647" s="11">
        <f t="shared" si="41"/>
        <v>594087</v>
      </c>
      <c r="K647" s="1">
        <f t="shared" si="42"/>
        <v>15233.0000647</v>
      </c>
      <c r="L647" s="15">
        <f t="shared" si="43"/>
        <v>0.87006470000000002</v>
      </c>
    </row>
    <row r="648" spans="1:12" ht="15" customHeight="1" x14ac:dyDescent="0.25">
      <c r="A648" s="10" t="str">
        <f>Raw_Data!A648</f>
        <v>SanDisk Ultra 128 GB USB 3.0 Pen Drive (Black)</v>
      </c>
      <c r="B648" s="10" t="str">
        <f>IFERROR(TRIM(LEFT(Raw_Data!A648,FIND(" ",Raw_Data!A648)-1)),Raw_Data!A648)</f>
        <v>SanDisk</v>
      </c>
      <c r="C648" s="10" t="str">
        <f>IFERROR(LEFT(Raw_Data!B648,FIND("|",Raw_Data!B648)-1),Raw_Data!B648)</f>
        <v>Computers&amp;Accessories</v>
      </c>
      <c r="D648" s="11">
        <f>IFERROR(VALUE(SUBSTITUTE(SUBSTITUTE(TRIM(Raw_Data!C648),"₹",""),",","")),"")</f>
        <v>889</v>
      </c>
      <c r="E648" s="11">
        <f>IFERROR(VALUE(SUBSTITUTE(SUBSTITUTE(TRIM(Raw_Data!D648),"₹",""),",","")),"")</f>
        <v>2500</v>
      </c>
      <c r="F648" s="12">
        <f>IFERROR(VALUE(SUBSTITUTE(Raw_Data!E648,"%",""))/100,"")</f>
        <v>0.64</v>
      </c>
      <c r="G648" s="13">
        <f>IFERROR(VALUE(Raw_Data!F648),"")</f>
        <v>4.3</v>
      </c>
      <c r="H648" s="14">
        <f>IFERROR(VALUE(SUBSTITUTE(Raw_Data!G648,",","")),"")</f>
        <v>55747</v>
      </c>
      <c r="I648" s="11">
        <f t="shared" si="40"/>
        <v>1611</v>
      </c>
      <c r="J648" s="11">
        <f t="shared" si="41"/>
        <v>49559083</v>
      </c>
      <c r="K648" s="1">
        <f t="shared" si="42"/>
        <v>55747.000064799999</v>
      </c>
      <c r="L648" s="15">
        <f t="shared" si="43"/>
        <v>0.64006479999999999</v>
      </c>
    </row>
    <row r="649" spans="1:12" ht="15" customHeight="1" x14ac:dyDescent="0.25">
      <c r="A649" s="10" t="str">
        <f>Raw_Data!A649</f>
        <v>Boult Audio ZCharge Bluetooth Wireless in Ear Earphones with Mic, 40H Playtime and Super Fast Charging, Environmental Noise Cancellation for Pro+ Calling and IPX5 Water Resistant (Black)</v>
      </c>
      <c r="B649" s="10" t="str">
        <f>IFERROR(TRIM(LEFT(Raw_Data!A649,FIND(" ",Raw_Data!A649)-1)),Raw_Data!A649)</f>
        <v>Boult</v>
      </c>
      <c r="C649" s="10" t="str">
        <f>IFERROR(LEFT(Raw_Data!B649,FIND("|",Raw_Data!B649)-1),Raw_Data!B649)</f>
        <v>Electronics</v>
      </c>
      <c r="D649" s="11">
        <f>IFERROR(VALUE(SUBSTITUTE(SUBSTITUTE(TRIM(Raw_Data!C649),"₹",""),",","")),"")</f>
        <v>1199</v>
      </c>
      <c r="E649" s="11">
        <f>IFERROR(VALUE(SUBSTITUTE(SUBSTITUTE(TRIM(Raw_Data!D649),"₹",""),",","")),"")</f>
        <v>4999</v>
      </c>
      <c r="F649" s="12">
        <f>IFERROR(VALUE(SUBSTITUTE(Raw_Data!E649,"%",""))/100,"")</f>
        <v>0.76</v>
      </c>
      <c r="G649" s="13">
        <f>IFERROR(VALUE(Raw_Data!F649),"")</f>
        <v>3.8</v>
      </c>
      <c r="H649" s="14">
        <f>IFERROR(VALUE(SUBSTITUTE(Raw_Data!G649,",","")),"")</f>
        <v>14961</v>
      </c>
      <c r="I649" s="11">
        <f t="shared" si="40"/>
        <v>3800</v>
      </c>
      <c r="J649" s="11">
        <f t="shared" si="41"/>
        <v>17938239</v>
      </c>
      <c r="K649" s="1">
        <f t="shared" si="42"/>
        <v>14961.000064899999</v>
      </c>
      <c r="L649" s="15">
        <f t="shared" si="43"/>
        <v>0.76006490000000004</v>
      </c>
    </row>
    <row r="650" spans="1:12" ht="15" customHeight="1" x14ac:dyDescent="0.25">
      <c r="A650" s="10" t="str">
        <f>Raw_Data!A650</f>
        <v>Dell WM118 Wireless Mouse, 2.4 Ghz with USB Nano Receiver, Optical Tracking, 12-Months Battery Life, Ambidextrous, Pc/Mac/Laptop - Black.</v>
      </c>
      <c r="B650" s="10" t="str">
        <f>IFERROR(TRIM(LEFT(Raw_Data!A650,FIND(" ",Raw_Data!A650)-1)),Raw_Data!A650)</f>
        <v>Dell</v>
      </c>
      <c r="C650" s="10" t="str">
        <f>IFERROR(LEFT(Raw_Data!B650,FIND("|",Raw_Data!B650)-1),Raw_Data!B650)</f>
        <v>Computers&amp;Accessories</v>
      </c>
      <c r="D650" s="11">
        <f>IFERROR(VALUE(SUBSTITUTE(SUBSTITUTE(TRIM(Raw_Data!C650),"₹",""),",","")),"")</f>
        <v>569</v>
      </c>
      <c r="E650" s="11">
        <f>IFERROR(VALUE(SUBSTITUTE(SUBSTITUTE(TRIM(Raw_Data!D650),"₹",""),",","")),"")</f>
        <v>1299</v>
      </c>
      <c r="F650" s="12">
        <f>IFERROR(VALUE(SUBSTITUTE(Raw_Data!E650,"%",""))/100,"")</f>
        <v>0.56000000000000005</v>
      </c>
      <c r="G650" s="13">
        <f>IFERROR(VALUE(Raw_Data!F650),"")</f>
        <v>4.4000000000000004</v>
      </c>
      <c r="H650" s="14">
        <f>IFERROR(VALUE(SUBSTITUTE(Raw_Data!G650,",","")),"")</f>
        <v>9275</v>
      </c>
      <c r="I650" s="11">
        <f t="shared" si="40"/>
        <v>730</v>
      </c>
      <c r="J650" s="11">
        <f t="shared" si="41"/>
        <v>5277475</v>
      </c>
      <c r="K650" s="1">
        <f t="shared" si="42"/>
        <v>9275.0000650000002</v>
      </c>
      <c r="L650" s="15">
        <f t="shared" si="43"/>
        <v>0.56006500000000004</v>
      </c>
    </row>
    <row r="651" spans="1:12" ht="15" customHeight="1" x14ac:dyDescent="0.25">
      <c r="A651" s="10" t="str">
        <f>Raw_Data!A651</f>
        <v>Boult Audio AirBass PowerBuds with Inbuilt Powerbank, 120H Total Playtime, IPX7 Fully Waterproof, Lightning Boult Type-C Fast Charging, Low Latency Gaming, TWS Earbuds with Pro+ Calling Mic (Black)</v>
      </c>
      <c r="B651" s="10" t="str">
        <f>IFERROR(TRIM(LEFT(Raw_Data!A651,FIND(" ",Raw_Data!A651)-1)),Raw_Data!A651)</f>
        <v>Boult</v>
      </c>
      <c r="C651" s="10" t="str">
        <f>IFERROR(LEFT(Raw_Data!B651,FIND("|",Raw_Data!B651)-1),Raw_Data!B651)</f>
        <v>Electronics</v>
      </c>
      <c r="D651" s="11">
        <f>IFERROR(VALUE(SUBSTITUTE(SUBSTITUTE(TRIM(Raw_Data!C651),"₹",""),",","")),"")</f>
        <v>1499</v>
      </c>
      <c r="E651" s="11">
        <f>IFERROR(VALUE(SUBSTITUTE(SUBSTITUTE(TRIM(Raw_Data!D651),"₹",""),",","")),"")</f>
        <v>8999</v>
      </c>
      <c r="F651" s="12">
        <f>IFERROR(VALUE(SUBSTITUTE(Raw_Data!E651,"%",""))/100,"")</f>
        <v>0.83</v>
      </c>
      <c r="G651" s="13">
        <f>IFERROR(VALUE(Raw_Data!F651),"")</f>
        <v>3.7</v>
      </c>
      <c r="H651" s="14">
        <f>IFERROR(VALUE(SUBSTITUTE(Raw_Data!G651,",","")),"")</f>
        <v>28324</v>
      </c>
      <c r="I651" s="11">
        <f t="shared" si="40"/>
        <v>7500</v>
      </c>
      <c r="J651" s="11">
        <f t="shared" si="41"/>
        <v>42457676</v>
      </c>
      <c r="K651" s="1">
        <f t="shared" si="42"/>
        <v>28324.000065100001</v>
      </c>
      <c r="L651" s="15">
        <f t="shared" si="43"/>
        <v>0.8300651</v>
      </c>
    </row>
    <row r="652" spans="1:12" ht="15" customHeight="1" x14ac:dyDescent="0.25">
      <c r="A652" s="10" t="str">
        <f>Raw_Data!A652</f>
        <v>Eveready 1015 Carbon Zinc AA Battery - 10 Pieces</v>
      </c>
      <c r="B652" s="10" t="str">
        <f>IFERROR(TRIM(LEFT(Raw_Data!A652,FIND(" ",Raw_Data!A652)-1)),Raw_Data!A652)</f>
        <v>Eveready</v>
      </c>
      <c r="C652" s="10" t="str">
        <f>IFERROR(LEFT(Raw_Data!B652,FIND("|",Raw_Data!B652)-1),Raw_Data!B652)</f>
        <v>Electronics</v>
      </c>
      <c r="D652" s="11">
        <f>IFERROR(VALUE(SUBSTITUTE(SUBSTITUTE(TRIM(Raw_Data!C652),"₹",""),",","")),"")</f>
        <v>149</v>
      </c>
      <c r="E652" s="11">
        <f>IFERROR(VALUE(SUBSTITUTE(SUBSTITUTE(TRIM(Raw_Data!D652),"₹",""),",","")),"")</f>
        <v>180</v>
      </c>
      <c r="F652" s="12">
        <f>IFERROR(VALUE(SUBSTITUTE(Raw_Data!E652,"%",""))/100,"")</f>
        <v>0.17</v>
      </c>
      <c r="G652" s="13">
        <f>IFERROR(VALUE(Raw_Data!F652),"")</f>
        <v>4.4000000000000004</v>
      </c>
      <c r="H652" s="14">
        <f>IFERROR(VALUE(SUBSTITUTE(Raw_Data!G652,",","")),"")</f>
        <v>644</v>
      </c>
      <c r="I652" s="11">
        <f t="shared" si="40"/>
        <v>31</v>
      </c>
      <c r="J652" s="11">
        <f t="shared" si="41"/>
        <v>95956</v>
      </c>
      <c r="K652" s="1">
        <f t="shared" si="42"/>
        <v>644.00006519999999</v>
      </c>
      <c r="L652" s="15">
        <f t="shared" si="43"/>
        <v>0.1700652</v>
      </c>
    </row>
    <row r="653" spans="1:12" ht="15" customHeight="1" x14ac:dyDescent="0.25">
      <c r="A653" s="10" t="str">
        <f>Raw_Data!A653</f>
        <v>Zebronics Zeb-Transformer-M Optical USB Gaming Mouse with LED Effect(Black)</v>
      </c>
      <c r="B653" s="10" t="str">
        <f>IFERROR(TRIM(LEFT(Raw_Data!A653,FIND(" ",Raw_Data!A653)-1)),Raw_Data!A653)</f>
        <v>Zebronics</v>
      </c>
      <c r="C653" s="10" t="str">
        <f>IFERROR(LEFT(Raw_Data!B653,FIND("|",Raw_Data!B653)-1),Raw_Data!B653)</f>
        <v>Computers&amp;Accessories</v>
      </c>
      <c r="D653" s="11">
        <f>IFERROR(VALUE(SUBSTITUTE(SUBSTITUTE(TRIM(Raw_Data!C653),"₹",""),",","")),"")</f>
        <v>399</v>
      </c>
      <c r="E653" s="11">
        <f>IFERROR(VALUE(SUBSTITUTE(SUBSTITUTE(TRIM(Raw_Data!D653),"₹",""),",","")),"")</f>
        <v>549</v>
      </c>
      <c r="F653" s="12">
        <f>IFERROR(VALUE(SUBSTITUTE(Raw_Data!E653,"%",""))/100,"")</f>
        <v>0.27</v>
      </c>
      <c r="G653" s="13">
        <f>IFERROR(VALUE(Raw_Data!F653),"")</f>
        <v>4.4000000000000004</v>
      </c>
      <c r="H653" s="14">
        <f>IFERROR(VALUE(SUBSTITUTE(Raw_Data!G653,",","")),"")</f>
        <v>18139</v>
      </c>
      <c r="I653" s="11">
        <f t="shared" si="40"/>
        <v>150</v>
      </c>
      <c r="J653" s="11">
        <f t="shared" si="41"/>
        <v>7237461</v>
      </c>
      <c r="K653" s="1">
        <f t="shared" si="42"/>
        <v>18139.000065299999</v>
      </c>
      <c r="L653" s="15">
        <f t="shared" si="43"/>
        <v>0.27006530000000001</v>
      </c>
    </row>
    <row r="654" spans="1:12" ht="15" customHeight="1" x14ac:dyDescent="0.25">
      <c r="A654" s="10" t="str">
        <f>Raw_Data!A654</f>
        <v>PIDILITE Fevicryl Acrylic Colours Sunflower Kit (10 Colors x 15 ml) DIY Paint, Rich Pigment, Non-Craking Paint for Canvas, Wood, Leather, Earthenware, Metal, Diwali Gifts for Diwali</v>
      </c>
      <c r="B654" s="10" t="str">
        <f>IFERROR(TRIM(LEFT(Raw_Data!A654,FIND(" ",Raw_Data!A654)-1)),Raw_Data!A654)</f>
        <v>PIDILITE</v>
      </c>
      <c r="C654" s="10" t="str">
        <f>IFERROR(LEFT(Raw_Data!B654,FIND("|",Raw_Data!B654)-1),Raw_Data!B654)</f>
        <v>Home&amp;Kitchen</v>
      </c>
      <c r="D654" s="11">
        <f>IFERROR(VALUE(SUBSTITUTE(SUBSTITUTE(TRIM(Raw_Data!C654),"₹",""),",","")),"")</f>
        <v>191</v>
      </c>
      <c r="E654" s="11">
        <f>IFERROR(VALUE(SUBSTITUTE(SUBSTITUTE(TRIM(Raw_Data!D654),"₹",""),",","")),"")</f>
        <v>225</v>
      </c>
      <c r="F654" s="12">
        <f>IFERROR(VALUE(SUBSTITUTE(Raw_Data!E654,"%",""))/100,"")</f>
        <v>0.15</v>
      </c>
      <c r="G654" s="13">
        <f>IFERROR(VALUE(Raw_Data!F654),"")</f>
        <v>4.4000000000000004</v>
      </c>
      <c r="H654" s="14">
        <f>IFERROR(VALUE(SUBSTITUTE(Raw_Data!G654,",","")),"")</f>
        <v>7203</v>
      </c>
      <c r="I654" s="11">
        <f t="shared" si="40"/>
        <v>34</v>
      </c>
      <c r="J654" s="11">
        <f t="shared" si="41"/>
        <v>1375773</v>
      </c>
      <c r="K654" s="1">
        <f t="shared" si="42"/>
        <v>7203.0000653999996</v>
      </c>
      <c r="L654" s="15">
        <f t="shared" si="43"/>
        <v>0.15006539999999999</v>
      </c>
    </row>
    <row r="655" spans="1:12" ht="15" customHeight="1" x14ac:dyDescent="0.25">
      <c r="A655" s="10" t="str">
        <f>Raw_Data!A655</f>
        <v>STRIFF Mpad Mouse Mat 230X190X3mm Gaming Mouse Pad, Non-Slip Rubber Base, Waterproof Surface, Premium-Textured, Compatible with Laser and Optical Mice(Universe Black)</v>
      </c>
      <c r="B655" s="10" t="str">
        <f>IFERROR(TRIM(LEFT(Raw_Data!A655,FIND(" ",Raw_Data!A655)-1)),Raw_Data!A655)</f>
        <v>STRIFF</v>
      </c>
      <c r="C655" s="10" t="str">
        <f>IFERROR(LEFT(Raw_Data!B655,FIND("|",Raw_Data!B655)-1),Raw_Data!B655)</f>
        <v>Computers&amp;Accessories</v>
      </c>
      <c r="D655" s="11">
        <f>IFERROR(VALUE(SUBSTITUTE(SUBSTITUTE(TRIM(Raw_Data!C655),"₹",""),",","")),"")</f>
        <v>129</v>
      </c>
      <c r="E655" s="11">
        <f>IFERROR(VALUE(SUBSTITUTE(SUBSTITUTE(TRIM(Raw_Data!D655),"₹",""),",","")),"")</f>
        <v>999</v>
      </c>
      <c r="F655" s="12">
        <f>IFERROR(VALUE(SUBSTITUTE(Raw_Data!E655,"%",""))/100,"")</f>
        <v>0.87</v>
      </c>
      <c r="G655" s="13">
        <f>IFERROR(VALUE(Raw_Data!F655),"")</f>
        <v>4.2</v>
      </c>
      <c r="H655" s="14">
        <f>IFERROR(VALUE(SUBSTITUTE(Raw_Data!G655,",","")),"")</f>
        <v>491</v>
      </c>
      <c r="I655" s="11">
        <f t="shared" si="40"/>
        <v>870</v>
      </c>
      <c r="J655" s="11">
        <f t="shared" si="41"/>
        <v>63339</v>
      </c>
      <c r="K655" s="1">
        <f t="shared" si="42"/>
        <v>491.00006550000001</v>
      </c>
      <c r="L655" s="15">
        <f t="shared" si="43"/>
        <v>0.87006550000000005</v>
      </c>
    </row>
    <row r="656" spans="1:12" ht="15" customHeight="1" x14ac:dyDescent="0.25">
      <c r="A656" s="10" t="str">
        <f>Raw_Data!A656</f>
        <v>Gizga Essentials Hard Drive Case Shell, 6.35cm/2.5-inch, Portable Storage Organizer Bag for Earphone USB Cable Power Bank Mobile Charger Digital Gadget Hard Disk, Water Resistance Material, Black</v>
      </c>
      <c r="B656" s="10" t="str">
        <f>IFERROR(TRIM(LEFT(Raw_Data!A656,FIND(" ",Raw_Data!A656)-1)),Raw_Data!A656)</f>
        <v>Gizga</v>
      </c>
      <c r="C656" s="10" t="str">
        <f>IFERROR(LEFT(Raw_Data!B656,FIND("|",Raw_Data!B656)-1),Raw_Data!B656)</f>
        <v>Computers&amp;Accessories</v>
      </c>
      <c r="D656" s="11">
        <f>IFERROR(VALUE(SUBSTITUTE(SUBSTITUTE(TRIM(Raw_Data!C656),"₹",""),",","")),"")</f>
        <v>199</v>
      </c>
      <c r="E656" s="11">
        <f>IFERROR(VALUE(SUBSTITUTE(SUBSTITUTE(TRIM(Raw_Data!D656),"₹",""),",","")),"")</f>
        <v>599</v>
      </c>
      <c r="F656" s="12">
        <f>IFERROR(VALUE(SUBSTITUTE(Raw_Data!E656,"%",""))/100,"")</f>
        <v>0.67</v>
      </c>
      <c r="G656" s="13">
        <f>IFERROR(VALUE(Raw_Data!F656),"")</f>
        <v>4.5</v>
      </c>
      <c r="H656" s="14">
        <f>IFERROR(VALUE(SUBSTITUTE(Raw_Data!G656,",","")),"")</f>
        <v>13568</v>
      </c>
      <c r="I656" s="11">
        <f t="shared" si="40"/>
        <v>400</v>
      </c>
      <c r="J656" s="11">
        <f t="shared" si="41"/>
        <v>2700032</v>
      </c>
      <c r="K656" s="1">
        <f t="shared" si="42"/>
        <v>13568.000065599999</v>
      </c>
      <c r="L656" s="15">
        <f t="shared" si="43"/>
        <v>0.67006560000000004</v>
      </c>
    </row>
    <row r="657" spans="1:12" ht="15" customHeight="1" x14ac:dyDescent="0.25">
      <c r="A657" s="10" t="str">
        <f>Raw_Data!A657</f>
        <v>Boult Audio FXCharge with ENC, 32H Playtime, 5min=7H Type C Fast Charging, Zen ENC, 14.2 mm BoomX Rich Bass, IPX5, Bluetooth Wireless in Ear Earphones Neckband with mic (Black)</v>
      </c>
      <c r="B657" s="10" t="str">
        <f>IFERROR(TRIM(LEFT(Raw_Data!A657,FIND(" ",Raw_Data!A657)-1)),Raw_Data!A657)</f>
        <v>Boult</v>
      </c>
      <c r="C657" s="10" t="str">
        <f>IFERROR(LEFT(Raw_Data!B657,FIND("|",Raw_Data!B657)-1),Raw_Data!B657)</f>
        <v>Electronics</v>
      </c>
      <c r="D657" s="11">
        <f>IFERROR(VALUE(SUBSTITUTE(SUBSTITUTE(TRIM(Raw_Data!C657),"₹",""),",","")),"")</f>
        <v>999</v>
      </c>
      <c r="E657" s="11">
        <f>IFERROR(VALUE(SUBSTITUTE(SUBSTITUTE(TRIM(Raw_Data!D657),"₹",""),",","")),"")</f>
        <v>4499</v>
      </c>
      <c r="F657" s="12">
        <f>IFERROR(VALUE(SUBSTITUTE(Raw_Data!E657,"%",""))/100,"")</f>
        <v>0.78</v>
      </c>
      <c r="G657" s="13">
        <f>IFERROR(VALUE(Raw_Data!F657),"")</f>
        <v>3.8</v>
      </c>
      <c r="H657" s="14">
        <f>IFERROR(VALUE(SUBSTITUTE(Raw_Data!G657,",","")),"")</f>
        <v>3390</v>
      </c>
      <c r="I657" s="11">
        <f t="shared" si="40"/>
        <v>3500</v>
      </c>
      <c r="J657" s="11">
        <f t="shared" si="41"/>
        <v>3386610</v>
      </c>
      <c r="K657" s="1">
        <f t="shared" si="42"/>
        <v>3390.0000657000001</v>
      </c>
      <c r="L657" s="15">
        <f t="shared" si="43"/>
        <v>0.78006569999999997</v>
      </c>
    </row>
    <row r="658" spans="1:12" ht="15" customHeight="1" x14ac:dyDescent="0.25">
      <c r="A658" s="10" t="str">
        <f>Raw_Data!A658</f>
        <v>Boult Audio Probass Curve Bluetooth Wireless in Ear Earphones with Mic with Ipx5 Water Resistant, 12H Battery Life &amp; Extra Bass (Black)</v>
      </c>
      <c r="B658" s="10" t="str">
        <f>IFERROR(TRIM(LEFT(Raw_Data!A658,FIND(" ",Raw_Data!A658)-1)),Raw_Data!A658)</f>
        <v>Boult</v>
      </c>
      <c r="C658" s="10" t="str">
        <f>IFERROR(LEFT(Raw_Data!B658,FIND("|",Raw_Data!B658)-1),Raw_Data!B658)</f>
        <v>Electronics</v>
      </c>
      <c r="D658" s="11">
        <f>IFERROR(VALUE(SUBSTITUTE(SUBSTITUTE(TRIM(Raw_Data!C658),"₹",""),",","")),"")</f>
        <v>899</v>
      </c>
      <c r="E658" s="11">
        <f>IFERROR(VALUE(SUBSTITUTE(SUBSTITUTE(TRIM(Raw_Data!D658),"₹",""),",","")),"")</f>
        <v>4499</v>
      </c>
      <c r="F658" s="12">
        <f>IFERROR(VALUE(SUBSTITUTE(Raw_Data!E658,"%",""))/100,"")</f>
        <v>0.8</v>
      </c>
      <c r="G658" s="13">
        <f>IFERROR(VALUE(Raw_Data!F658),"")</f>
        <v>3.8</v>
      </c>
      <c r="H658" s="14">
        <f>IFERROR(VALUE(SUBSTITUTE(Raw_Data!G658,",","")),"")</f>
        <v>103052</v>
      </c>
      <c r="I658" s="11">
        <f t="shared" si="40"/>
        <v>3600</v>
      </c>
      <c r="J658" s="11">
        <f t="shared" si="41"/>
        <v>92643748</v>
      </c>
      <c r="K658" s="1">
        <f t="shared" si="42"/>
        <v>103052.00006580001</v>
      </c>
      <c r="L658" s="15">
        <f t="shared" si="43"/>
        <v>0.80006580000000005</v>
      </c>
    </row>
    <row r="659" spans="1:12" ht="15" customHeight="1" x14ac:dyDescent="0.25">
      <c r="A659" s="10" t="str">
        <f>Raw_Data!A659</f>
        <v>Ambrane 20000mAh Power Bank with 20W Fast Charging, Triple Output, Power Delivery, Type C Input, Made in India, Multi-Layer Protection, Li-Polymer + Type C Cable (Stylo-20k, Black)</v>
      </c>
      <c r="B659" s="10" t="str">
        <f>IFERROR(TRIM(LEFT(Raw_Data!A659,FIND(" ",Raw_Data!A659)-1)),Raw_Data!A659)</f>
        <v>Ambrane</v>
      </c>
      <c r="C659" s="10" t="str">
        <f>IFERROR(LEFT(Raw_Data!B659,FIND("|",Raw_Data!B659)-1),Raw_Data!B659)</f>
        <v>Electronics</v>
      </c>
      <c r="D659" s="11">
        <f>IFERROR(VALUE(SUBSTITUTE(SUBSTITUTE(TRIM(Raw_Data!C659),"₹",""),",","")),"")</f>
        <v>1799</v>
      </c>
      <c r="E659" s="11">
        <f>IFERROR(VALUE(SUBSTITUTE(SUBSTITUTE(TRIM(Raw_Data!D659),"₹",""),",","")),"")</f>
        <v>2499</v>
      </c>
      <c r="F659" s="12">
        <f>IFERROR(VALUE(SUBSTITUTE(Raw_Data!E659,"%",""))/100,"")</f>
        <v>0.28000000000000003</v>
      </c>
      <c r="G659" s="13">
        <f>IFERROR(VALUE(Raw_Data!F659),"")</f>
        <v>4.0999999999999996</v>
      </c>
      <c r="H659" s="14">
        <f>IFERROR(VALUE(SUBSTITUTE(Raw_Data!G659,",","")),"")</f>
        <v>18678</v>
      </c>
      <c r="I659" s="11">
        <f t="shared" si="40"/>
        <v>700</v>
      </c>
      <c r="J659" s="11">
        <f t="shared" si="41"/>
        <v>33601722</v>
      </c>
      <c r="K659" s="1">
        <f t="shared" si="42"/>
        <v>18678.0000659</v>
      </c>
      <c r="L659" s="15">
        <f t="shared" si="43"/>
        <v>0.28006590000000003</v>
      </c>
    </row>
    <row r="660" spans="1:12" ht="15" customHeight="1" x14ac:dyDescent="0.25">
      <c r="A660" s="10" t="str">
        <f>Raw_Data!A660</f>
        <v>boAt Micro USB 55 Tangle-free, Sturdy Micro USB Cable with 3A Fast Charging &amp; 480mbps Data Transmission (Black)</v>
      </c>
      <c r="B660" s="10" t="str">
        <f>IFERROR(TRIM(LEFT(Raw_Data!A660,FIND(" ",Raw_Data!A660)-1)),Raw_Data!A660)</f>
        <v>boAt</v>
      </c>
      <c r="C660" s="10" t="str">
        <f>IFERROR(LEFT(Raw_Data!B660,FIND("|",Raw_Data!B660)-1),Raw_Data!B660)</f>
        <v>Computers&amp;Accessories</v>
      </c>
      <c r="D660" s="11">
        <f>IFERROR(VALUE(SUBSTITUTE(SUBSTITUTE(TRIM(Raw_Data!C660),"₹",""),",","")),"")</f>
        <v>176.63</v>
      </c>
      <c r="E660" s="11">
        <f>IFERROR(VALUE(SUBSTITUTE(SUBSTITUTE(TRIM(Raw_Data!D660),"₹",""),",","")),"")</f>
        <v>499</v>
      </c>
      <c r="F660" s="12">
        <f>IFERROR(VALUE(SUBSTITUTE(Raw_Data!E660,"%",""))/100,"")</f>
        <v>0.65</v>
      </c>
      <c r="G660" s="13">
        <f>IFERROR(VALUE(Raw_Data!F660),"")</f>
        <v>4.0999999999999996</v>
      </c>
      <c r="H660" s="14">
        <f>IFERROR(VALUE(SUBSTITUTE(Raw_Data!G660,",","")),"")</f>
        <v>15189</v>
      </c>
      <c r="I660" s="11">
        <f t="shared" si="40"/>
        <v>322.37</v>
      </c>
      <c r="J660" s="11">
        <f t="shared" si="41"/>
        <v>2682833.0699999998</v>
      </c>
      <c r="K660" s="1">
        <f t="shared" si="42"/>
        <v>15189.000066000001</v>
      </c>
      <c r="L660" s="15">
        <f t="shared" si="43"/>
        <v>0.65006600000000003</v>
      </c>
    </row>
    <row r="661" spans="1:12" ht="15" customHeight="1" x14ac:dyDescent="0.25">
      <c r="A661" s="10" t="str">
        <f>Raw_Data!A661</f>
        <v>Casio FX-82MS 2nd Gen Non-Programmable Scientific Calculator, 240 Functions and 2-line Display, Black</v>
      </c>
      <c r="B661" s="10" t="str">
        <f>IFERROR(TRIM(LEFT(Raw_Data!A661,FIND(" ",Raw_Data!A661)-1)),Raw_Data!A661)</f>
        <v>Casio</v>
      </c>
      <c r="C661" s="10" t="str">
        <f>IFERROR(LEFT(Raw_Data!B661,FIND("|",Raw_Data!B661)-1),Raw_Data!B661)</f>
        <v>OfficeProducts</v>
      </c>
      <c r="D661" s="11">
        <f>IFERROR(VALUE(SUBSTITUTE(SUBSTITUTE(TRIM(Raw_Data!C661),"₹",""),",","")),"")</f>
        <v>522</v>
      </c>
      <c r="E661" s="11">
        <f>IFERROR(VALUE(SUBSTITUTE(SUBSTITUTE(TRIM(Raw_Data!D661),"₹",""),",","")),"")</f>
        <v>550</v>
      </c>
      <c r="F661" s="12">
        <f>IFERROR(VALUE(SUBSTITUTE(Raw_Data!E661,"%",""))/100,"")</f>
        <v>0.05</v>
      </c>
      <c r="G661" s="13">
        <f>IFERROR(VALUE(Raw_Data!F661),"")</f>
        <v>4.4000000000000004</v>
      </c>
      <c r="H661" s="14">
        <f>IFERROR(VALUE(SUBSTITUTE(Raw_Data!G661,",","")),"")</f>
        <v>12179</v>
      </c>
      <c r="I661" s="11">
        <f t="shared" si="40"/>
        <v>28</v>
      </c>
      <c r="J661" s="11">
        <f t="shared" si="41"/>
        <v>6357438</v>
      </c>
      <c r="K661" s="1">
        <f t="shared" si="42"/>
        <v>12179.000066099999</v>
      </c>
      <c r="L661" s="15">
        <f t="shared" si="43"/>
        <v>5.0066100000000002E-2</v>
      </c>
    </row>
    <row r="662" spans="1:12" ht="15" customHeight="1" x14ac:dyDescent="0.25">
      <c r="A662" s="10" t="str">
        <f>Raw_Data!A662</f>
        <v>Tygot 10 Inches Big LED Ring Light for Camera, Phone tiktok YouTube Video Shooting and Makeup, 10" inch Ring Light with 7 Feet Long Foldable and Lightweight Tripod Stand</v>
      </c>
      <c r="B662" s="10" t="str">
        <f>IFERROR(TRIM(LEFT(Raw_Data!A662,FIND(" ",Raw_Data!A662)-1)),Raw_Data!A662)</f>
        <v>Tygot</v>
      </c>
      <c r="C662" s="10" t="str">
        <f>IFERROR(LEFT(Raw_Data!B662,FIND("|",Raw_Data!B662)-1),Raw_Data!B662)</f>
        <v>Electronics</v>
      </c>
      <c r="D662" s="11">
        <f>IFERROR(VALUE(SUBSTITUTE(SUBSTITUTE(TRIM(Raw_Data!C662),"₹",""),",","")),"")</f>
        <v>799</v>
      </c>
      <c r="E662" s="11">
        <f>IFERROR(VALUE(SUBSTITUTE(SUBSTITUTE(TRIM(Raw_Data!D662),"₹",""),",","")),"")</f>
        <v>1999</v>
      </c>
      <c r="F662" s="12">
        <f>IFERROR(VALUE(SUBSTITUTE(Raw_Data!E662,"%",""))/100,"")</f>
        <v>0.6</v>
      </c>
      <c r="G662" s="13">
        <f>IFERROR(VALUE(Raw_Data!F662),"")</f>
        <v>3.8</v>
      </c>
      <c r="H662" s="14">
        <f>IFERROR(VALUE(SUBSTITUTE(Raw_Data!G662,",","")),"")</f>
        <v>12958</v>
      </c>
      <c r="I662" s="11">
        <f t="shared" si="40"/>
        <v>1200</v>
      </c>
      <c r="J662" s="11">
        <f t="shared" si="41"/>
        <v>10353442</v>
      </c>
      <c r="K662" s="1">
        <f t="shared" si="42"/>
        <v>12958.0000662</v>
      </c>
      <c r="L662" s="15">
        <f t="shared" si="43"/>
        <v>0.60006619999999999</v>
      </c>
    </row>
    <row r="663" spans="1:12" ht="15" customHeight="1" x14ac:dyDescent="0.25">
      <c r="A663" s="10" t="str">
        <f>Raw_Data!A663</f>
        <v>HP X200 Wireless Mouse with 2.4 GHz Wireless connectivity, Adjustable DPI up to 1600, ambidextrous Design, and 18-Month Long Battery Life. 3-Years Warranty (6VY95AA)</v>
      </c>
      <c r="B663" s="10" t="str">
        <f>IFERROR(TRIM(LEFT(Raw_Data!A663,FIND(" ",Raw_Data!A663)-1)),Raw_Data!A663)</f>
        <v>HP</v>
      </c>
      <c r="C663" s="10" t="str">
        <f>IFERROR(LEFT(Raw_Data!B663,FIND("|",Raw_Data!B663)-1),Raw_Data!B663)</f>
        <v>Computers&amp;Accessories</v>
      </c>
      <c r="D663" s="11">
        <f>IFERROR(VALUE(SUBSTITUTE(SUBSTITUTE(TRIM(Raw_Data!C663),"₹",""),",","")),"")</f>
        <v>681</v>
      </c>
      <c r="E663" s="11">
        <f>IFERROR(VALUE(SUBSTITUTE(SUBSTITUTE(TRIM(Raw_Data!D663),"₹",""),",","")),"")</f>
        <v>1199</v>
      </c>
      <c r="F663" s="12">
        <f>IFERROR(VALUE(SUBSTITUTE(Raw_Data!E663,"%",""))/100,"")</f>
        <v>0.43</v>
      </c>
      <c r="G663" s="13">
        <f>IFERROR(VALUE(Raw_Data!F663),"")</f>
        <v>4.2</v>
      </c>
      <c r="H663" s="14">
        <f>IFERROR(VALUE(SUBSTITUTE(Raw_Data!G663,",","")),"")</f>
        <v>8258</v>
      </c>
      <c r="I663" s="11">
        <f t="shared" si="40"/>
        <v>518</v>
      </c>
      <c r="J663" s="11">
        <f t="shared" si="41"/>
        <v>5623698</v>
      </c>
      <c r="K663" s="1">
        <f t="shared" si="42"/>
        <v>8258.0000662999992</v>
      </c>
      <c r="L663" s="15">
        <f t="shared" si="43"/>
        <v>0.43006630000000001</v>
      </c>
    </row>
    <row r="664" spans="1:12" ht="15" customHeight="1" x14ac:dyDescent="0.25">
      <c r="A664" s="10" t="str">
        <f>Raw_Data!A664</f>
        <v>Oakter Mini UPS for 12V WiFi Router Broadband Modem | Backup Upto 4 Hours | WiFi Router UPS Power Backup During Power Cuts | UPS for 12V Router Broadband Modem | Current Surge &amp; Deep Discharge Protection</v>
      </c>
      <c r="B664" s="10" t="str">
        <f>IFERROR(TRIM(LEFT(Raw_Data!A664,FIND(" ",Raw_Data!A664)-1)),Raw_Data!A664)</f>
        <v>Oakter</v>
      </c>
      <c r="C664" s="10" t="str">
        <f>IFERROR(LEFT(Raw_Data!B664,FIND("|",Raw_Data!B664)-1),Raw_Data!B664)</f>
        <v>Computers&amp;Accessories</v>
      </c>
      <c r="D664" s="11">
        <f>IFERROR(VALUE(SUBSTITUTE(SUBSTITUTE(TRIM(Raw_Data!C664),"₹",""),",","")),"")</f>
        <v>1199</v>
      </c>
      <c r="E664" s="11">
        <f>IFERROR(VALUE(SUBSTITUTE(SUBSTITUTE(TRIM(Raw_Data!D664),"₹",""),",","")),"")</f>
        <v>3490</v>
      </c>
      <c r="F664" s="12">
        <f>IFERROR(VALUE(SUBSTITUTE(Raw_Data!E664,"%",""))/100,"")</f>
        <v>0.66</v>
      </c>
      <c r="G664" s="13">
        <f>IFERROR(VALUE(Raw_Data!F664),"")</f>
        <v>4.0999999999999996</v>
      </c>
      <c r="H664" s="14">
        <f>IFERROR(VALUE(SUBSTITUTE(Raw_Data!G664,",","")),"")</f>
        <v>11716</v>
      </c>
      <c r="I664" s="11">
        <f t="shared" si="40"/>
        <v>2291</v>
      </c>
      <c r="J664" s="11">
        <f t="shared" si="41"/>
        <v>14047484</v>
      </c>
      <c r="K664" s="1">
        <f t="shared" si="42"/>
        <v>11716.0000664</v>
      </c>
      <c r="L664" s="15">
        <f t="shared" si="43"/>
        <v>0.66006640000000005</v>
      </c>
    </row>
    <row r="665" spans="1:12" ht="15" customHeight="1" x14ac:dyDescent="0.25">
      <c r="A665" s="10" t="str">
        <f>Raw_Data!A665</f>
        <v>TP-Link Archer AC1200 Archer C6 Wi-Fi Speed Up to 867 Mbps/5 GHz + 400 Mbps/2.4 GHz, 5 Gigabit Ports, 4 External Antennas, MU-MIMO, Dual Band, WiFi Coverage with Access Point Mode, Black</v>
      </c>
      <c r="B665" s="10" t="str">
        <f>IFERROR(TRIM(LEFT(Raw_Data!A665,FIND(" ",Raw_Data!A665)-1)),Raw_Data!A665)</f>
        <v>TP-Link</v>
      </c>
      <c r="C665" s="10" t="str">
        <f>IFERROR(LEFT(Raw_Data!B665,FIND("|",Raw_Data!B665)-1),Raw_Data!B665)</f>
        <v>Computers&amp;Accessories</v>
      </c>
      <c r="D665" s="11">
        <f>IFERROR(VALUE(SUBSTITUTE(SUBSTITUTE(TRIM(Raw_Data!C665),"₹",""),",","")),"")</f>
        <v>2499</v>
      </c>
      <c r="E665" s="11">
        <f>IFERROR(VALUE(SUBSTITUTE(SUBSTITUTE(TRIM(Raw_Data!D665),"₹",""),",","")),"")</f>
        <v>4999</v>
      </c>
      <c r="F665" s="12">
        <f>IFERROR(VALUE(SUBSTITUTE(Raw_Data!E665,"%",""))/100,"")</f>
        <v>0.5</v>
      </c>
      <c r="G665" s="13">
        <f>IFERROR(VALUE(Raw_Data!F665),"")</f>
        <v>4.4000000000000004</v>
      </c>
      <c r="H665" s="14">
        <f>IFERROR(VALUE(SUBSTITUTE(Raw_Data!G665,",","")),"")</f>
        <v>35024</v>
      </c>
      <c r="I665" s="11">
        <f t="shared" si="40"/>
        <v>2500</v>
      </c>
      <c r="J665" s="11">
        <f t="shared" si="41"/>
        <v>87524976</v>
      </c>
      <c r="K665" s="1">
        <f t="shared" si="42"/>
        <v>35024.000066499997</v>
      </c>
      <c r="L665" s="15">
        <f t="shared" si="43"/>
        <v>0.50006649999999997</v>
      </c>
    </row>
    <row r="666" spans="1:12" ht="15" customHeight="1" x14ac:dyDescent="0.25">
      <c r="A666" s="10" t="str">
        <f>Raw_Data!A666</f>
        <v>boAt Rockerz 550 Over Ear Bluetooth Headphones with Upto 20 Hours Playback, 50MM Drivers, Soft Padded Ear Cushions and Physical Noise Isolation, Without Mic (Black)</v>
      </c>
      <c r="B666" s="10" t="str">
        <f>IFERROR(TRIM(LEFT(Raw_Data!A666,FIND(" ",Raw_Data!A666)-1)),Raw_Data!A666)</f>
        <v>boAt</v>
      </c>
      <c r="C666" s="10" t="str">
        <f>IFERROR(LEFT(Raw_Data!B666,FIND("|",Raw_Data!B666)-1),Raw_Data!B666)</f>
        <v>Electronics</v>
      </c>
      <c r="D666" s="11">
        <f>IFERROR(VALUE(SUBSTITUTE(SUBSTITUTE(TRIM(Raw_Data!C666),"₹",""),",","")),"")</f>
        <v>1799</v>
      </c>
      <c r="E666" s="11">
        <f>IFERROR(VALUE(SUBSTITUTE(SUBSTITUTE(TRIM(Raw_Data!D666),"₹",""),",","")),"")</f>
        <v>4999</v>
      </c>
      <c r="F666" s="12">
        <f>IFERROR(VALUE(SUBSTITUTE(Raw_Data!E666,"%",""))/100,"")</f>
        <v>0.64</v>
      </c>
      <c r="G666" s="13">
        <f>IFERROR(VALUE(Raw_Data!F666),"")</f>
        <v>4.0999999999999996</v>
      </c>
      <c r="H666" s="14">
        <f>IFERROR(VALUE(SUBSTITUTE(Raw_Data!G666,",","")),"")</f>
        <v>55192</v>
      </c>
      <c r="I666" s="11">
        <f t="shared" si="40"/>
        <v>3200</v>
      </c>
      <c r="J666" s="11">
        <f t="shared" si="41"/>
        <v>99290408</v>
      </c>
      <c r="K666" s="1">
        <f t="shared" si="42"/>
        <v>55192.000066599998</v>
      </c>
      <c r="L666" s="15">
        <f t="shared" si="43"/>
        <v>0.64006660000000004</v>
      </c>
    </row>
    <row r="667" spans="1:12" ht="15" customHeight="1" x14ac:dyDescent="0.25">
      <c r="A667" s="10" t="str">
        <f>Raw_Data!A667</f>
        <v>Xiaomi Mi Wired in Ear Earphones with Mic Basic with Ultra Deep Bass &amp; Aluminum Alloy Sound Chamber (Black)</v>
      </c>
      <c r="B667" s="10" t="str">
        <f>IFERROR(TRIM(LEFT(Raw_Data!A667,FIND(" ",Raw_Data!A667)-1)),Raw_Data!A667)</f>
        <v>Xiaomi</v>
      </c>
      <c r="C667" s="10" t="str">
        <f>IFERROR(LEFT(Raw_Data!B667,FIND("|",Raw_Data!B667)-1),Raw_Data!B667)</f>
        <v>Electronics</v>
      </c>
      <c r="D667" s="11">
        <f>IFERROR(VALUE(SUBSTITUTE(SUBSTITUTE(TRIM(Raw_Data!C667),"₹",""),",","")),"")</f>
        <v>429</v>
      </c>
      <c r="E667" s="11">
        <f>IFERROR(VALUE(SUBSTITUTE(SUBSTITUTE(TRIM(Raw_Data!D667),"₹",""),",","")),"")</f>
        <v>599</v>
      </c>
      <c r="F667" s="12">
        <f>IFERROR(VALUE(SUBSTITUTE(Raw_Data!E667,"%",""))/100,"")</f>
        <v>0.28000000000000003</v>
      </c>
      <c r="G667" s="13">
        <f>IFERROR(VALUE(Raw_Data!F667),"")</f>
        <v>4.0999999999999996</v>
      </c>
      <c r="H667" s="14">
        <f>IFERROR(VALUE(SUBSTITUTE(Raw_Data!G667,",","")),"")</f>
        <v>119466</v>
      </c>
      <c r="I667" s="11">
        <f t="shared" si="40"/>
        <v>170</v>
      </c>
      <c r="J667" s="11">
        <f t="shared" si="41"/>
        <v>51250914</v>
      </c>
      <c r="K667" s="1">
        <f t="shared" si="42"/>
        <v>119466.0000667</v>
      </c>
      <c r="L667" s="15">
        <f t="shared" si="43"/>
        <v>0.2800667</v>
      </c>
    </row>
    <row r="668" spans="1:12" ht="15" customHeight="1" x14ac:dyDescent="0.25">
      <c r="A668" s="10" t="str">
        <f>Raw_Data!A668</f>
        <v>Zodo 8. 5 inch LCD E-Writer Electronic Writing Pad/Tablet Drawing Board (Paperless Memo Digital Tablet)</v>
      </c>
      <c r="B668" s="10" t="str">
        <f>IFERROR(TRIM(LEFT(Raw_Data!A668,FIND(" ",Raw_Data!A668)-1)),Raw_Data!A668)</f>
        <v>Zodo</v>
      </c>
      <c r="C668" s="10" t="str">
        <f>IFERROR(LEFT(Raw_Data!B668,FIND("|",Raw_Data!B668)-1),Raw_Data!B668)</f>
        <v>Computers&amp;Accessories</v>
      </c>
      <c r="D668" s="11">
        <f>IFERROR(VALUE(SUBSTITUTE(SUBSTITUTE(TRIM(Raw_Data!C668),"₹",""),",","")),"")</f>
        <v>100</v>
      </c>
      <c r="E668" s="11">
        <f>IFERROR(VALUE(SUBSTITUTE(SUBSTITUTE(TRIM(Raw_Data!D668),"₹",""),",","")),"")</f>
        <v>499</v>
      </c>
      <c r="F668" s="12">
        <f>IFERROR(VALUE(SUBSTITUTE(Raw_Data!E668,"%",""))/100,"")</f>
        <v>0.8</v>
      </c>
      <c r="G668" s="13">
        <f>IFERROR(VALUE(Raw_Data!F668),"")</f>
        <v>3.5</v>
      </c>
      <c r="H668" s="14">
        <f>IFERROR(VALUE(SUBSTITUTE(Raw_Data!G668,",","")),"")</f>
        <v>9638</v>
      </c>
      <c r="I668" s="11">
        <f t="shared" si="40"/>
        <v>399</v>
      </c>
      <c r="J668" s="11">
        <f t="shared" si="41"/>
        <v>963800</v>
      </c>
      <c r="K668" s="1">
        <f t="shared" si="42"/>
        <v>9638.0000667999993</v>
      </c>
      <c r="L668" s="15">
        <f t="shared" si="43"/>
        <v>0.80006680000000008</v>
      </c>
    </row>
    <row r="669" spans="1:12" ht="15" customHeight="1" x14ac:dyDescent="0.25">
      <c r="A669" s="10" t="str">
        <f>Raw_Data!A669</f>
        <v>Zebronics ZEB-KM2100 Multimedia USB Keyboard Comes with 114 Keys Including 12 Dedicated Multimedia Keys &amp; with Rupee Key</v>
      </c>
      <c r="B669" s="10" t="str">
        <f>IFERROR(TRIM(LEFT(Raw_Data!A669,FIND(" ",Raw_Data!A669)-1)),Raw_Data!A669)</f>
        <v>Zebronics</v>
      </c>
      <c r="C669" s="10" t="str">
        <f>IFERROR(LEFT(Raw_Data!B669,FIND("|",Raw_Data!B669)-1),Raw_Data!B669)</f>
        <v>Computers&amp;Accessories</v>
      </c>
      <c r="D669" s="11">
        <f>IFERROR(VALUE(SUBSTITUTE(SUBSTITUTE(TRIM(Raw_Data!C669),"₹",""),",","")),"")</f>
        <v>329</v>
      </c>
      <c r="E669" s="11">
        <f>IFERROR(VALUE(SUBSTITUTE(SUBSTITUTE(TRIM(Raw_Data!D669),"₹",""),",","")),"")</f>
        <v>399</v>
      </c>
      <c r="F669" s="12">
        <f>IFERROR(VALUE(SUBSTITUTE(Raw_Data!E669,"%",""))/100,"")</f>
        <v>0.18</v>
      </c>
      <c r="G669" s="13">
        <f>IFERROR(VALUE(Raw_Data!F669),"")</f>
        <v>3.6</v>
      </c>
      <c r="H669" s="14">
        <f>IFERROR(VALUE(SUBSTITUTE(Raw_Data!G669,",","")),"")</f>
        <v>33735</v>
      </c>
      <c r="I669" s="11">
        <f t="shared" si="40"/>
        <v>70</v>
      </c>
      <c r="J669" s="11">
        <f t="shared" si="41"/>
        <v>11098815</v>
      </c>
      <c r="K669" s="1">
        <f t="shared" si="42"/>
        <v>33735.0000669</v>
      </c>
      <c r="L669" s="15">
        <f t="shared" si="43"/>
        <v>0.1800669</v>
      </c>
    </row>
    <row r="670" spans="1:12" ht="15" customHeight="1" x14ac:dyDescent="0.25">
      <c r="A670" s="10" t="str">
        <f>Raw_Data!A670</f>
        <v>MI Usb Type-C Cable Smartphone (Black)</v>
      </c>
      <c r="B670" s="10" t="str">
        <f>IFERROR(TRIM(LEFT(Raw_Data!A670,FIND(" ",Raw_Data!A670)-1)),Raw_Data!A670)</f>
        <v>MI</v>
      </c>
      <c r="C670" s="10" t="str">
        <f>IFERROR(LEFT(Raw_Data!B670,FIND("|",Raw_Data!B670)-1),Raw_Data!B670)</f>
        <v>Computers&amp;Accessories</v>
      </c>
      <c r="D670" s="11">
        <f>IFERROR(VALUE(SUBSTITUTE(SUBSTITUTE(TRIM(Raw_Data!C670),"₹",""),",","")),"")</f>
        <v>229</v>
      </c>
      <c r="E670" s="11">
        <f>IFERROR(VALUE(SUBSTITUTE(SUBSTITUTE(TRIM(Raw_Data!D670),"₹",""),",","")),"")</f>
        <v>299</v>
      </c>
      <c r="F670" s="12">
        <f>IFERROR(VALUE(SUBSTITUTE(Raw_Data!E670,"%",""))/100,"")</f>
        <v>0.23</v>
      </c>
      <c r="G670" s="13">
        <f>IFERROR(VALUE(Raw_Data!F670),"")</f>
        <v>4.3</v>
      </c>
      <c r="H670" s="14">
        <f>IFERROR(VALUE(SUBSTITUTE(Raw_Data!G670,",","")),"")</f>
        <v>30411</v>
      </c>
      <c r="I670" s="11">
        <f t="shared" si="40"/>
        <v>70</v>
      </c>
      <c r="J670" s="11">
        <f t="shared" si="41"/>
        <v>6964119</v>
      </c>
      <c r="K670" s="1">
        <f t="shared" si="42"/>
        <v>30411.000067000001</v>
      </c>
      <c r="L670" s="15">
        <f t="shared" si="43"/>
        <v>0.23006700000000002</v>
      </c>
    </row>
    <row r="671" spans="1:12" ht="15" customHeight="1" x14ac:dyDescent="0.25">
      <c r="A671" s="10" t="str">
        <f>Raw_Data!A671</f>
        <v>ZEBRONICS Zeb-Comfort Wired USB Mouse, 3-Button, 1000 DPI Optical Sensor, Plug &amp; Play, for Windows/Mac, Black</v>
      </c>
      <c r="B671" s="10" t="str">
        <f>IFERROR(TRIM(LEFT(Raw_Data!A671,FIND(" ",Raw_Data!A671)-1)),Raw_Data!A671)</f>
        <v>ZEBRONICS</v>
      </c>
      <c r="C671" s="10" t="str">
        <f>IFERROR(LEFT(Raw_Data!B671,FIND("|",Raw_Data!B671)-1),Raw_Data!B671)</f>
        <v>Computers&amp;Accessories</v>
      </c>
      <c r="D671" s="11">
        <f>IFERROR(VALUE(SUBSTITUTE(SUBSTITUTE(TRIM(Raw_Data!C671),"₹",""),",","")),"")</f>
        <v>139</v>
      </c>
      <c r="E671" s="11">
        <f>IFERROR(VALUE(SUBSTITUTE(SUBSTITUTE(TRIM(Raw_Data!D671),"₹",""),",","")),"")</f>
        <v>299</v>
      </c>
      <c r="F671" s="12">
        <f>IFERROR(VALUE(SUBSTITUTE(Raw_Data!E671,"%",""))/100,"")</f>
        <v>0.54</v>
      </c>
      <c r="G671" s="13">
        <f>IFERROR(VALUE(Raw_Data!F671),"")</f>
        <v>3.8</v>
      </c>
      <c r="H671" s="14">
        <f>IFERROR(VALUE(SUBSTITUTE(Raw_Data!G671,",","")),"")</f>
        <v>3044</v>
      </c>
      <c r="I671" s="11">
        <f t="shared" si="40"/>
        <v>160</v>
      </c>
      <c r="J671" s="11">
        <f t="shared" si="41"/>
        <v>423116</v>
      </c>
      <c r="K671" s="1">
        <f t="shared" si="42"/>
        <v>3044.0000670999998</v>
      </c>
      <c r="L671" s="15">
        <f t="shared" si="43"/>
        <v>0.54006710000000002</v>
      </c>
    </row>
    <row r="672" spans="1:12" ht="15" customHeight="1" x14ac:dyDescent="0.25">
      <c r="A672" s="10" t="str">
        <f>Raw_Data!A672</f>
        <v>boAt Rockerz 370 On Ear Bluetooth Headphones with Upto 12 Hours Playtime, Cozy Padded Earcups and Bluetooth v5.0, with Mic (Buoyant Black)</v>
      </c>
      <c r="B672" s="10" t="str">
        <f>IFERROR(TRIM(LEFT(Raw_Data!A672,FIND(" ",Raw_Data!A672)-1)),Raw_Data!A672)</f>
        <v>boAt</v>
      </c>
      <c r="C672" s="10" t="str">
        <f>IFERROR(LEFT(Raw_Data!B672,FIND("|",Raw_Data!B672)-1),Raw_Data!B672)</f>
        <v>Electronics</v>
      </c>
      <c r="D672" s="11">
        <f>IFERROR(VALUE(SUBSTITUTE(SUBSTITUTE(TRIM(Raw_Data!C672),"₹",""),",","")),"")</f>
        <v>1199</v>
      </c>
      <c r="E672" s="11">
        <f>IFERROR(VALUE(SUBSTITUTE(SUBSTITUTE(TRIM(Raw_Data!D672),"₹",""),",","")),"")</f>
        <v>2499</v>
      </c>
      <c r="F672" s="12">
        <f>IFERROR(VALUE(SUBSTITUTE(Raw_Data!E672,"%",""))/100,"")</f>
        <v>0.52</v>
      </c>
      <c r="G672" s="13">
        <f>IFERROR(VALUE(Raw_Data!F672),"")</f>
        <v>4</v>
      </c>
      <c r="H672" s="14">
        <f>IFERROR(VALUE(SUBSTITUTE(Raw_Data!G672,",","")),"")</f>
        <v>33584</v>
      </c>
      <c r="I672" s="11">
        <f t="shared" si="40"/>
        <v>1300</v>
      </c>
      <c r="J672" s="11">
        <f t="shared" si="41"/>
        <v>40267216</v>
      </c>
      <c r="K672" s="1">
        <f t="shared" si="42"/>
        <v>33584.000067200002</v>
      </c>
      <c r="L672" s="15">
        <f t="shared" si="43"/>
        <v>0.52006720000000006</v>
      </c>
    </row>
    <row r="673" spans="1:12" ht="15" customHeight="1" x14ac:dyDescent="0.25">
      <c r="A673" s="10" t="str">
        <f>Raw_Data!A673</f>
        <v>ZEBRONICS Zeb-Astra 20 Wireless BT v5.0 Portable Speaker with 10W RMS Output, TWS, 10H Backup Approx, Built in Rechargeable Battery FM Radio, AUX, mSD, USB, Call Function and Dual 52mm Drivers Multi</v>
      </c>
      <c r="B673" s="10" t="str">
        <f>IFERROR(TRIM(LEFT(Raw_Data!A673,FIND(" ",Raw_Data!A673)-1)),Raw_Data!A673)</f>
        <v>ZEBRONICS</v>
      </c>
      <c r="C673" s="10" t="str">
        <f>IFERROR(LEFT(Raw_Data!B673,FIND("|",Raw_Data!B673)-1),Raw_Data!B673)</f>
        <v>Electronics</v>
      </c>
      <c r="D673" s="11">
        <f>IFERROR(VALUE(SUBSTITUTE(SUBSTITUTE(TRIM(Raw_Data!C673),"₹",""),",","")),"")</f>
        <v>1049</v>
      </c>
      <c r="E673" s="11">
        <f>IFERROR(VALUE(SUBSTITUTE(SUBSTITUTE(TRIM(Raw_Data!D673),"₹",""),",","")),"")</f>
        <v>2299</v>
      </c>
      <c r="F673" s="12">
        <f>IFERROR(VALUE(SUBSTITUTE(Raw_Data!E673,"%",""))/100,"")</f>
        <v>0.54</v>
      </c>
      <c r="G673" s="13">
        <f>IFERROR(VALUE(Raw_Data!F673),"")</f>
        <v>3.9</v>
      </c>
      <c r="H673" s="14">
        <f>IFERROR(VALUE(SUBSTITUTE(Raw_Data!G673,",","")),"")</f>
        <v>1779</v>
      </c>
      <c r="I673" s="11">
        <f t="shared" si="40"/>
        <v>1250</v>
      </c>
      <c r="J673" s="11">
        <f t="shared" si="41"/>
        <v>1866171</v>
      </c>
      <c r="K673" s="1">
        <f t="shared" si="42"/>
        <v>1779.0000673</v>
      </c>
      <c r="L673" s="15">
        <f t="shared" si="43"/>
        <v>0.54006730000000003</v>
      </c>
    </row>
    <row r="674" spans="1:12" ht="15" customHeight="1" x14ac:dyDescent="0.25">
      <c r="A674" s="10" t="str">
        <f>Raw_Data!A674</f>
        <v>Gizga Essentials Spiral Cable Protector Cord Saver for Mac Charger, iPhone Charger, Wire Protector, Lightweight Durable Flexible Wire Winder for Charging Cables, Data Cables, Earphones, Pack of 10</v>
      </c>
      <c r="B674" s="10" t="str">
        <f>IFERROR(TRIM(LEFT(Raw_Data!A674,FIND(" ",Raw_Data!A674)-1)),Raw_Data!A674)</f>
        <v>Gizga</v>
      </c>
      <c r="C674" s="10" t="str">
        <f>IFERROR(LEFT(Raw_Data!B674,FIND("|",Raw_Data!B674)-1),Raw_Data!B674)</f>
        <v>Electronics</v>
      </c>
      <c r="D674" s="11">
        <f>IFERROR(VALUE(SUBSTITUTE(SUBSTITUTE(TRIM(Raw_Data!C674),"₹",""),",","")),"")</f>
        <v>119</v>
      </c>
      <c r="E674" s="11">
        <f>IFERROR(VALUE(SUBSTITUTE(SUBSTITUTE(TRIM(Raw_Data!D674),"₹",""),",","")),"")</f>
        <v>299</v>
      </c>
      <c r="F674" s="12">
        <f>IFERROR(VALUE(SUBSTITUTE(Raw_Data!E674,"%",""))/100,"")</f>
        <v>0.6</v>
      </c>
      <c r="G674" s="13">
        <f>IFERROR(VALUE(Raw_Data!F674),"")</f>
        <v>4.0999999999999996</v>
      </c>
      <c r="H674" s="14">
        <f>IFERROR(VALUE(SUBSTITUTE(Raw_Data!G674,",","")),"")</f>
        <v>5999</v>
      </c>
      <c r="I674" s="11">
        <f t="shared" si="40"/>
        <v>180</v>
      </c>
      <c r="J674" s="11">
        <f t="shared" si="41"/>
        <v>713881</v>
      </c>
      <c r="K674" s="1">
        <f t="shared" si="42"/>
        <v>5999.0000674000003</v>
      </c>
      <c r="L674" s="15">
        <f t="shared" si="43"/>
        <v>0.60006740000000003</v>
      </c>
    </row>
    <row r="675" spans="1:12" ht="15" customHeight="1" x14ac:dyDescent="0.25">
      <c r="A675" s="10" t="str">
        <f>Raw_Data!A675</f>
        <v>Portronics Konnect L POR-1081 Fast Charging 3A Type-C Cable 1.2Meter with Charge &amp; Sync Function for All Type-C Devices (Grey)</v>
      </c>
      <c r="B675" s="10" t="str">
        <f>IFERROR(TRIM(LEFT(Raw_Data!A675,FIND(" ",Raw_Data!A675)-1)),Raw_Data!A675)</f>
        <v>Portronics</v>
      </c>
      <c r="C675" s="10" t="str">
        <f>IFERROR(LEFT(Raw_Data!B675,FIND("|",Raw_Data!B675)-1),Raw_Data!B675)</f>
        <v>Computers&amp;Accessories</v>
      </c>
      <c r="D675" s="11">
        <f>IFERROR(VALUE(SUBSTITUTE(SUBSTITUTE(TRIM(Raw_Data!C675),"₹",""),",","")),"")</f>
        <v>154</v>
      </c>
      <c r="E675" s="11">
        <f>IFERROR(VALUE(SUBSTITUTE(SUBSTITUTE(TRIM(Raw_Data!D675),"₹",""),",","")),"")</f>
        <v>339</v>
      </c>
      <c r="F675" s="12">
        <f>IFERROR(VALUE(SUBSTITUTE(Raw_Data!E675,"%",""))/100,"")</f>
        <v>0.55000000000000004</v>
      </c>
      <c r="G675" s="13">
        <f>IFERROR(VALUE(Raw_Data!F675),"")</f>
        <v>4.3</v>
      </c>
      <c r="H675" s="14">
        <f>IFERROR(VALUE(SUBSTITUTE(Raw_Data!G675,",","")),"")</f>
        <v>13391</v>
      </c>
      <c r="I675" s="11">
        <f t="shared" si="40"/>
        <v>185</v>
      </c>
      <c r="J675" s="11">
        <f t="shared" si="41"/>
        <v>2062214</v>
      </c>
      <c r="K675" s="1">
        <f t="shared" si="42"/>
        <v>13391.000067499999</v>
      </c>
      <c r="L675" s="15">
        <f t="shared" si="43"/>
        <v>0.55006750000000004</v>
      </c>
    </row>
    <row r="676" spans="1:12" ht="15" customHeight="1" x14ac:dyDescent="0.25">
      <c r="A676" s="10" t="str">
        <f>Raw_Data!A676</f>
        <v>Panasonic CR-2032/5BE Lithium Coin Battery - Pack of 5</v>
      </c>
      <c r="B676" s="10" t="str">
        <f>IFERROR(TRIM(LEFT(Raw_Data!A676,FIND(" ",Raw_Data!A676)-1)),Raw_Data!A676)</f>
        <v>Panasonic</v>
      </c>
      <c r="C676" s="10" t="str">
        <f>IFERROR(LEFT(Raw_Data!B676,FIND("|",Raw_Data!B676)-1),Raw_Data!B676)</f>
        <v>Electronics</v>
      </c>
      <c r="D676" s="11">
        <f>IFERROR(VALUE(SUBSTITUTE(SUBSTITUTE(TRIM(Raw_Data!C676),"₹",""),",","")),"")</f>
        <v>225</v>
      </c>
      <c r="E676" s="11">
        <f>IFERROR(VALUE(SUBSTITUTE(SUBSTITUTE(TRIM(Raw_Data!D676),"₹",""),",","")),"")</f>
        <v>250</v>
      </c>
      <c r="F676" s="12">
        <f>IFERROR(VALUE(SUBSTITUTE(Raw_Data!E676,"%",""))/100,"")</f>
        <v>0.1</v>
      </c>
      <c r="G676" s="13">
        <f>IFERROR(VALUE(Raw_Data!F676),"")</f>
        <v>4.4000000000000004</v>
      </c>
      <c r="H676" s="14">
        <f>IFERROR(VALUE(SUBSTITUTE(Raw_Data!G676,",","")),"")</f>
        <v>26556</v>
      </c>
      <c r="I676" s="11">
        <f t="shared" si="40"/>
        <v>25</v>
      </c>
      <c r="J676" s="11">
        <f t="shared" si="41"/>
        <v>5975100</v>
      </c>
      <c r="K676" s="1">
        <f t="shared" si="42"/>
        <v>26556.000067600002</v>
      </c>
      <c r="L676" s="15">
        <f t="shared" si="43"/>
        <v>0.10006760000000001</v>
      </c>
    </row>
    <row r="677" spans="1:12" ht="15" customHeight="1" x14ac:dyDescent="0.25">
      <c r="A677" s="10" t="str">
        <f>Raw_Data!A677</f>
        <v>MemeHo® Smart Standard Multi-Purpose Laptop Table with Dock Stand/Study Table/Bed Table/Foldable and Portable/Ergonomic &amp; Rounded Edges/Non-Slip Legs/Engineered Wood with Cup Holder (Black)</v>
      </c>
      <c r="B677" s="10" t="str">
        <f>IFERROR(TRIM(LEFT(Raw_Data!A677,FIND(" ",Raw_Data!A677)-1)),Raw_Data!A677)</f>
        <v>MemeHo®</v>
      </c>
      <c r="C677" s="10" t="str">
        <f>IFERROR(LEFT(Raw_Data!B677,FIND("|",Raw_Data!B677)-1),Raw_Data!B677)</f>
        <v>Computers&amp;Accessories</v>
      </c>
      <c r="D677" s="11">
        <f>IFERROR(VALUE(SUBSTITUTE(SUBSTITUTE(TRIM(Raw_Data!C677),"₹",""),",","")),"")</f>
        <v>656</v>
      </c>
      <c r="E677" s="11">
        <f>IFERROR(VALUE(SUBSTITUTE(SUBSTITUTE(TRIM(Raw_Data!D677),"₹",""),",","")),"")</f>
        <v>1499</v>
      </c>
      <c r="F677" s="12">
        <f>IFERROR(VALUE(SUBSTITUTE(Raw_Data!E677,"%",""))/100,"")</f>
        <v>0.56000000000000005</v>
      </c>
      <c r="G677" s="13">
        <f>IFERROR(VALUE(Raw_Data!F677),"")</f>
        <v>4.3</v>
      </c>
      <c r="H677" s="14">
        <f>IFERROR(VALUE(SUBSTITUTE(Raw_Data!G677,",","")),"")</f>
        <v>25903</v>
      </c>
      <c r="I677" s="11">
        <f t="shared" si="40"/>
        <v>843</v>
      </c>
      <c r="J677" s="11">
        <f t="shared" si="41"/>
        <v>16992368</v>
      </c>
      <c r="K677" s="1">
        <f t="shared" si="42"/>
        <v>25903.000067699999</v>
      </c>
      <c r="L677" s="15">
        <f t="shared" si="43"/>
        <v>0.56006770000000006</v>
      </c>
    </row>
    <row r="678" spans="1:12" ht="15" customHeight="1" x14ac:dyDescent="0.25">
      <c r="A678" s="10" t="str">
        <f>Raw_Data!A678</f>
        <v>SanDisk Ultra Dual Drive Go USB Type C Pendrive for Mobile (Black, 128 GB, 5Y - SDDDC3-128G-I35)</v>
      </c>
      <c r="B678" s="10" t="str">
        <f>IFERROR(TRIM(LEFT(Raw_Data!A678,FIND(" ",Raw_Data!A678)-1)),Raw_Data!A678)</f>
        <v>SanDisk</v>
      </c>
      <c r="C678" s="10" t="str">
        <f>IFERROR(LEFT(Raw_Data!B678,FIND("|",Raw_Data!B678)-1),Raw_Data!B678)</f>
        <v>Computers&amp;Accessories</v>
      </c>
      <c r="D678" s="11">
        <f>IFERROR(VALUE(SUBSTITUTE(SUBSTITUTE(TRIM(Raw_Data!C678),"₹",""),",","")),"")</f>
        <v>1109</v>
      </c>
      <c r="E678" s="11">
        <f>IFERROR(VALUE(SUBSTITUTE(SUBSTITUTE(TRIM(Raw_Data!D678),"₹",""),",","")),"")</f>
        <v>2800</v>
      </c>
      <c r="F678" s="12">
        <f>IFERROR(VALUE(SUBSTITUTE(Raw_Data!E678,"%",""))/100,"")</f>
        <v>0.6</v>
      </c>
      <c r="G678" s="13">
        <f>IFERROR(VALUE(Raw_Data!F678),"")</f>
        <v>4.3</v>
      </c>
      <c r="H678" s="14">
        <f>IFERROR(VALUE(SUBSTITUTE(Raw_Data!G678,",","")),"")</f>
        <v>53464</v>
      </c>
      <c r="I678" s="11">
        <f t="shared" si="40"/>
        <v>1691</v>
      </c>
      <c r="J678" s="11">
        <f t="shared" si="41"/>
        <v>59291576</v>
      </c>
      <c r="K678" s="1">
        <f t="shared" si="42"/>
        <v>53464.0000678</v>
      </c>
      <c r="L678" s="15">
        <f t="shared" si="43"/>
        <v>0.60006779999999993</v>
      </c>
    </row>
    <row r="679" spans="1:12" ht="15" customHeight="1" x14ac:dyDescent="0.25">
      <c r="A679" s="10" t="str">
        <f>Raw_Data!A679</f>
        <v>boAt Xtend Smartwatch with Alexa Built-in, 1.69” HD Display, Multiple Watch Faces, Stress Monitor, Heart &amp; SpO2 Monitoring, 14 Sports Modes, Sleep Monitor, 5 ATM &amp; 7 Days Battery(Pitch Black)</v>
      </c>
      <c r="B679" s="10" t="str">
        <f>IFERROR(TRIM(LEFT(Raw_Data!A679,FIND(" ",Raw_Data!A679)-1)),Raw_Data!A679)</f>
        <v>boAt</v>
      </c>
      <c r="C679" s="10" t="str">
        <f>IFERROR(LEFT(Raw_Data!B679,FIND("|",Raw_Data!B679)-1),Raw_Data!B679)</f>
        <v>Electronics</v>
      </c>
      <c r="D679" s="11">
        <f>IFERROR(VALUE(SUBSTITUTE(SUBSTITUTE(TRIM(Raw_Data!C679),"₹",""),",","")),"")</f>
        <v>2999</v>
      </c>
      <c r="E679" s="11">
        <f>IFERROR(VALUE(SUBSTITUTE(SUBSTITUTE(TRIM(Raw_Data!D679),"₹",""),",","")),"")</f>
        <v>7990</v>
      </c>
      <c r="F679" s="12">
        <f>IFERROR(VALUE(SUBSTITUTE(Raw_Data!E679,"%",""))/100,"")</f>
        <v>0.62</v>
      </c>
      <c r="G679" s="13">
        <f>IFERROR(VALUE(Raw_Data!F679),"")</f>
        <v>4.0999999999999996</v>
      </c>
      <c r="H679" s="14">
        <f>IFERROR(VALUE(SUBSTITUTE(Raw_Data!G679,",","")),"")</f>
        <v>48448</v>
      </c>
      <c r="I679" s="11">
        <f t="shared" si="40"/>
        <v>4991</v>
      </c>
      <c r="J679" s="11">
        <f t="shared" si="41"/>
        <v>145295552</v>
      </c>
      <c r="K679" s="1">
        <f t="shared" si="42"/>
        <v>48448.0000679</v>
      </c>
      <c r="L679" s="15">
        <f t="shared" si="43"/>
        <v>0.62006790000000001</v>
      </c>
    </row>
    <row r="680" spans="1:12" ht="15" customHeight="1" x14ac:dyDescent="0.25">
      <c r="A680" s="10" t="str">
        <f>Raw_Data!A680</f>
        <v>Tizum Mouse Pad/ Computer Mouse Mat with Anti-Slip Rubber Base | Smooth Mouse Control | Spill-Resistant Surface for Laptop, Notebook, MacBook, Gaming, Laser/ Optical Mouse, 9.4”x 7.9”, Multicolored</v>
      </c>
      <c r="B680" s="10" t="str">
        <f>IFERROR(TRIM(LEFT(Raw_Data!A680,FIND(" ",Raw_Data!A680)-1)),Raw_Data!A680)</f>
        <v>Tizum</v>
      </c>
      <c r="C680" s="10" t="str">
        <f>IFERROR(LEFT(Raw_Data!B680,FIND("|",Raw_Data!B680)-1),Raw_Data!B680)</f>
        <v>Computers&amp;Accessories</v>
      </c>
      <c r="D680" s="11">
        <f>IFERROR(VALUE(SUBSTITUTE(SUBSTITUTE(TRIM(Raw_Data!C680),"₹",""),",","")),"")</f>
        <v>169</v>
      </c>
      <c r="E680" s="11">
        <f>IFERROR(VALUE(SUBSTITUTE(SUBSTITUTE(TRIM(Raw_Data!D680),"₹",""),",","")),"")</f>
        <v>299</v>
      </c>
      <c r="F680" s="12">
        <f>IFERROR(VALUE(SUBSTITUTE(Raw_Data!E680,"%",""))/100,"")</f>
        <v>0.43</v>
      </c>
      <c r="G680" s="13">
        <f>IFERROR(VALUE(Raw_Data!F680),"")</f>
        <v>4.4000000000000004</v>
      </c>
      <c r="H680" s="14">
        <f>IFERROR(VALUE(SUBSTITUTE(Raw_Data!G680,",","")),"")</f>
        <v>5176</v>
      </c>
      <c r="I680" s="11">
        <f t="shared" si="40"/>
        <v>130</v>
      </c>
      <c r="J680" s="11">
        <f t="shared" si="41"/>
        <v>874744</v>
      </c>
      <c r="K680" s="1">
        <f t="shared" si="42"/>
        <v>5176.0000680000003</v>
      </c>
      <c r="L680" s="15">
        <f t="shared" si="43"/>
        <v>0.43006800000000001</v>
      </c>
    </row>
    <row r="681" spans="1:12" ht="15" customHeight="1" x14ac:dyDescent="0.25">
      <c r="A681" s="10" t="str">
        <f>Raw_Data!A681</f>
        <v>Epson 003 65 ml for EcoTank L1110/L3100/L3101/L3110/L3115/L3116/L3150/L3151/L3152/L3156/L5190 Black Ink Bottle</v>
      </c>
      <c r="B681" s="10" t="str">
        <f>IFERROR(TRIM(LEFT(Raw_Data!A681,FIND(" ",Raw_Data!A681)-1)),Raw_Data!A681)</f>
        <v>Epson</v>
      </c>
      <c r="C681" s="10" t="str">
        <f>IFERROR(LEFT(Raw_Data!B681,FIND("|",Raw_Data!B681)-1),Raw_Data!B681)</f>
        <v>Computers&amp;Accessories</v>
      </c>
      <c r="D681" s="11">
        <f>IFERROR(VALUE(SUBSTITUTE(SUBSTITUTE(TRIM(Raw_Data!C681),"₹",""),",","")),"")</f>
        <v>309</v>
      </c>
      <c r="E681" s="11">
        <f>IFERROR(VALUE(SUBSTITUTE(SUBSTITUTE(TRIM(Raw_Data!D681),"₹",""),",","")),"")</f>
        <v>404</v>
      </c>
      <c r="F681" s="12">
        <f>IFERROR(VALUE(SUBSTITUTE(Raw_Data!E681,"%",""))/100,"")</f>
        <v>0.24</v>
      </c>
      <c r="G681" s="13">
        <f>IFERROR(VALUE(Raw_Data!F681),"")</f>
        <v>4.4000000000000004</v>
      </c>
      <c r="H681" s="14">
        <f>IFERROR(VALUE(SUBSTITUTE(Raw_Data!G681,",","")),"")</f>
        <v>8614</v>
      </c>
      <c r="I681" s="11">
        <f t="shared" si="40"/>
        <v>95</v>
      </c>
      <c r="J681" s="11">
        <f t="shared" si="41"/>
        <v>2661726</v>
      </c>
      <c r="K681" s="1">
        <f t="shared" si="42"/>
        <v>8614.0000681000001</v>
      </c>
      <c r="L681" s="15">
        <f t="shared" si="43"/>
        <v>0.24006809999999998</v>
      </c>
    </row>
    <row r="682" spans="1:12" ht="15" customHeight="1" x14ac:dyDescent="0.25">
      <c r="A682" s="10" t="str">
        <f>Raw_Data!A682</f>
        <v>ZEBRONICS Zeb-Thunder Bluetooth Wireless Over Ear Headphone FM, mSD, 9 hrs Playback with Mic (Black)</v>
      </c>
      <c r="B682" s="10" t="str">
        <f>IFERROR(TRIM(LEFT(Raw_Data!A682,FIND(" ",Raw_Data!A682)-1)),Raw_Data!A682)</f>
        <v>ZEBRONICS</v>
      </c>
      <c r="C682" s="10" t="str">
        <f>IFERROR(LEFT(Raw_Data!B682,FIND("|",Raw_Data!B682)-1),Raw_Data!B682)</f>
        <v>Electronics</v>
      </c>
      <c r="D682" s="11">
        <f>IFERROR(VALUE(SUBSTITUTE(SUBSTITUTE(TRIM(Raw_Data!C682),"₹",""),",","")),"")</f>
        <v>599</v>
      </c>
      <c r="E682" s="11">
        <f>IFERROR(VALUE(SUBSTITUTE(SUBSTITUTE(TRIM(Raw_Data!D682),"₹",""),",","")),"")</f>
        <v>1399</v>
      </c>
      <c r="F682" s="12">
        <f>IFERROR(VALUE(SUBSTITUTE(Raw_Data!E682,"%",""))/100,"")</f>
        <v>0.56999999999999995</v>
      </c>
      <c r="G682" s="13">
        <f>IFERROR(VALUE(Raw_Data!F682),"")</f>
        <v>3.8</v>
      </c>
      <c r="H682" s="14">
        <f>IFERROR(VALUE(SUBSTITUTE(Raw_Data!G682,",","")),"")</f>
        <v>60026</v>
      </c>
      <c r="I682" s="11">
        <f t="shared" si="40"/>
        <v>800</v>
      </c>
      <c r="J682" s="11">
        <f t="shared" si="41"/>
        <v>35955574</v>
      </c>
      <c r="K682" s="1">
        <f t="shared" si="42"/>
        <v>60026.000068200003</v>
      </c>
      <c r="L682" s="15">
        <f t="shared" si="43"/>
        <v>0.57006819999999991</v>
      </c>
    </row>
    <row r="683" spans="1:12" ht="15" customHeight="1" x14ac:dyDescent="0.25">
      <c r="A683" s="10" t="str">
        <f>Raw_Data!A683</f>
        <v>Quantum QHM-7406 Full-Sized Keyboard with (₹) Rupee Symbol, Hotkeys and 3-pieces LED function for Desktop/Laptop/Smart TV Spill-Resistant Wired USB Keyboard with 10 million keystrokes lifespan (Black)</v>
      </c>
      <c r="B683" s="10" t="str">
        <f>IFERROR(TRIM(LEFT(Raw_Data!A683,FIND(" ",Raw_Data!A683)-1)),Raw_Data!A683)</f>
        <v>Quantum</v>
      </c>
      <c r="C683" s="10" t="str">
        <f>IFERROR(LEFT(Raw_Data!B683,FIND("|",Raw_Data!B683)-1),Raw_Data!B683)</f>
        <v>Computers&amp;Accessories</v>
      </c>
      <c r="D683" s="11">
        <f>IFERROR(VALUE(SUBSTITUTE(SUBSTITUTE(TRIM(Raw_Data!C683),"₹",""),",","")),"")</f>
        <v>299</v>
      </c>
      <c r="E683" s="11">
        <f>IFERROR(VALUE(SUBSTITUTE(SUBSTITUTE(TRIM(Raw_Data!D683),"₹",""),",","")),"")</f>
        <v>599</v>
      </c>
      <c r="F683" s="12">
        <f>IFERROR(VALUE(SUBSTITUTE(Raw_Data!E683,"%",""))/100,"")</f>
        <v>0.5</v>
      </c>
      <c r="G683" s="13">
        <f>IFERROR(VALUE(Raw_Data!F683),"")</f>
        <v>3.8</v>
      </c>
      <c r="H683" s="14">
        <f>IFERROR(VALUE(SUBSTITUTE(Raw_Data!G683,",","")),"")</f>
        <v>3066</v>
      </c>
      <c r="I683" s="11">
        <f t="shared" si="40"/>
        <v>300</v>
      </c>
      <c r="J683" s="11">
        <f t="shared" si="41"/>
        <v>916734</v>
      </c>
      <c r="K683" s="1">
        <f t="shared" si="42"/>
        <v>3066.0000682999998</v>
      </c>
      <c r="L683" s="15">
        <f t="shared" si="43"/>
        <v>0.50006830000000002</v>
      </c>
    </row>
    <row r="684" spans="1:12" ht="15" customHeight="1" x14ac:dyDescent="0.25">
      <c r="A684" s="10" t="str">
        <f>Raw_Data!A684</f>
        <v>STRIFF Laptop Tabletop Stand, Fold-Up, Adjustable, Ventilated, Portable Holder for Desk, Aluminum Foldable Laptop Ergonomic Compatibility with up to 15.6-inch Laptop, All Mac, Tab, and Mobile (Silver)</v>
      </c>
      <c r="B684" s="10" t="str">
        <f>IFERROR(TRIM(LEFT(Raw_Data!A684,FIND(" ",Raw_Data!A684)-1)),Raw_Data!A684)</f>
        <v>STRIFF</v>
      </c>
      <c r="C684" s="10" t="str">
        <f>IFERROR(LEFT(Raw_Data!B684,FIND("|",Raw_Data!B684)-1),Raw_Data!B684)</f>
        <v>Computers&amp;Accessories</v>
      </c>
      <c r="D684" s="11">
        <f>IFERROR(VALUE(SUBSTITUTE(SUBSTITUTE(TRIM(Raw_Data!C684),"₹",""),",","")),"")</f>
        <v>449</v>
      </c>
      <c r="E684" s="11">
        <f>IFERROR(VALUE(SUBSTITUTE(SUBSTITUTE(TRIM(Raw_Data!D684),"₹",""),",","")),"")</f>
        <v>999</v>
      </c>
      <c r="F684" s="12">
        <f>IFERROR(VALUE(SUBSTITUTE(Raw_Data!E684,"%",""))/100,"")</f>
        <v>0.55000000000000004</v>
      </c>
      <c r="G684" s="13">
        <f>IFERROR(VALUE(Raw_Data!F684),"")</f>
        <v>4</v>
      </c>
      <c r="H684" s="14">
        <f>IFERROR(VALUE(SUBSTITUTE(Raw_Data!G684,",","")),"")</f>
        <v>2102</v>
      </c>
      <c r="I684" s="11">
        <f t="shared" si="40"/>
        <v>550</v>
      </c>
      <c r="J684" s="11">
        <f t="shared" si="41"/>
        <v>943798</v>
      </c>
      <c r="K684" s="1">
        <f t="shared" si="42"/>
        <v>2102.0000684000001</v>
      </c>
      <c r="L684" s="15">
        <f t="shared" si="43"/>
        <v>0.55006840000000001</v>
      </c>
    </row>
    <row r="685" spans="1:12" ht="15" customHeight="1" x14ac:dyDescent="0.25">
      <c r="A685" s="10" t="str">
        <f>Raw_Data!A685</f>
        <v>Logitech M221 Wireless Mouse, Silent Buttons, 2.4 GHz with USB Mini Receiver, 1000 DPI Optical Tracking, 18-Month Battery Life, Ambidextrous PC / Mac / Laptop - Charcoal Grey</v>
      </c>
      <c r="B685" s="10" t="str">
        <f>IFERROR(TRIM(LEFT(Raw_Data!A685,FIND(" ",Raw_Data!A685)-1)),Raw_Data!A685)</f>
        <v>Logitech</v>
      </c>
      <c r="C685" s="10" t="str">
        <f>IFERROR(LEFT(Raw_Data!B685,FIND("|",Raw_Data!B685)-1),Raw_Data!B685)</f>
        <v>Computers&amp;Accessories</v>
      </c>
      <c r="D685" s="11">
        <f>IFERROR(VALUE(SUBSTITUTE(SUBSTITUTE(TRIM(Raw_Data!C685),"₹",""),",","")),"")</f>
        <v>799</v>
      </c>
      <c r="E685" s="11">
        <f>IFERROR(VALUE(SUBSTITUTE(SUBSTITUTE(TRIM(Raw_Data!D685),"₹",""),",","")),"")</f>
        <v>1295</v>
      </c>
      <c r="F685" s="12">
        <f>IFERROR(VALUE(SUBSTITUTE(Raw_Data!E685,"%",""))/100,"")</f>
        <v>0.38</v>
      </c>
      <c r="G685" s="13">
        <f>IFERROR(VALUE(Raw_Data!F685),"")</f>
        <v>4.4000000000000004</v>
      </c>
      <c r="H685" s="14">
        <f>IFERROR(VALUE(SUBSTITUTE(Raw_Data!G685,",","")),"")</f>
        <v>34852</v>
      </c>
      <c r="I685" s="11">
        <f t="shared" si="40"/>
        <v>496</v>
      </c>
      <c r="J685" s="11">
        <f t="shared" si="41"/>
        <v>27846748</v>
      </c>
      <c r="K685" s="1">
        <f t="shared" si="42"/>
        <v>34852.000068499998</v>
      </c>
      <c r="L685" s="15">
        <f t="shared" si="43"/>
        <v>0.38006850000000003</v>
      </c>
    </row>
    <row r="686" spans="1:12" ht="15" customHeight="1" x14ac:dyDescent="0.25">
      <c r="A686" s="10" t="str">
        <f>Raw_Data!A686</f>
        <v>AmazonBasics Flexible Premium HDMI Cable (Black, 4K@60Hz, 18Gbps), 3-Foot</v>
      </c>
      <c r="B686" s="10" t="str">
        <f>IFERROR(TRIM(LEFT(Raw_Data!A686,FIND(" ",Raw_Data!A686)-1)),Raw_Data!A686)</f>
        <v>AmazonBasics</v>
      </c>
      <c r="C686" s="10" t="str">
        <f>IFERROR(LEFT(Raw_Data!B686,FIND("|",Raw_Data!B686)-1),Raw_Data!B686)</f>
        <v>Electronics</v>
      </c>
      <c r="D686" s="11">
        <f>IFERROR(VALUE(SUBSTITUTE(SUBSTITUTE(TRIM(Raw_Data!C686),"₹",""),",","")),"")</f>
        <v>219</v>
      </c>
      <c r="E686" s="11">
        <f>IFERROR(VALUE(SUBSTITUTE(SUBSTITUTE(TRIM(Raw_Data!D686),"₹",""),",","")),"")</f>
        <v>700</v>
      </c>
      <c r="F686" s="12">
        <f>IFERROR(VALUE(SUBSTITUTE(Raw_Data!E686,"%",""))/100,"")</f>
        <v>0.69</v>
      </c>
      <c r="G686" s="13">
        <f>IFERROR(VALUE(Raw_Data!F686),"")</f>
        <v>4.4000000000000004</v>
      </c>
      <c r="H686" s="14">
        <f>IFERROR(VALUE(SUBSTITUTE(Raw_Data!G686,",","")),"")</f>
        <v>426972</v>
      </c>
      <c r="I686" s="11">
        <f t="shared" si="40"/>
        <v>481</v>
      </c>
      <c r="J686" s="11">
        <f t="shared" si="41"/>
        <v>93506868</v>
      </c>
      <c r="K686" s="1">
        <f t="shared" si="42"/>
        <v>426972.0000686</v>
      </c>
      <c r="L686" s="15">
        <f t="shared" si="43"/>
        <v>0.69006859999999992</v>
      </c>
    </row>
    <row r="687" spans="1:12" ht="15" customHeight="1" x14ac:dyDescent="0.25">
      <c r="A687" s="10" t="str">
        <f>Raw_Data!A687</f>
        <v>Classmate Soft Cover 6 Subject Spiral Binding Notebook, Single Line, 300 Pages</v>
      </c>
      <c r="B687" s="10" t="str">
        <f>IFERROR(TRIM(LEFT(Raw_Data!A687,FIND(" ",Raw_Data!A687)-1)),Raw_Data!A687)</f>
        <v>Classmate</v>
      </c>
      <c r="C687" s="10" t="str">
        <f>IFERROR(LEFT(Raw_Data!B687,FIND("|",Raw_Data!B687)-1),Raw_Data!B687)</f>
        <v>OfficeProducts</v>
      </c>
      <c r="D687" s="11">
        <f>IFERROR(VALUE(SUBSTITUTE(SUBSTITUTE(TRIM(Raw_Data!C687),"₹",""),",","")),"")</f>
        <v>157</v>
      </c>
      <c r="E687" s="11">
        <f>IFERROR(VALUE(SUBSTITUTE(SUBSTITUTE(TRIM(Raw_Data!D687),"₹",""),",","")),"")</f>
        <v>160</v>
      </c>
      <c r="F687" s="12">
        <f>IFERROR(VALUE(SUBSTITUTE(Raw_Data!E687,"%",""))/100,"")</f>
        <v>0.02</v>
      </c>
      <c r="G687" s="13">
        <f>IFERROR(VALUE(Raw_Data!F687),"")</f>
        <v>4.5</v>
      </c>
      <c r="H687" s="14">
        <f>IFERROR(VALUE(SUBSTITUTE(Raw_Data!G687,",","")),"")</f>
        <v>8618</v>
      </c>
      <c r="I687" s="11">
        <f t="shared" si="40"/>
        <v>3</v>
      </c>
      <c r="J687" s="11">
        <f t="shared" si="41"/>
        <v>1353026</v>
      </c>
      <c r="K687" s="1">
        <f t="shared" si="42"/>
        <v>8618.0000686999992</v>
      </c>
      <c r="L687" s="15">
        <f t="shared" si="43"/>
        <v>2.0068700000000002E-2</v>
      </c>
    </row>
    <row r="688" spans="1:12" ht="15" customHeight="1" x14ac:dyDescent="0.25">
      <c r="A688" s="10" t="str">
        <f>Raw_Data!A688</f>
        <v>HP 32GB Class 10 MicroSD Memory Card (U1 TF Card 32GB)</v>
      </c>
      <c r="B688" s="10" t="str">
        <f>IFERROR(TRIM(LEFT(Raw_Data!A688,FIND(" ",Raw_Data!A688)-1)),Raw_Data!A688)</f>
        <v>HP</v>
      </c>
      <c r="C688" s="10" t="str">
        <f>IFERROR(LEFT(Raw_Data!B688,FIND("|",Raw_Data!B688)-1),Raw_Data!B688)</f>
        <v>Electronics</v>
      </c>
      <c r="D688" s="11">
        <f>IFERROR(VALUE(SUBSTITUTE(SUBSTITUTE(TRIM(Raw_Data!C688),"₹",""),",","")),"")</f>
        <v>369</v>
      </c>
      <c r="E688" s="11">
        <f>IFERROR(VALUE(SUBSTITUTE(SUBSTITUTE(TRIM(Raw_Data!D688),"₹",""),",","")),"")</f>
        <v>1600</v>
      </c>
      <c r="F688" s="12">
        <f>IFERROR(VALUE(SUBSTITUTE(Raw_Data!E688,"%",""))/100,"")</f>
        <v>0.77</v>
      </c>
      <c r="G688" s="13">
        <f>IFERROR(VALUE(Raw_Data!F688),"")</f>
        <v>4</v>
      </c>
      <c r="H688" s="14">
        <f>IFERROR(VALUE(SUBSTITUTE(Raw_Data!G688,",","")),"")</f>
        <v>32625</v>
      </c>
      <c r="I688" s="11">
        <f t="shared" si="40"/>
        <v>1231</v>
      </c>
      <c r="J688" s="11">
        <f t="shared" si="41"/>
        <v>12038625</v>
      </c>
      <c r="K688" s="1">
        <f t="shared" si="42"/>
        <v>32625.0000688</v>
      </c>
      <c r="L688" s="15">
        <f t="shared" si="43"/>
        <v>0.7700688</v>
      </c>
    </row>
    <row r="689" spans="1:12" ht="15" customHeight="1" x14ac:dyDescent="0.25">
      <c r="A689" s="10" t="str">
        <f>Raw_Data!A689</f>
        <v>HP 150 Wireless USB Mouse with Ergonomic and ambidextrous Design, 1600 DPI Optical Tracking, 2.4 GHz Wireless connectivity, Dual-Function Scroll Wheel and 12 Month Long Battery Life. 3-Years Warranty.</v>
      </c>
      <c r="B689" s="10" t="str">
        <f>IFERROR(TRIM(LEFT(Raw_Data!A689,FIND(" ",Raw_Data!A689)-1)),Raw_Data!A689)</f>
        <v>HP</v>
      </c>
      <c r="C689" s="10" t="str">
        <f>IFERROR(LEFT(Raw_Data!B689,FIND("|",Raw_Data!B689)-1),Raw_Data!B689)</f>
        <v>Computers&amp;Accessories</v>
      </c>
      <c r="D689" s="11">
        <f>IFERROR(VALUE(SUBSTITUTE(SUBSTITUTE(TRIM(Raw_Data!C689),"₹",""),",","")),"")</f>
        <v>599</v>
      </c>
      <c r="E689" s="11">
        <f>IFERROR(VALUE(SUBSTITUTE(SUBSTITUTE(TRIM(Raw_Data!D689),"₹",""),",","")),"")</f>
        <v>899</v>
      </c>
      <c r="F689" s="12">
        <f>IFERROR(VALUE(SUBSTITUTE(Raw_Data!E689,"%",""))/100,"")</f>
        <v>0.33</v>
      </c>
      <c r="G689" s="13">
        <f>IFERROR(VALUE(Raw_Data!F689),"")</f>
        <v>4</v>
      </c>
      <c r="H689" s="14">
        <f>IFERROR(VALUE(SUBSTITUTE(Raw_Data!G689,",","")),"")</f>
        <v>4018</v>
      </c>
      <c r="I689" s="11">
        <f t="shared" si="40"/>
        <v>300</v>
      </c>
      <c r="J689" s="11">
        <f t="shared" si="41"/>
        <v>2406782</v>
      </c>
      <c r="K689" s="1">
        <f t="shared" si="42"/>
        <v>4018.0000688999999</v>
      </c>
      <c r="L689" s="15">
        <f t="shared" si="43"/>
        <v>0.3300689</v>
      </c>
    </row>
    <row r="690" spans="1:12" ht="15" customHeight="1" x14ac:dyDescent="0.25">
      <c r="A690" s="10" t="str">
        <f>Raw_Data!A690</f>
        <v>Duracell Rechargeable AA 1300mAh Batteries, 4Pcs</v>
      </c>
      <c r="B690" s="10" t="str">
        <f>IFERROR(TRIM(LEFT(Raw_Data!A690,FIND(" ",Raw_Data!A690)-1)),Raw_Data!A690)</f>
        <v>Duracell</v>
      </c>
      <c r="C690" s="10" t="str">
        <f>IFERROR(LEFT(Raw_Data!B690,FIND("|",Raw_Data!B690)-1),Raw_Data!B690)</f>
        <v>Electronics</v>
      </c>
      <c r="D690" s="11">
        <f>IFERROR(VALUE(SUBSTITUTE(SUBSTITUTE(TRIM(Raw_Data!C690),"₹",""),",","")),"")</f>
        <v>479</v>
      </c>
      <c r="E690" s="11">
        <f>IFERROR(VALUE(SUBSTITUTE(SUBSTITUTE(TRIM(Raw_Data!D690),"₹",""),",","")),"")</f>
        <v>599</v>
      </c>
      <c r="F690" s="12">
        <f>IFERROR(VALUE(SUBSTITUTE(Raw_Data!E690,"%",""))/100,"")</f>
        <v>0.2</v>
      </c>
      <c r="G690" s="13">
        <f>IFERROR(VALUE(Raw_Data!F690),"")</f>
        <v>4.3</v>
      </c>
      <c r="H690" s="14">
        <f>IFERROR(VALUE(SUBSTITUTE(Raw_Data!G690,",","")),"")</f>
        <v>11687</v>
      </c>
      <c r="I690" s="11">
        <f t="shared" si="40"/>
        <v>120</v>
      </c>
      <c r="J690" s="11">
        <f t="shared" si="41"/>
        <v>5598073</v>
      </c>
      <c r="K690" s="1">
        <f t="shared" si="42"/>
        <v>11687.000069</v>
      </c>
      <c r="L690" s="15">
        <f t="shared" si="43"/>
        <v>0.20006900000000002</v>
      </c>
    </row>
    <row r="691" spans="1:12" ht="15" customHeight="1" x14ac:dyDescent="0.25">
      <c r="A691" s="10" t="str">
        <f>Raw_Data!A691</f>
        <v>Portronics Konnect CL 20W POR-1067 Type-C to 8 Pin USB 1.2M Cable with Power Delivery &amp; 3A Quick Charge Support, Nylon Braided for All Type-C and 8 Pin Devices, Green</v>
      </c>
      <c r="B691" s="10" t="str">
        <f>IFERROR(TRIM(LEFT(Raw_Data!A691,FIND(" ",Raw_Data!A691)-1)),Raw_Data!A691)</f>
        <v>Portronics</v>
      </c>
      <c r="C691" s="10" t="str">
        <f>IFERROR(LEFT(Raw_Data!B691,FIND("|",Raw_Data!B691)-1),Raw_Data!B691)</f>
        <v>Computers&amp;Accessories</v>
      </c>
      <c r="D691" s="11">
        <f>IFERROR(VALUE(SUBSTITUTE(SUBSTITUTE(TRIM(Raw_Data!C691),"₹",""),",","")),"")</f>
        <v>350</v>
      </c>
      <c r="E691" s="11">
        <f>IFERROR(VALUE(SUBSTITUTE(SUBSTITUTE(TRIM(Raw_Data!D691),"₹",""),",","")),"")</f>
        <v>899</v>
      </c>
      <c r="F691" s="12">
        <f>IFERROR(VALUE(SUBSTITUTE(Raw_Data!E691,"%",""))/100,"")</f>
        <v>0.61</v>
      </c>
      <c r="G691" s="13">
        <f>IFERROR(VALUE(Raw_Data!F691),"")</f>
        <v>4.2</v>
      </c>
      <c r="H691" s="14">
        <f>IFERROR(VALUE(SUBSTITUTE(Raw_Data!G691,",","")),"")</f>
        <v>2262</v>
      </c>
      <c r="I691" s="11">
        <f t="shared" si="40"/>
        <v>549</v>
      </c>
      <c r="J691" s="11">
        <f t="shared" si="41"/>
        <v>791700</v>
      </c>
      <c r="K691" s="1">
        <f t="shared" si="42"/>
        <v>2262.0000691</v>
      </c>
      <c r="L691" s="15">
        <f t="shared" si="43"/>
        <v>0.61006910000000003</v>
      </c>
    </row>
    <row r="692" spans="1:12" ht="15" customHeight="1" x14ac:dyDescent="0.25">
      <c r="A692" s="10" t="str">
        <f>Raw_Data!A692</f>
        <v>boAt Airdopes 181 in-Ear True Wireless Earbuds with ENx  Tech, Beast  Mode(Low Latency Upto 60ms) for Gaming, with Mic, ASAP  Charge, 20H Playtime, Bluetooth v5.2, IPX4 &amp; IWP (Cool Grey)</v>
      </c>
      <c r="B692" s="10" t="str">
        <f>IFERROR(TRIM(LEFT(Raw_Data!A692,FIND(" ",Raw_Data!A692)-1)),Raw_Data!A692)</f>
        <v>boAt</v>
      </c>
      <c r="C692" s="10" t="str">
        <f>IFERROR(LEFT(Raw_Data!B692,FIND("|",Raw_Data!B692)-1),Raw_Data!B692)</f>
        <v>Electronics</v>
      </c>
      <c r="D692" s="11">
        <f>IFERROR(VALUE(SUBSTITUTE(SUBSTITUTE(TRIM(Raw_Data!C692),"₹",""),",","")),"")</f>
        <v>1598</v>
      </c>
      <c r="E692" s="11">
        <f>IFERROR(VALUE(SUBSTITUTE(SUBSTITUTE(TRIM(Raw_Data!D692),"₹",""),",","")),"")</f>
        <v>2990</v>
      </c>
      <c r="F692" s="12">
        <f>IFERROR(VALUE(SUBSTITUTE(Raw_Data!E692,"%",""))/100,"")</f>
        <v>0.47</v>
      </c>
      <c r="G692" s="13">
        <f>IFERROR(VALUE(Raw_Data!F692),"")</f>
        <v>3.8</v>
      </c>
      <c r="H692" s="14">
        <f>IFERROR(VALUE(SUBSTITUTE(Raw_Data!G692,",","")),"")</f>
        <v>11015</v>
      </c>
      <c r="I692" s="11">
        <f t="shared" si="40"/>
        <v>1392</v>
      </c>
      <c r="J692" s="11">
        <f t="shared" si="41"/>
        <v>17601970</v>
      </c>
      <c r="K692" s="1">
        <f t="shared" si="42"/>
        <v>11015.000069199999</v>
      </c>
      <c r="L692" s="15">
        <f t="shared" si="43"/>
        <v>0.47006919999999996</v>
      </c>
    </row>
    <row r="693" spans="1:12" ht="15" customHeight="1" x14ac:dyDescent="0.25">
      <c r="A693" s="10" t="str">
        <f>Raw_Data!A693</f>
        <v>TP-Link USB Bluetooth Adapter for PC, 5.0 Bluetooth Dongle Receiver (UB500) Supports Windows 11/10/8.1/7 for Desktop, Laptop, Mouse, Keyboard, Printers, Headsets, Speakers, PS4/ Xbox Controllers</v>
      </c>
      <c r="B693" s="10" t="str">
        <f>IFERROR(TRIM(LEFT(Raw_Data!A693,FIND(" ",Raw_Data!A693)-1)),Raw_Data!A693)</f>
        <v>TP-Link</v>
      </c>
      <c r="C693" s="10" t="str">
        <f>IFERROR(LEFT(Raw_Data!B693,FIND("|",Raw_Data!B693)-1),Raw_Data!B693)</f>
        <v>Computers&amp;Accessories</v>
      </c>
      <c r="D693" s="11">
        <f>IFERROR(VALUE(SUBSTITUTE(SUBSTITUTE(TRIM(Raw_Data!C693),"₹",""),",","")),"")</f>
        <v>599</v>
      </c>
      <c r="E693" s="11">
        <f>IFERROR(VALUE(SUBSTITUTE(SUBSTITUTE(TRIM(Raw_Data!D693),"₹",""),",","")),"")</f>
        <v>899</v>
      </c>
      <c r="F693" s="12">
        <f>IFERROR(VALUE(SUBSTITUTE(Raw_Data!E693,"%",""))/100,"")</f>
        <v>0.33</v>
      </c>
      <c r="G693" s="13">
        <f>IFERROR(VALUE(Raw_Data!F693),"")</f>
        <v>4.3</v>
      </c>
      <c r="H693" s="14">
        <f>IFERROR(VALUE(SUBSTITUTE(Raw_Data!G693,",","")),"")</f>
        <v>95116</v>
      </c>
      <c r="I693" s="11">
        <f t="shared" si="40"/>
        <v>300</v>
      </c>
      <c r="J693" s="11">
        <f t="shared" si="41"/>
        <v>56974484</v>
      </c>
      <c r="K693" s="1">
        <f t="shared" si="42"/>
        <v>95116.000069300004</v>
      </c>
      <c r="L693" s="15">
        <f t="shared" si="43"/>
        <v>0.33006930000000001</v>
      </c>
    </row>
    <row r="694" spans="1:12" ht="15" customHeight="1" x14ac:dyDescent="0.25">
      <c r="A694" s="10" t="str">
        <f>Raw_Data!A694</f>
        <v>Portronics Konnect L 1.2M POR-1401 Fast Charging 3A 8 Pin USB Cable with Charge &amp; Sync Function (White)</v>
      </c>
      <c r="B694" s="10" t="str">
        <f>IFERROR(TRIM(LEFT(Raw_Data!A694,FIND(" ",Raw_Data!A694)-1)),Raw_Data!A694)</f>
        <v>Portronics</v>
      </c>
      <c r="C694" s="10" t="str">
        <f>IFERROR(LEFT(Raw_Data!B694,FIND("|",Raw_Data!B694)-1),Raw_Data!B694)</f>
        <v>Computers&amp;Accessories</v>
      </c>
      <c r="D694" s="11">
        <f>IFERROR(VALUE(SUBSTITUTE(SUBSTITUTE(TRIM(Raw_Data!C694),"₹",""),",","")),"")</f>
        <v>159</v>
      </c>
      <c r="E694" s="11">
        <f>IFERROR(VALUE(SUBSTITUTE(SUBSTITUTE(TRIM(Raw_Data!D694),"₹",""),",","")),"")</f>
        <v>399</v>
      </c>
      <c r="F694" s="12">
        <f>IFERROR(VALUE(SUBSTITUTE(Raw_Data!E694,"%",""))/100,"")</f>
        <v>0.6</v>
      </c>
      <c r="G694" s="13">
        <f>IFERROR(VALUE(Raw_Data!F694),"")</f>
        <v>4.0999999999999996</v>
      </c>
      <c r="H694" s="14">
        <f>IFERROR(VALUE(SUBSTITUTE(Raw_Data!G694,",","")),"")</f>
        <v>4768</v>
      </c>
      <c r="I694" s="11">
        <f t="shared" si="40"/>
        <v>240</v>
      </c>
      <c r="J694" s="11">
        <f t="shared" si="41"/>
        <v>758112</v>
      </c>
      <c r="K694" s="1">
        <f t="shared" si="42"/>
        <v>4768.0000694</v>
      </c>
      <c r="L694" s="15">
        <f t="shared" si="43"/>
        <v>0.60006939999999998</v>
      </c>
    </row>
    <row r="695" spans="1:12" ht="15" customHeight="1" x14ac:dyDescent="0.25">
      <c r="A695" s="10" t="str">
        <f>Raw_Data!A695</f>
        <v>SanDisk Ultra Dual Drive Luxe USB Type C Flash Drive (Silver, 128 GB, 5Y - SDDDC4-128G-I35)</v>
      </c>
      <c r="B695" s="10" t="str">
        <f>IFERROR(TRIM(LEFT(Raw_Data!A695,FIND(" ",Raw_Data!A695)-1)),Raw_Data!A695)</f>
        <v>SanDisk</v>
      </c>
      <c r="C695" s="10" t="str">
        <f>IFERROR(LEFT(Raw_Data!B695,FIND("|",Raw_Data!B695)-1),Raw_Data!B695)</f>
        <v>Computers&amp;Accessories</v>
      </c>
      <c r="D695" s="11">
        <f>IFERROR(VALUE(SUBSTITUTE(SUBSTITUTE(TRIM(Raw_Data!C695),"₹",""),",","")),"")</f>
        <v>1299</v>
      </c>
      <c r="E695" s="11">
        <f>IFERROR(VALUE(SUBSTITUTE(SUBSTITUTE(TRIM(Raw_Data!D695),"₹",""),",","")),"")</f>
        <v>3000</v>
      </c>
      <c r="F695" s="12">
        <f>IFERROR(VALUE(SUBSTITUTE(Raw_Data!E695,"%",""))/100,"")</f>
        <v>0.56999999999999995</v>
      </c>
      <c r="G695" s="13">
        <f>IFERROR(VALUE(Raw_Data!F695),"")</f>
        <v>4.3</v>
      </c>
      <c r="H695" s="14">
        <f>IFERROR(VALUE(SUBSTITUTE(Raw_Data!G695,",","")),"")</f>
        <v>23022</v>
      </c>
      <c r="I695" s="11">
        <f t="shared" si="40"/>
        <v>1701</v>
      </c>
      <c r="J695" s="11">
        <f t="shared" si="41"/>
        <v>29905578</v>
      </c>
      <c r="K695" s="1">
        <f t="shared" si="42"/>
        <v>23022.000069500002</v>
      </c>
      <c r="L695" s="15">
        <f t="shared" si="43"/>
        <v>0.5700694999999999</v>
      </c>
    </row>
    <row r="696" spans="1:12" ht="15" customHeight="1" x14ac:dyDescent="0.25">
      <c r="A696" s="10" t="str">
        <f>Raw_Data!A696</f>
        <v>Noise ColorFit Pulse Smartwatch with 3.56 cm (1.4") Full Touch HD Display, SpO2, Heart Rate, Sleep Monitors &amp; 10-Day Battery - Jet Black</v>
      </c>
      <c r="B696" s="10" t="str">
        <f>IFERROR(TRIM(LEFT(Raw_Data!A696,FIND(" ",Raw_Data!A696)-1)),Raw_Data!A696)</f>
        <v>Noise</v>
      </c>
      <c r="C696" s="10" t="str">
        <f>IFERROR(LEFT(Raw_Data!B696,FIND("|",Raw_Data!B696)-1),Raw_Data!B696)</f>
        <v>Electronics</v>
      </c>
      <c r="D696" s="11">
        <f>IFERROR(VALUE(SUBSTITUTE(SUBSTITUTE(TRIM(Raw_Data!C696),"₹",""),",","")),"")</f>
        <v>1599</v>
      </c>
      <c r="E696" s="11">
        <f>IFERROR(VALUE(SUBSTITUTE(SUBSTITUTE(TRIM(Raw_Data!D696),"₹",""),",","")),"")</f>
        <v>4999</v>
      </c>
      <c r="F696" s="12">
        <f>IFERROR(VALUE(SUBSTITUTE(Raw_Data!E696,"%",""))/100,"")</f>
        <v>0.68</v>
      </c>
      <c r="G696" s="13">
        <f>IFERROR(VALUE(Raw_Data!F696),"")</f>
        <v>4</v>
      </c>
      <c r="H696" s="14">
        <f>IFERROR(VALUE(SUBSTITUTE(Raw_Data!G696,",","")),"")</f>
        <v>67951</v>
      </c>
      <c r="I696" s="11">
        <f t="shared" si="40"/>
        <v>3400</v>
      </c>
      <c r="J696" s="11">
        <f t="shared" si="41"/>
        <v>108653649</v>
      </c>
      <c r="K696" s="1">
        <f t="shared" si="42"/>
        <v>67951.000069600006</v>
      </c>
      <c r="L696" s="15">
        <f t="shared" si="43"/>
        <v>0.68006960000000005</v>
      </c>
    </row>
    <row r="697" spans="1:12" ht="15" customHeight="1" x14ac:dyDescent="0.25">
      <c r="A697" s="10" t="str">
        <f>Raw_Data!A697</f>
        <v>rts [2 Pack] Mini USB C Type C Adapter Plug, Type C Female to USB A Male Charger Charging Cable Adapter Converter compatible for iPhone, Samsung S20 ultra/S21/S10/S8/S9/MacBook Pro iPad Silver</v>
      </c>
      <c r="B697" s="10" t="str">
        <f>IFERROR(TRIM(LEFT(Raw_Data!A697,FIND(" ",Raw_Data!A697)-1)),Raw_Data!A697)</f>
        <v>rts</v>
      </c>
      <c r="C697" s="10" t="str">
        <f>IFERROR(LEFT(Raw_Data!B697,FIND("|",Raw_Data!B697)-1),Raw_Data!B697)</f>
        <v>Computers&amp;Accessories</v>
      </c>
      <c r="D697" s="11">
        <f>IFERROR(VALUE(SUBSTITUTE(SUBSTITUTE(TRIM(Raw_Data!C697),"₹",""),",","")),"")</f>
        <v>294</v>
      </c>
      <c r="E697" s="11">
        <f>IFERROR(VALUE(SUBSTITUTE(SUBSTITUTE(TRIM(Raw_Data!D697),"₹",""),",","")),"")</f>
        <v>4999</v>
      </c>
      <c r="F697" s="12">
        <f>IFERROR(VALUE(SUBSTITUTE(Raw_Data!E697,"%",""))/100,"")</f>
        <v>0.94</v>
      </c>
      <c r="G697" s="13">
        <f>IFERROR(VALUE(Raw_Data!F697),"")</f>
        <v>4.3</v>
      </c>
      <c r="H697" s="14">
        <f>IFERROR(VALUE(SUBSTITUTE(Raw_Data!G697,",","")),"")</f>
        <v>4426</v>
      </c>
      <c r="I697" s="11">
        <f t="shared" si="40"/>
        <v>4705</v>
      </c>
      <c r="J697" s="11">
        <f t="shared" si="41"/>
        <v>1301244</v>
      </c>
      <c r="K697" s="1">
        <f t="shared" si="42"/>
        <v>4426.0000696999996</v>
      </c>
      <c r="L697" s="15">
        <f t="shared" si="43"/>
        <v>0.9400696999999999</v>
      </c>
    </row>
    <row r="698" spans="1:12" ht="15" customHeight="1" x14ac:dyDescent="0.25">
      <c r="A698" s="10" t="str">
        <f>Raw_Data!A698</f>
        <v>HP 682 Black Original Ink Cartridge</v>
      </c>
      <c r="B698" s="10" t="str">
        <f>IFERROR(TRIM(LEFT(Raw_Data!A698,FIND(" ",Raw_Data!A698)-1)),Raw_Data!A698)</f>
        <v>HP</v>
      </c>
      <c r="C698" s="10" t="str">
        <f>IFERROR(LEFT(Raw_Data!B698,FIND("|",Raw_Data!B698)-1),Raw_Data!B698)</f>
        <v>Computers&amp;Accessories</v>
      </c>
      <c r="D698" s="11">
        <f>IFERROR(VALUE(SUBSTITUTE(SUBSTITUTE(TRIM(Raw_Data!C698),"₹",""),",","")),"")</f>
        <v>828</v>
      </c>
      <c r="E698" s="11">
        <f>IFERROR(VALUE(SUBSTITUTE(SUBSTITUTE(TRIM(Raw_Data!D698),"₹",""),",","")),"")</f>
        <v>861</v>
      </c>
      <c r="F698" s="12">
        <f>IFERROR(VALUE(SUBSTITUTE(Raw_Data!E698,"%",""))/100,"")</f>
        <v>0.04</v>
      </c>
      <c r="G698" s="13">
        <f>IFERROR(VALUE(Raw_Data!F698),"")</f>
        <v>4.2</v>
      </c>
      <c r="H698" s="14">
        <f>IFERROR(VALUE(SUBSTITUTE(Raw_Data!G698,",","")),"")</f>
        <v>4567</v>
      </c>
      <c r="I698" s="11">
        <f t="shared" si="40"/>
        <v>33</v>
      </c>
      <c r="J698" s="11">
        <f t="shared" si="41"/>
        <v>3781476</v>
      </c>
      <c r="K698" s="1">
        <f t="shared" si="42"/>
        <v>4567.0000698000003</v>
      </c>
      <c r="L698" s="15">
        <f t="shared" si="43"/>
        <v>4.0069800000000003E-2</v>
      </c>
    </row>
    <row r="699" spans="1:12" ht="15" customHeight="1" x14ac:dyDescent="0.25">
      <c r="A699" s="10" t="str">
        <f>Raw_Data!A699</f>
        <v>Logitech H111 Wired On Ear Headphones With Mic Black</v>
      </c>
      <c r="B699" s="10" t="str">
        <f>IFERROR(TRIM(LEFT(Raw_Data!A699,FIND(" ",Raw_Data!A699)-1)),Raw_Data!A699)</f>
        <v>Logitech</v>
      </c>
      <c r="C699" s="10" t="str">
        <f>IFERROR(LEFT(Raw_Data!B699,FIND("|",Raw_Data!B699)-1),Raw_Data!B699)</f>
        <v>Electronics</v>
      </c>
      <c r="D699" s="11">
        <f>IFERROR(VALUE(SUBSTITUTE(SUBSTITUTE(TRIM(Raw_Data!C699),"₹",""),",","")),"")</f>
        <v>745</v>
      </c>
      <c r="E699" s="11">
        <f>IFERROR(VALUE(SUBSTITUTE(SUBSTITUTE(TRIM(Raw_Data!D699),"₹",""),",","")),"")</f>
        <v>795</v>
      </c>
      <c r="F699" s="12">
        <f>IFERROR(VALUE(SUBSTITUTE(Raw_Data!E699,"%",""))/100,"")</f>
        <v>0.06</v>
      </c>
      <c r="G699" s="13">
        <f>IFERROR(VALUE(Raw_Data!F699),"")</f>
        <v>4</v>
      </c>
      <c r="H699" s="14">
        <f>IFERROR(VALUE(SUBSTITUTE(Raw_Data!G699,",","")),"")</f>
        <v>13797</v>
      </c>
      <c r="I699" s="11">
        <f t="shared" si="40"/>
        <v>50</v>
      </c>
      <c r="J699" s="11">
        <f t="shared" si="41"/>
        <v>10278765</v>
      </c>
      <c r="K699" s="1">
        <f t="shared" si="42"/>
        <v>13797.000069899999</v>
      </c>
      <c r="L699" s="15">
        <f t="shared" si="43"/>
        <v>6.0069899999999996E-2</v>
      </c>
    </row>
    <row r="700" spans="1:12" ht="15" customHeight="1" x14ac:dyDescent="0.25">
      <c r="A700" s="10" t="str">
        <f>Raw_Data!A700</f>
        <v>Digitek DTR 550 LW (67 Inch) Tripod For DSLR, Camera |Operating Height: 5.57 Feet | Maximum Load Capacity up to 4.5kg | Portable Lightweight Aluminum Tripod with 360 Degree Ball Head | Carry Bag Included (Black) (DTR 550LW)</v>
      </c>
      <c r="B700" s="10" t="str">
        <f>IFERROR(TRIM(LEFT(Raw_Data!A700,FIND(" ",Raw_Data!A700)-1)),Raw_Data!A700)</f>
        <v>Digitek</v>
      </c>
      <c r="C700" s="10" t="str">
        <f>IFERROR(LEFT(Raw_Data!B700,FIND("|",Raw_Data!B700)-1),Raw_Data!B700)</f>
        <v>Electronics</v>
      </c>
      <c r="D700" s="11">
        <f>IFERROR(VALUE(SUBSTITUTE(SUBSTITUTE(TRIM(Raw_Data!C700),"₹",""),",","")),"")</f>
        <v>1549</v>
      </c>
      <c r="E700" s="11">
        <f>IFERROR(VALUE(SUBSTITUTE(SUBSTITUTE(TRIM(Raw_Data!D700),"₹",""),",","")),"")</f>
        <v>2495</v>
      </c>
      <c r="F700" s="12">
        <f>IFERROR(VALUE(SUBSTITUTE(Raw_Data!E700,"%",""))/100,"")</f>
        <v>0.38</v>
      </c>
      <c r="G700" s="13">
        <f>IFERROR(VALUE(Raw_Data!F700),"")</f>
        <v>4.4000000000000004</v>
      </c>
      <c r="H700" s="14">
        <f>IFERROR(VALUE(SUBSTITUTE(Raw_Data!G700,",","")),"")</f>
        <v>15137</v>
      </c>
      <c r="I700" s="11">
        <f t="shared" si="40"/>
        <v>946</v>
      </c>
      <c r="J700" s="11">
        <f t="shared" si="41"/>
        <v>23447213</v>
      </c>
      <c r="K700" s="1">
        <f t="shared" si="42"/>
        <v>15137.00007</v>
      </c>
      <c r="L700" s="15">
        <f t="shared" si="43"/>
        <v>0.38007000000000002</v>
      </c>
    </row>
    <row r="701" spans="1:12" ht="15" customHeight="1" x14ac:dyDescent="0.25">
      <c r="A701" s="10" t="str">
        <f>Raw_Data!A701</f>
        <v>MI Braided USB Type-C Cable for Charging Adapter (Red)</v>
      </c>
      <c r="B701" s="10" t="str">
        <f>IFERROR(TRIM(LEFT(Raw_Data!A701,FIND(" ",Raw_Data!A701)-1)),Raw_Data!A701)</f>
        <v>MI</v>
      </c>
      <c r="C701" s="10" t="str">
        <f>IFERROR(LEFT(Raw_Data!B701,FIND("|",Raw_Data!B701)-1),Raw_Data!B701)</f>
        <v>Computers&amp;Accessories</v>
      </c>
      <c r="D701" s="11">
        <f>IFERROR(VALUE(SUBSTITUTE(SUBSTITUTE(TRIM(Raw_Data!C701),"₹",""),",","")),"")</f>
        <v>349</v>
      </c>
      <c r="E701" s="11">
        <f>IFERROR(VALUE(SUBSTITUTE(SUBSTITUTE(TRIM(Raw_Data!D701),"₹",""),",","")),"")</f>
        <v>399</v>
      </c>
      <c r="F701" s="12">
        <f>IFERROR(VALUE(SUBSTITUTE(Raw_Data!E701,"%",""))/100,"")</f>
        <v>0.13</v>
      </c>
      <c r="G701" s="13">
        <f>IFERROR(VALUE(Raw_Data!F701),"")</f>
        <v>4.4000000000000004</v>
      </c>
      <c r="H701" s="14">
        <f>IFERROR(VALUE(SUBSTITUTE(Raw_Data!G701,",","")),"")</f>
        <v>18757</v>
      </c>
      <c r="I701" s="11">
        <f t="shared" si="40"/>
        <v>50</v>
      </c>
      <c r="J701" s="11">
        <f t="shared" si="41"/>
        <v>6546193</v>
      </c>
      <c r="K701" s="1">
        <f t="shared" si="42"/>
        <v>18757.000070099999</v>
      </c>
      <c r="L701" s="15">
        <f t="shared" si="43"/>
        <v>0.13007009999999999</v>
      </c>
    </row>
    <row r="702" spans="1:12" ht="15" customHeight="1" x14ac:dyDescent="0.25">
      <c r="A702" s="10" t="str">
        <f>Raw_Data!A702</f>
        <v>Duracell USB Lightning Apple Certified (Mfi) Braided Sync &amp; Charge Cable For Iphone, Ipad And Ipod. Fast Charging Lightning Cable, 3.9 Feet (1.2M) - Black</v>
      </c>
      <c r="B702" s="10" t="str">
        <f>IFERROR(TRIM(LEFT(Raw_Data!A702,FIND(" ",Raw_Data!A702)-1)),Raw_Data!A702)</f>
        <v>Duracell</v>
      </c>
      <c r="C702" s="10" t="str">
        <f>IFERROR(LEFT(Raw_Data!B702,FIND("|",Raw_Data!B702)-1),Raw_Data!B702)</f>
        <v>Computers&amp;Accessories</v>
      </c>
      <c r="D702" s="11">
        <f>IFERROR(VALUE(SUBSTITUTE(SUBSTITUTE(TRIM(Raw_Data!C702),"₹",""),",","")),"")</f>
        <v>970</v>
      </c>
      <c r="E702" s="11">
        <f>IFERROR(VALUE(SUBSTITUTE(SUBSTITUTE(TRIM(Raw_Data!D702),"₹",""),",","")),"")</f>
        <v>1799</v>
      </c>
      <c r="F702" s="12">
        <f>IFERROR(VALUE(SUBSTITUTE(Raw_Data!E702,"%",""))/100,"")</f>
        <v>0.46</v>
      </c>
      <c r="G702" s="13">
        <f>IFERROR(VALUE(Raw_Data!F702),"")</f>
        <v>4.5</v>
      </c>
      <c r="H702" s="14">
        <f>IFERROR(VALUE(SUBSTITUTE(Raw_Data!G702,",","")),"")</f>
        <v>815</v>
      </c>
      <c r="I702" s="11">
        <f t="shared" si="40"/>
        <v>829</v>
      </c>
      <c r="J702" s="11">
        <f t="shared" si="41"/>
        <v>790550</v>
      </c>
      <c r="K702" s="1">
        <f t="shared" si="42"/>
        <v>815.00007019999998</v>
      </c>
      <c r="L702" s="15">
        <f t="shared" si="43"/>
        <v>0.46007020000000004</v>
      </c>
    </row>
    <row r="703" spans="1:12" ht="15" customHeight="1" x14ac:dyDescent="0.25">
      <c r="A703" s="10" t="str">
        <f>Raw_Data!A703</f>
        <v>TP-Link TL-WA850RE Single_Band 300Mbps RJ45 Wireless Range Extender, Broadband/Wi-Fi Extender, Wi-Fi Booster/Hotspot with 1 Ethernet Port, Plug and Play, Built-in Access Point Mode, White</v>
      </c>
      <c r="B703" s="10" t="str">
        <f>IFERROR(TRIM(LEFT(Raw_Data!A703,FIND(" ",Raw_Data!A703)-1)),Raw_Data!A703)</f>
        <v>TP-Link</v>
      </c>
      <c r="C703" s="10" t="str">
        <f>IFERROR(LEFT(Raw_Data!B703,FIND("|",Raw_Data!B703)-1),Raw_Data!B703)</f>
        <v>Computers&amp;Accessories</v>
      </c>
      <c r="D703" s="11">
        <f>IFERROR(VALUE(SUBSTITUTE(SUBSTITUTE(TRIM(Raw_Data!C703),"₹",""),",","")),"")</f>
        <v>1469</v>
      </c>
      <c r="E703" s="11">
        <f>IFERROR(VALUE(SUBSTITUTE(SUBSTITUTE(TRIM(Raw_Data!D703),"₹",""),",","")),"")</f>
        <v>2499</v>
      </c>
      <c r="F703" s="12">
        <f>IFERROR(VALUE(SUBSTITUTE(Raw_Data!E703,"%",""))/100,"")</f>
        <v>0.41</v>
      </c>
      <c r="G703" s="13">
        <f>IFERROR(VALUE(Raw_Data!F703),"")</f>
        <v>4.2</v>
      </c>
      <c r="H703" s="14">
        <f>IFERROR(VALUE(SUBSTITUTE(Raw_Data!G703,",","")),"")</f>
        <v>156638</v>
      </c>
      <c r="I703" s="11">
        <f t="shared" si="40"/>
        <v>1030</v>
      </c>
      <c r="J703" s="11">
        <f t="shared" si="41"/>
        <v>230101222</v>
      </c>
      <c r="K703" s="1">
        <f t="shared" si="42"/>
        <v>156638.00007030001</v>
      </c>
      <c r="L703" s="15">
        <f t="shared" si="43"/>
        <v>0.4100703</v>
      </c>
    </row>
    <row r="704" spans="1:12" ht="15" customHeight="1" x14ac:dyDescent="0.25">
      <c r="A704" s="10" t="str">
        <f>Raw_Data!A704</f>
        <v>COI Note Pad/Memo Book with Sticky Notes &amp; Clip Holder with Pen for Gifting</v>
      </c>
      <c r="B704" s="10" t="str">
        <f>IFERROR(TRIM(LEFT(Raw_Data!A704,FIND(" ",Raw_Data!A704)-1)),Raw_Data!A704)</f>
        <v>COI</v>
      </c>
      <c r="C704" s="10" t="str">
        <f>IFERROR(LEFT(Raw_Data!B704,FIND("|",Raw_Data!B704)-1),Raw_Data!B704)</f>
        <v>OfficeProducts</v>
      </c>
      <c r="D704" s="11">
        <f>IFERROR(VALUE(SUBSTITUTE(SUBSTITUTE(TRIM(Raw_Data!C704),"₹",""),",","")),"")</f>
        <v>198</v>
      </c>
      <c r="E704" s="11">
        <f>IFERROR(VALUE(SUBSTITUTE(SUBSTITUTE(TRIM(Raw_Data!D704),"₹",""),",","")),"")</f>
        <v>800</v>
      </c>
      <c r="F704" s="12">
        <f>IFERROR(VALUE(SUBSTITUTE(Raw_Data!E704,"%",""))/100,"")</f>
        <v>0.75</v>
      </c>
      <c r="G704" s="13">
        <f>IFERROR(VALUE(Raw_Data!F704),"")</f>
        <v>4.0999999999999996</v>
      </c>
      <c r="H704" s="14">
        <f>IFERROR(VALUE(SUBSTITUTE(Raw_Data!G704,",","")),"")</f>
        <v>9344</v>
      </c>
      <c r="I704" s="11">
        <f t="shared" si="40"/>
        <v>602</v>
      </c>
      <c r="J704" s="11">
        <f t="shared" si="41"/>
        <v>1850112</v>
      </c>
      <c r="K704" s="1">
        <f t="shared" si="42"/>
        <v>9344.0000703999995</v>
      </c>
      <c r="L704" s="15">
        <f t="shared" si="43"/>
        <v>0.75007040000000003</v>
      </c>
    </row>
    <row r="705" spans="1:12" ht="15" customHeight="1" x14ac:dyDescent="0.25">
      <c r="A705" s="10" t="str">
        <f>Raw_Data!A705</f>
        <v>Fujifilm Instax Mini Single Pack 10 Sheets Instant Film for Fuji Instant Cameras</v>
      </c>
      <c r="B705" s="10" t="str">
        <f>IFERROR(TRIM(LEFT(Raw_Data!A705,FIND(" ",Raw_Data!A705)-1)),Raw_Data!A705)</f>
        <v>Fujifilm</v>
      </c>
      <c r="C705" s="10" t="str">
        <f>IFERROR(LEFT(Raw_Data!B705,FIND("|",Raw_Data!B705)-1),Raw_Data!B705)</f>
        <v>Electronics</v>
      </c>
      <c r="D705" s="11">
        <f>IFERROR(VALUE(SUBSTITUTE(SUBSTITUTE(TRIM(Raw_Data!C705),"₹",""),",","")),"")</f>
        <v>549</v>
      </c>
      <c r="E705" s="11">
        <f>IFERROR(VALUE(SUBSTITUTE(SUBSTITUTE(TRIM(Raw_Data!D705),"₹",""),",","")),"")</f>
        <v>549</v>
      </c>
      <c r="F705" s="12">
        <f>IFERROR(VALUE(SUBSTITUTE(Raw_Data!E705,"%",""))/100,"")</f>
        <v>0</v>
      </c>
      <c r="G705" s="13">
        <f>IFERROR(VALUE(Raw_Data!F705),"")</f>
        <v>4.5</v>
      </c>
      <c r="H705" s="14">
        <f>IFERROR(VALUE(SUBSTITUTE(Raw_Data!G705,",","")),"")</f>
        <v>4875</v>
      </c>
      <c r="I705" s="11">
        <f t="shared" si="40"/>
        <v>0</v>
      </c>
      <c r="J705" s="11">
        <f t="shared" si="41"/>
        <v>2676375</v>
      </c>
      <c r="K705" s="1">
        <f t="shared" si="42"/>
        <v>4875.0000705000002</v>
      </c>
      <c r="L705" s="15">
        <f t="shared" si="43"/>
        <v>7.0500000000000006E-5</v>
      </c>
    </row>
    <row r="706" spans="1:12" ht="15" customHeight="1" x14ac:dyDescent="0.25">
      <c r="A706" s="10" t="str">
        <f>Raw_Data!A706</f>
        <v>Fire-Boltt Ring 3 Smart Watch 1.8 Biggest Display with Advanced Bluetooth Calling Chip, Voice Assistance,118 Sports Modes, in Built Calculator &amp; Games, SpO2, Heart Rate Monitoring</v>
      </c>
      <c r="B706" s="10" t="str">
        <f>IFERROR(TRIM(LEFT(Raw_Data!A706,FIND(" ",Raw_Data!A706)-1)),Raw_Data!A706)</f>
        <v>Fire-Boltt</v>
      </c>
      <c r="C706" s="10" t="str">
        <f>IFERROR(LEFT(Raw_Data!B706,FIND("|",Raw_Data!B706)-1),Raw_Data!B706)</f>
        <v>Electronics</v>
      </c>
      <c r="D706" s="11">
        <f>IFERROR(VALUE(SUBSTITUTE(SUBSTITUTE(TRIM(Raw_Data!C706),"₹",""),",","")),"")</f>
        <v>2999</v>
      </c>
      <c r="E706" s="11">
        <f>IFERROR(VALUE(SUBSTITUTE(SUBSTITUTE(TRIM(Raw_Data!D706),"₹",""),",","")),"")</f>
        <v>9999</v>
      </c>
      <c r="F706" s="12">
        <f>IFERROR(VALUE(SUBSTITUTE(Raw_Data!E706,"%",""))/100,"")</f>
        <v>0.7</v>
      </c>
      <c r="G706" s="13">
        <f>IFERROR(VALUE(Raw_Data!F706),"")</f>
        <v>4.2</v>
      </c>
      <c r="H706" s="14">
        <f>IFERROR(VALUE(SUBSTITUTE(Raw_Data!G706,",","")),"")</f>
        <v>20881</v>
      </c>
      <c r="I706" s="11">
        <f t="shared" ref="I706:I769" si="44">IFERROR(E706-D706,"")</f>
        <v>7000</v>
      </c>
      <c r="J706" s="11">
        <f t="shared" ref="J706:J769" si="45">IFERROR(D706*H706,"")</f>
        <v>62622119</v>
      </c>
      <c r="K706" s="1">
        <f t="shared" ref="K706:K769" si="46">IF(ISNUMBER(H706),H706+ROW()/10000000,"")</f>
        <v>20881.000070599999</v>
      </c>
      <c r="L706" s="15">
        <f t="shared" ref="L706:L769" si="47">IF(ISNUMBER(F706),F706+ROW()/10000000,"")</f>
        <v>0.70007059999999999</v>
      </c>
    </row>
    <row r="707" spans="1:12" ht="15" customHeight="1" x14ac:dyDescent="0.25">
      <c r="A707" s="10" t="str">
        <f>Raw_Data!A707</f>
        <v>Samsung Galaxy Watch4 Bluetooth(4.4 cm, Black, Compatible with Android only)</v>
      </c>
      <c r="B707" s="10" t="str">
        <f>IFERROR(TRIM(LEFT(Raw_Data!A707,FIND(" ",Raw_Data!A707)-1)),Raw_Data!A707)</f>
        <v>Samsung</v>
      </c>
      <c r="C707" s="10" t="str">
        <f>IFERROR(LEFT(Raw_Data!B707,FIND("|",Raw_Data!B707)-1),Raw_Data!B707)</f>
        <v>Electronics</v>
      </c>
      <c r="D707" s="11">
        <f>IFERROR(VALUE(SUBSTITUTE(SUBSTITUTE(TRIM(Raw_Data!C707),"₹",""),",","")),"")</f>
        <v>12000</v>
      </c>
      <c r="E707" s="11">
        <f>IFERROR(VALUE(SUBSTITUTE(SUBSTITUTE(TRIM(Raw_Data!D707),"₹",""),",","")),"")</f>
        <v>29999</v>
      </c>
      <c r="F707" s="12">
        <f>IFERROR(VALUE(SUBSTITUTE(Raw_Data!E707,"%",""))/100,"")</f>
        <v>0.6</v>
      </c>
      <c r="G707" s="13">
        <f>IFERROR(VALUE(Raw_Data!F707),"")</f>
        <v>4.3</v>
      </c>
      <c r="H707" s="14">
        <f>IFERROR(VALUE(SUBSTITUTE(Raw_Data!G707,",","")),"")</f>
        <v>4744</v>
      </c>
      <c r="I707" s="11">
        <f t="shared" si="44"/>
        <v>17999</v>
      </c>
      <c r="J707" s="11">
        <f t="shared" si="45"/>
        <v>56928000</v>
      </c>
      <c r="K707" s="1">
        <f t="shared" si="46"/>
        <v>4744.0000706999999</v>
      </c>
      <c r="L707" s="15">
        <f t="shared" si="47"/>
        <v>0.60007069999999996</v>
      </c>
    </row>
    <row r="708" spans="1:12" ht="15" customHeight="1" x14ac:dyDescent="0.25">
      <c r="A708" s="10" t="str">
        <f>Raw_Data!A708</f>
        <v>Noise Buds Vs104 Bluetooth Truly Wireless in Ear Earbuds with Mic, 30-Hours of Playtime, Instacharge, 13Mm Driver and Hyper Sync (Charcoal Black)</v>
      </c>
      <c r="B708" s="10" t="str">
        <f>IFERROR(TRIM(LEFT(Raw_Data!A708,FIND(" ",Raw_Data!A708)-1)),Raw_Data!A708)</f>
        <v>Noise</v>
      </c>
      <c r="C708" s="10" t="str">
        <f>IFERROR(LEFT(Raw_Data!B708,FIND("|",Raw_Data!B708)-1),Raw_Data!B708)</f>
        <v>Electronics</v>
      </c>
      <c r="D708" s="11">
        <f>IFERROR(VALUE(SUBSTITUTE(SUBSTITUTE(TRIM(Raw_Data!C708),"₹",""),",","")),"")</f>
        <v>1299</v>
      </c>
      <c r="E708" s="11">
        <f>IFERROR(VALUE(SUBSTITUTE(SUBSTITUTE(TRIM(Raw_Data!D708),"₹",""),",","")),"")</f>
        <v>3499</v>
      </c>
      <c r="F708" s="12">
        <f>IFERROR(VALUE(SUBSTITUTE(Raw_Data!E708,"%",""))/100,"")</f>
        <v>0.63</v>
      </c>
      <c r="G708" s="13">
        <f>IFERROR(VALUE(Raw_Data!F708),"")</f>
        <v>3.9</v>
      </c>
      <c r="H708" s="14">
        <f>IFERROR(VALUE(SUBSTITUTE(Raw_Data!G708,",","")),"")</f>
        <v>12452</v>
      </c>
      <c r="I708" s="11">
        <f t="shared" si="44"/>
        <v>2200</v>
      </c>
      <c r="J708" s="11">
        <f t="shared" si="45"/>
        <v>16175148</v>
      </c>
      <c r="K708" s="1">
        <f t="shared" si="46"/>
        <v>12452.000070800001</v>
      </c>
      <c r="L708" s="15">
        <f t="shared" si="47"/>
        <v>0.63007080000000004</v>
      </c>
    </row>
    <row r="709" spans="1:12" ht="15" customHeight="1" x14ac:dyDescent="0.25">
      <c r="A709" s="10" t="str">
        <f>Raw_Data!A709</f>
        <v>Duracell Ultra Alkaline AAA Battery, 8 Pcs</v>
      </c>
      <c r="B709" s="10" t="str">
        <f>IFERROR(TRIM(LEFT(Raw_Data!A709,FIND(" ",Raw_Data!A709)-1)),Raw_Data!A709)</f>
        <v>Duracell</v>
      </c>
      <c r="C709" s="10" t="str">
        <f>IFERROR(LEFT(Raw_Data!B709,FIND("|",Raw_Data!B709)-1),Raw_Data!B709)</f>
        <v>Electronics</v>
      </c>
      <c r="D709" s="11">
        <f>IFERROR(VALUE(SUBSTITUTE(SUBSTITUTE(TRIM(Raw_Data!C709),"₹",""),",","")),"")</f>
        <v>269</v>
      </c>
      <c r="E709" s="11">
        <f>IFERROR(VALUE(SUBSTITUTE(SUBSTITUTE(TRIM(Raw_Data!D709),"₹",""),",","")),"")</f>
        <v>315</v>
      </c>
      <c r="F709" s="12">
        <f>IFERROR(VALUE(SUBSTITUTE(Raw_Data!E709,"%",""))/100,"")</f>
        <v>0.15</v>
      </c>
      <c r="G709" s="13">
        <f>IFERROR(VALUE(Raw_Data!F709),"")</f>
        <v>4.5</v>
      </c>
      <c r="H709" s="14">
        <f>IFERROR(VALUE(SUBSTITUTE(Raw_Data!G709,",","")),"")</f>
        <v>17810</v>
      </c>
      <c r="I709" s="11">
        <f t="shared" si="44"/>
        <v>46</v>
      </c>
      <c r="J709" s="11">
        <f t="shared" si="45"/>
        <v>4790890</v>
      </c>
      <c r="K709" s="1">
        <f t="shared" si="46"/>
        <v>17810.000070900001</v>
      </c>
      <c r="L709" s="15">
        <f t="shared" si="47"/>
        <v>0.15007090000000001</v>
      </c>
    </row>
    <row r="710" spans="1:12" ht="15" customHeight="1" x14ac:dyDescent="0.25">
      <c r="A710" s="10" t="str">
        <f>Raw_Data!A710</f>
        <v>JBL C200SI, Premium in Ear Wired Earphones with Mic, Signature Sound, One Button Multi-Function Remote, Angled Earbuds for Comfort fit (Blue)</v>
      </c>
      <c r="B710" s="10" t="str">
        <f>IFERROR(TRIM(LEFT(Raw_Data!A710,FIND(" ",Raw_Data!A710)-1)),Raw_Data!A710)</f>
        <v>JBL</v>
      </c>
      <c r="C710" s="10" t="str">
        <f>IFERROR(LEFT(Raw_Data!B710,FIND("|",Raw_Data!B710)-1),Raw_Data!B710)</f>
        <v>Electronics</v>
      </c>
      <c r="D710" s="11">
        <f>IFERROR(VALUE(SUBSTITUTE(SUBSTITUTE(TRIM(Raw_Data!C710),"₹",""),",","")),"")</f>
        <v>799</v>
      </c>
      <c r="E710" s="11">
        <f>IFERROR(VALUE(SUBSTITUTE(SUBSTITUTE(TRIM(Raw_Data!D710),"₹",""),",","")),"")</f>
        <v>1499</v>
      </c>
      <c r="F710" s="12">
        <f>IFERROR(VALUE(SUBSTITUTE(Raw_Data!E710,"%",""))/100,"")</f>
        <v>0.47</v>
      </c>
      <c r="G710" s="13">
        <f>IFERROR(VALUE(Raw_Data!F710),"")</f>
        <v>4.0999999999999996</v>
      </c>
      <c r="H710" s="14">
        <f>IFERROR(VALUE(SUBSTITUTE(Raw_Data!G710,",","")),"")</f>
        <v>53648</v>
      </c>
      <c r="I710" s="11">
        <f t="shared" si="44"/>
        <v>700</v>
      </c>
      <c r="J710" s="11">
        <f t="shared" si="45"/>
        <v>42864752</v>
      </c>
      <c r="K710" s="1">
        <f t="shared" si="46"/>
        <v>53648.000071000002</v>
      </c>
      <c r="L710" s="15">
        <f t="shared" si="47"/>
        <v>0.47007099999999996</v>
      </c>
    </row>
    <row r="711" spans="1:12" ht="15" customHeight="1" x14ac:dyDescent="0.25">
      <c r="A711" s="10" t="str">
        <f>Raw_Data!A711</f>
        <v>Acer EK220Q 21.5 Inch (54.61 cm) Full HD (1920x1080) VA Panel LCD Monitor with LED Back Light I 250 Nits I HDMI, VGA Ports I Eye Care Features Like Bluelight Shield, Flickerless &amp; Comfy View (Black)</v>
      </c>
      <c r="B711" s="10" t="str">
        <f>IFERROR(TRIM(LEFT(Raw_Data!A711,FIND(" ",Raw_Data!A711)-1)),Raw_Data!A711)</f>
        <v>Acer</v>
      </c>
      <c r="C711" s="10" t="str">
        <f>IFERROR(LEFT(Raw_Data!B711,FIND("|",Raw_Data!B711)-1),Raw_Data!B711)</f>
        <v>Computers&amp;Accessories</v>
      </c>
      <c r="D711" s="11">
        <f>IFERROR(VALUE(SUBSTITUTE(SUBSTITUTE(TRIM(Raw_Data!C711),"₹",""),",","")),"")</f>
        <v>6299</v>
      </c>
      <c r="E711" s="11">
        <f>IFERROR(VALUE(SUBSTITUTE(SUBSTITUTE(TRIM(Raw_Data!D711),"₹",""),",","")),"")</f>
        <v>13750</v>
      </c>
      <c r="F711" s="12">
        <f>IFERROR(VALUE(SUBSTITUTE(Raw_Data!E711,"%",""))/100,"")</f>
        <v>0.54</v>
      </c>
      <c r="G711" s="13">
        <f>IFERROR(VALUE(Raw_Data!F711),"")</f>
        <v>4.2</v>
      </c>
      <c r="H711" s="14">
        <f>IFERROR(VALUE(SUBSTITUTE(Raw_Data!G711,",","")),"")</f>
        <v>2014</v>
      </c>
      <c r="I711" s="11">
        <f t="shared" si="44"/>
        <v>7451</v>
      </c>
      <c r="J711" s="11">
        <f t="shared" si="45"/>
        <v>12686186</v>
      </c>
      <c r="K711" s="1">
        <f t="shared" si="46"/>
        <v>2014.0000711</v>
      </c>
      <c r="L711" s="15">
        <f t="shared" si="47"/>
        <v>0.54007110000000003</v>
      </c>
    </row>
    <row r="712" spans="1:12" ht="15" customHeight="1" x14ac:dyDescent="0.25">
      <c r="A712" s="10" t="str">
        <f>Raw_Data!A712</f>
        <v>E-COSMOS 5V 1.2W Portable Flexible USB LED Light (Colors May Vary, Small) - Set of 2 Pieces</v>
      </c>
      <c r="B712" s="10" t="str">
        <f>IFERROR(TRIM(LEFT(Raw_Data!A712,FIND(" ",Raw_Data!A712)-1)),Raw_Data!A712)</f>
        <v>E-COSMOS</v>
      </c>
      <c r="C712" s="10" t="str">
        <f>IFERROR(LEFT(Raw_Data!B712,FIND("|",Raw_Data!B712)-1),Raw_Data!B712)</f>
        <v>Computers&amp;Accessories</v>
      </c>
      <c r="D712" s="11">
        <f>IFERROR(VALUE(SUBSTITUTE(SUBSTITUTE(TRIM(Raw_Data!C712),"₹",""),",","")),"")</f>
        <v>59</v>
      </c>
      <c r="E712" s="11">
        <f>IFERROR(VALUE(SUBSTITUTE(SUBSTITUTE(TRIM(Raw_Data!D712),"₹",""),",","")),"")</f>
        <v>59</v>
      </c>
      <c r="F712" s="12">
        <f>IFERROR(VALUE(SUBSTITUTE(Raw_Data!E712,"%",""))/100,"")</f>
        <v>0</v>
      </c>
      <c r="G712" s="13">
        <f>IFERROR(VALUE(Raw_Data!F712),"")</f>
        <v>3.8</v>
      </c>
      <c r="H712" s="14">
        <f>IFERROR(VALUE(SUBSTITUTE(Raw_Data!G712,",","")),"")</f>
        <v>5958</v>
      </c>
      <c r="I712" s="11">
        <f t="shared" si="44"/>
        <v>0</v>
      </c>
      <c r="J712" s="11">
        <f t="shared" si="45"/>
        <v>351522</v>
      </c>
      <c r="K712" s="1">
        <f t="shared" si="46"/>
        <v>5958.0000712000001</v>
      </c>
      <c r="L712" s="15">
        <f t="shared" si="47"/>
        <v>7.1199999999999996E-5</v>
      </c>
    </row>
    <row r="713" spans="1:12" ht="15" customHeight="1" x14ac:dyDescent="0.25">
      <c r="A713" s="10" t="str">
        <f>Raw_Data!A713</f>
        <v>boAt Dual Port Rapid Car Charger (Qualcomm Certified) with Quick Charge 3.0 + Free Micro USB Cable - (Black)</v>
      </c>
      <c r="B713" s="10" t="str">
        <f>IFERROR(TRIM(LEFT(Raw_Data!A713,FIND(" ",Raw_Data!A713)-1)),Raw_Data!A713)</f>
        <v>boAt</v>
      </c>
      <c r="C713" s="10" t="str">
        <f>IFERROR(LEFT(Raw_Data!B713,FIND("|",Raw_Data!B713)-1),Raw_Data!B713)</f>
        <v>Electronics</v>
      </c>
      <c r="D713" s="11">
        <f>IFERROR(VALUE(SUBSTITUTE(SUBSTITUTE(TRIM(Raw_Data!C713),"₹",""),",","")),"")</f>
        <v>571</v>
      </c>
      <c r="E713" s="11">
        <f>IFERROR(VALUE(SUBSTITUTE(SUBSTITUTE(TRIM(Raw_Data!D713),"₹",""),",","")),"")</f>
        <v>999</v>
      </c>
      <c r="F713" s="12">
        <f>IFERROR(VALUE(SUBSTITUTE(Raw_Data!E713,"%",""))/100,"")</f>
        <v>0.43</v>
      </c>
      <c r="G713" s="13">
        <f>IFERROR(VALUE(Raw_Data!F713),"")</f>
        <v>4.3</v>
      </c>
      <c r="H713" s="14">
        <f>IFERROR(VALUE(SUBSTITUTE(Raw_Data!G713,",","")),"")</f>
        <v>38221</v>
      </c>
      <c r="I713" s="11">
        <f t="shared" si="44"/>
        <v>428</v>
      </c>
      <c r="J713" s="11">
        <f t="shared" si="45"/>
        <v>21824191</v>
      </c>
      <c r="K713" s="1">
        <f t="shared" si="46"/>
        <v>38221.000071299997</v>
      </c>
      <c r="L713" s="15">
        <f t="shared" si="47"/>
        <v>0.43007129999999999</v>
      </c>
    </row>
    <row r="714" spans="1:12" ht="15" customHeight="1" x14ac:dyDescent="0.25">
      <c r="A714" s="10" t="str">
        <f>Raw_Data!A714</f>
        <v>Zebronics ZEB-COUNTY 3W Wireless Bluetooth Portable Speaker With Supporting Carry Handle, USB, SD Card, AUX, FM &amp; Call Function. (Green)</v>
      </c>
      <c r="B714" s="10" t="str">
        <f>IFERROR(TRIM(LEFT(Raw_Data!A714,FIND(" ",Raw_Data!A714)-1)),Raw_Data!A714)</f>
        <v>Zebronics</v>
      </c>
      <c r="C714" s="10" t="str">
        <f>IFERROR(LEFT(Raw_Data!B714,FIND("|",Raw_Data!B714)-1),Raw_Data!B714)</f>
        <v>Electronics</v>
      </c>
      <c r="D714" s="11">
        <f>IFERROR(VALUE(SUBSTITUTE(SUBSTITUTE(TRIM(Raw_Data!C714),"₹",""),",","")),"")</f>
        <v>549</v>
      </c>
      <c r="E714" s="11">
        <f>IFERROR(VALUE(SUBSTITUTE(SUBSTITUTE(TRIM(Raw_Data!D714),"₹",""),",","")),"")</f>
        <v>999</v>
      </c>
      <c r="F714" s="12">
        <f>IFERROR(VALUE(SUBSTITUTE(Raw_Data!E714,"%",""))/100,"")</f>
        <v>0.45</v>
      </c>
      <c r="G714" s="13">
        <f>IFERROR(VALUE(Raw_Data!F714),"")</f>
        <v>3.9</v>
      </c>
      <c r="H714" s="14">
        <f>IFERROR(VALUE(SUBSTITUTE(Raw_Data!G714,",","")),"")</f>
        <v>64705</v>
      </c>
      <c r="I714" s="11">
        <f t="shared" si="44"/>
        <v>450</v>
      </c>
      <c r="J714" s="11">
        <f t="shared" si="45"/>
        <v>35523045</v>
      </c>
      <c r="K714" s="1">
        <f t="shared" si="46"/>
        <v>64705.000071399998</v>
      </c>
      <c r="L714" s="15">
        <f t="shared" si="47"/>
        <v>0.45007140000000001</v>
      </c>
    </row>
    <row r="715" spans="1:12" ht="15" customHeight="1" x14ac:dyDescent="0.25">
      <c r="A715" s="10" t="str">
        <f>Raw_Data!A715</f>
        <v>KINGONE Upgraded Stylus Pen, iPad Pencil, Ultra High Precision &amp; Sensitivity, Palm Rejection, Prevents False ON/Off Touch, Power Display, Tilt Sensitivity, Magnetic Adsorption for iPad 2018 and Later</v>
      </c>
      <c r="B715" s="10" t="str">
        <f>IFERROR(TRIM(LEFT(Raw_Data!A715,FIND(" ",Raw_Data!A715)-1)),Raw_Data!A715)</f>
        <v>KINGONE</v>
      </c>
      <c r="C715" s="10" t="str">
        <f>IFERROR(LEFT(Raw_Data!B715,FIND("|",Raw_Data!B715)-1),Raw_Data!B715)</f>
        <v>Electronics</v>
      </c>
      <c r="D715" s="11">
        <f>IFERROR(VALUE(SUBSTITUTE(SUBSTITUTE(TRIM(Raw_Data!C715),"₹",""),",","")),"")</f>
        <v>2099</v>
      </c>
      <c r="E715" s="11">
        <f>IFERROR(VALUE(SUBSTITUTE(SUBSTITUTE(TRIM(Raw_Data!D715),"₹",""),",","")),"")</f>
        <v>5999</v>
      </c>
      <c r="F715" s="12">
        <f>IFERROR(VALUE(SUBSTITUTE(Raw_Data!E715,"%",""))/100,"")</f>
        <v>0.65</v>
      </c>
      <c r="G715" s="13">
        <f>IFERROR(VALUE(Raw_Data!F715),"")</f>
        <v>4.3</v>
      </c>
      <c r="H715" s="14">
        <f>IFERROR(VALUE(SUBSTITUTE(Raw_Data!G715,",","")),"")</f>
        <v>17129</v>
      </c>
      <c r="I715" s="11">
        <f t="shared" si="44"/>
        <v>3900</v>
      </c>
      <c r="J715" s="11">
        <f t="shared" si="45"/>
        <v>35953771</v>
      </c>
      <c r="K715" s="1">
        <f t="shared" si="46"/>
        <v>17129.000071499999</v>
      </c>
      <c r="L715" s="15">
        <f t="shared" si="47"/>
        <v>0.65007150000000002</v>
      </c>
    </row>
    <row r="716" spans="1:12" ht="15" customHeight="1" x14ac:dyDescent="0.25">
      <c r="A716" s="10" t="str">
        <f>Raw_Data!A716</f>
        <v>LG 80 cm (32 inches) HD Ready Smart LED TV 32LM563BPTC (Dark Iron Gray)</v>
      </c>
      <c r="B716" s="10" t="str">
        <f>IFERROR(TRIM(LEFT(Raw_Data!A716,FIND(" ",Raw_Data!A716)-1)),Raw_Data!A716)</f>
        <v>LG</v>
      </c>
      <c r="C716" s="10" t="str">
        <f>IFERROR(LEFT(Raw_Data!B716,FIND("|",Raw_Data!B716)-1),Raw_Data!B716)</f>
        <v>Electronics</v>
      </c>
      <c r="D716" s="11">
        <f>IFERROR(VALUE(SUBSTITUTE(SUBSTITUTE(TRIM(Raw_Data!C716),"₹",""),",","")),"")</f>
        <v>13490</v>
      </c>
      <c r="E716" s="11">
        <f>IFERROR(VALUE(SUBSTITUTE(SUBSTITUTE(TRIM(Raw_Data!D716),"₹",""),",","")),"")</f>
        <v>21990</v>
      </c>
      <c r="F716" s="12">
        <f>IFERROR(VALUE(SUBSTITUTE(Raw_Data!E716,"%",""))/100,"")</f>
        <v>0.39</v>
      </c>
      <c r="G716" s="13">
        <f>IFERROR(VALUE(Raw_Data!F716),"")</f>
        <v>4.3</v>
      </c>
      <c r="H716" s="14">
        <f>IFERROR(VALUE(SUBSTITUTE(Raw_Data!G716,",","")),"")</f>
        <v>11976</v>
      </c>
      <c r="I716" s="11">
        <f t="shared" si="44"/>
        <v>8500</v>
      </c>
      <c r="J716" s="11">
        <f t="shared" si="45"/>
        <v>161556240</v>
      </c>
      <c r="K716" s="1">
        <f t="shared" si="46"/>
        <v>11976.0000716</v>
      </c>
      <c r="L716" s="15">
        <f t="shared" si="47"/>
        <v>0.39007160000000002</v>
      </c>
    </row>
    <row r="717" spans="1:12" ht="15" customHeight="1" x14ac:dyDescent="0.25">
      <c r="A717" s="10" t="str">
        <f>Raw_Data!A717</f>
        <v>Zebronics Wired Keyboard and Mouse Combo with 104 Keys and a USB Mouse with 1200 DPI - JUDWAA 750</v>
      </c>
      <c r="B717" s="10" t="str">
        <f>IFERROR(TRIM(LEFT(Raw_Data!A717,FIND(" ",Raw_Data!A717)-1)),Raw_Data!A717)</f>
        <v>Zebronics</v>
      </c>
      <c r="C717" s="10" t="str">
        <f>IFERROR(LEFT(Raw_Data!B717,FIND("|",Raw_Data!B717)-1),Raw_Data!B717)</f>
        <v>Computers&amp;Accessories</v>
      </c>
      <c r="D717" s="11">
        <f>IFERROR(VALUE(SUBSTITUTE(SUBSTITUTE(TRIM(Raw_Data!C717),"₹",""),",","")),"")</f>
        <v>448</v>
      </c>
      <c r="E717" s="11">
        <f>IFERROR(VALUE(SUBSTITUTE(SUBSTITUTE(TRIM(Raw_Data!D717),"₹",""),",","")),"")</f>
        <v>699</v>
      </c>
      <c r="F717" s="12">
        <f>IFERROR(VALUE(SUBSTITUTE(Raw_Data!E717,"%",""))/100,"")</f>
        <v>0.36</v>
      </c>
      <c r="G717" s="13">
        <f>IFERROR(VALUE(Raw_Data!F717),"")</f>
        <v>3.9</v>
      </c>
      <c r="H717" s="14">
        <f>IFERROR(VALUE(SUBSTITUTE(Raw_Data!G717,",","")),"")</f>
        <v>17348</v>
      </c>
      <c r="I717" s="11">
        <f t="shared" si="44"/>
        <v>251</v>
      </c>
      <c r="J717" s="11">
        <f t="shared" si="45"/>
        <v>7771904</v>
      </c>
      <c r="K717" s="1">
        <f t="shared" si="46"/>
        <v>17348.0000717</v>
      </c>
      <c r="L717" s="15">
        <f t="shared" si="47"/>
        <v>0.36007169999999999</v>
      </c>
    </row>
    <row r="718" spans="1:12" ht="15" customHeight="1" x14ac:dyDescent="0.25">
      <c r="A718" s="10" t="str">
        <f>Raw_Data!A718</f>
        <v>JBL Tune 215BT, 16 Hrs Playtime with Quick Charge, in Ear Bluetooth Wireless Earphones with Mic, 12.5mm Premium Earbuds with Pure Bass, BT 5.0, Dual Pairing, Type C &amp; Voice Assistant Support (Black)</v>
      </c>
      <c r="B718" s="10" t="str">
        <f>IFERROR(TRIM(LEFT(Raw_Data!A718,FIND(" ",Raw_Data!A718)-1)),Raw_Data!A718)</f>
        <v>JBL</v>
      </c>
      <c r="C718" s="10" t="str">
        <f>IFERROR(LEFT(Raw_Data!B718,FIND("|",Raw_Data!B718)-1),Raw_Data!B718)</f>
        <v>Electronics</v>
      </c>
      <c r="D718" s="11">
        <f>IFERROR(VALUE(SUBSTITUTE(SUBSTITUTE(TRIM(Raw_Data!C718),"₹",""),",","")),"")</f>
        <v>1499</v>
      </c>
      <c r="E718" s="11">
        <f>IFERROR(VALUE(SUBSTITUTE(SUBSTITUTE(TRIM(Raw_Data!D718),"₹",""),",","")),"")</f>
        <v>2999</v>
      </c>
      <c r="F718" s="12">
        <f>IFERROR(VALUE(SUBSTITUTE(Raw_Data!E718,"%",""))/100,"")</f>
        <v>0.5</v>
      </c>
      <c r="G718" s="13">
        <f>IFERROR(VALUE(Raw_Data!F718),"")</f>
        <v>3.7</v>
      </c>
      <c r="H718" s="14">
        <f>IFERROR(VALUE(SUBSTITUTE(Raw_Data!G718,",","")),"")</f>
        <v>87798</v>
      </c>
      <c r="I718" s="11">
        <f t="shared" si="44"/>
        <v>1500</v>
      </c>
      <c r="J718" s="11">
        <f t="shared" si="45"/>
        <v>131609202</v>
      </c>
      <c r="K718" s="1">
        <f t="shared" si="46"/>
        <v>87798.000071799994</v>
      </c>
      <c r="L718" s="15">
        <f t="shared" si="47"/>
        <v>0.50007179999999996</v>
      </c>
    </row>
    <row r="719" spans="1:12" ht="15" customHeight="1" x14ac:dyDescent="0.25">
      <c r="A719" s="10" t="str">
        <f>Raw_Data!A719</f>
        <v>Gizga Essentials Professional 3-in-1 Cleaning Kit for Camera, Lens, Binocular, Laptop, TV, Monitor, Smartphone, Tablet (Includes: Cleaning Liquid 100ml, Plush Microfiber Cloth, Dust Removal Brush)</v>
      </c>
      <c r="B719" s="10" t="str">
        <f>IFERROR(TRIM(LEFT(Raw_Data!A719,FIND(" ",Raw_Data!A719)-1)),Raw_Data!A719)</f>
        <v>Gizga</v>
      </c>
      <c r="C719" s="10" t="str">
        <f>IFERROR(LEFT(Raw_Data!B719,FIND("|",Raw_Data!B719)-1),Raw_Data!B719)</f>
        <v>Electronics</v>
      </c>
      <c r="D719" s="11">
        <f>IFERROR(VALUE(SUBSTITUTE(SUBSTITUTE(TRIM(Raw_Data!C719),"₹",""),",","")),"")</f>
        <v>299</v>
      </c>
      <c r="E719" s="11">
        <f>IFERROR(VALUE(SUBSTITUTE(SUBSTITUTE(TRIM(Raw_Data!D719),"₹",""),",","")),"")</f>
        <v>499</v>
      </c>
      <c r="F719" s="12">
        <f>IFERROR(VALUE(SUBSTITUTE(Raw_Data!E719,"%",""))/100,"")</f>
        <v>0.4</v>
      </c>
      <c r="G719" s="13">
        <f>IFERROR(VALUE(Raw_Data!F719),"")</f>
        <v>4.2</v>
      </c>
      <c r="H719" s="14">
        <f>IFERROR(VALUE(SUBSTITUTE(Raw_Data!G719,",","")),"")</f>
        <v>24432</v>
      </c>
      <c r="I719" s="11">
        <f t="shared" si="44"/>
        <v>200</v>
      </c>
      <c r="J719" s="11">
        <f t="shared" si="45"/>
        <v>7305168</v>
      </c>
      <c r="K719" s="1">
        <f t="shared" si="46"/>
        <v>24432.000071900002</v>
      </c>
      <c r="L719" s="15">
        <f t="shared" si="47"/>
        <v>0.40007190000000004</v>
      </c>
    </row>
    <row r="720" spans="1:12" ht="15" customHeight="1" x14ac:dyDescent="0.25">
      <c r="A720" s="10" t="str">
        <f>Raw_Data!A720</f>
        <v>SanDisk Ultra Dual 64 GB USB 3.0 OTG Pen Drive (Black)</v>
      </c>
      <c r="B720" s="10" t="str">
        <f>IFERROR(TRIM(LEFT(Raw_Data!A720,FIND(" ",Raw_Data!A720)-1)),Raw_Data!A720)</f>
        <v>SanDisk</v>
      </c>
      <c r="C720" s="10" t="str">
        <f>IFERROR(LEFT(Raw_Data!B720,FIND("|",Raw_Data!B720)-1),Raw_Data!B720)</f>
        <v>Computers&amp;Accessories</v>
      </c>
      <c r="D720" s="11">
        <f>IFERROR(VALUE(SUBSTITUTE(SUBSTITUTE(TRIM(Raw_Data!C720),"₹",""),",","")),"")</f>
        <v>579</v>
      </c>
      <c r="E720" s="11">
        <f>IFERROR(VALUE(SUBSTITUTE(SUBSTITUTE(TRIM(Raw_Data!D720),"₹",""),",","")),"")</f>
        <v>1400</v>
      </c>
      <c r="F720" s="12">
        <f>IFERROR(VALUE(SUBSTITUTE(Raw_Data!E720,"%",""))/100,"")</f>
        <v>0.59</v>
      </c>
      <c r="G720" s="13">
        <f>IFERROR(VALUE(Raw_Data!F720),"")</f>
        <v>4.3</v>
      </c>
      <c r="H720" s="14">
        <f>IFERROR(VALUE(SUBSTITUTE(Raw_Data!G720,",","")),"")</f>
        <v>189104</v>
      </c>
      <c r="I720" s="11">
        <f t="shared" si="44"/>
        <v>821</v>
      </c>
      <c r="J720" s="11">
        <f t="shared" si="45"/>
        <v>109491216</v>
      </c>
      <c r="K720" s="1">
        <f t="shared" si="46"/>
        <v>189104.000072</v>
      </c>
      <c r="L720" s="15">
        <f t="shared" si="47"/>
        <v>0.59007199999999993</v>
      </c>
    </row>
    <row r="721" spans="1:12" ht="15" customHeight="1" x14ac:dyDescent="0.25">
      <c r="A721" s="10" t="str">
        <f>Raw_Data!A721</f>
        <v>TP-Link Tapo 360° 2MP 1080p Full HD Pan/Tilt Home Security Wi-Fi Smart Camera| Alexa Enabled| 2-Way Audio| Night Vision| Motion Detection| Sound and Light Alarm| Indoor CCTV (Tapo C200) White</v>
      </c>
      <c r="B721" s="10" t="str">
        <f>IFERROR(TRIM(LEFT(Raw_Data!A721,FIND(" ",Raw_Data!A721)-1)),Raw_Data!A721)</f>
        <v>TP-Link</v>
      </c>
      <c r="C721" s="10" t="str">
        <f>IFERROR(LEFT(Raw_Data!B721,FIND("|",Raw_Data!B721)-1),Raw_Data!B721)</f>
        <v>Electronics</v>
      </c>
      <c r="D721" s="11">
        <f>IFERROR(VALUE(SUBSTITUTE(SUBSTITUTE(TRIM(Raw_Data!C721),"₹",""),",","")),"")</f>
        <v>2499</v>
      </c>
      <c r="E721" s="11">
        <f>IFERROR(VALUE(SUBSTITUTE(SUBSTITUTE(TRIM(Raw_Data!D721),"₹",""),",","")),"")</f>
        <v>3299</v>
      </c>
      <c r="F721" s="12">
        <f>IFERROR(VALUE(SUBSTITUTE(Raw_Data!E721,"%",""))/100,"")</f>
        <v>0.24</v>
      </c>
      <c r="G721" s="13">
        <f>IFERROR(VALUE(Raw_Data!F721),"")</f>
        <v>4.2</v>
      </c>
      <c r="H721" s="14">
        <f>IFERROR(VALUE(SUBSTITUTE(Raw_Data!G721,",","")),"")</f>
        <v>93112</v>
      </c>
      <c r="I721" s="11">
        <f t="shared" si="44"/>
        <v>800</v>
      </c>
      <c r="J721" s="11">
        <f t="shared" si="45"/>
        <v>232686888</v>
      </c>
      <c r="K721" s="1">
        <f t="shared" si="46"/>
        <v>93112.000072099996</v>
      </c>
      <c r="L721" s="15">
        <f t="shared" si="47"/>
        <v>0.24007209999999998</v>
      </c>
    </row>
    <row r="722" spans="1:12" ht="15" customHeight="1" x14ac:dyDescent="0.25">
      <c r="A722" s="10" t="str">
        <f>Raw_Data!A722</f>
        <v>boAt Airdopes 171 in Ear Bluetooth True Wireless Earbuds with Upto 13 Hours Battery, IPX4, Bluetooth v5.0, Dual Tone Finish with Mic (Mysterious Blue)</v>
      </c>
      <c r="B722" s="10" t="str">
        <f>IFERROR(TRIM(LEFT(Raw_Data!A722,FIND(" ",Raw_Data!A722)-1)),Raw_Data!A722)</f>
        <v>boAt</v>
      </c>
      <c r="C722" s="10" t="str">
        <f>IFERROR(LEFT(Raw_Data!B722,FIND("|",Raw_Data!B722)-1),Raw_Data!B722)</f>
        <v>Electronics</v>
      </c>
      <c r="D722" s="11">
        <f>IFERROR(VALUE(SUBSTITUTE(SUBSTITUTE(TRIM(Raw_Data!C722),"₹",""),",","")),"")</f>
        <v>1199</v>
      </c>
      <c r="E722" s="11">
        <f>IFERROR(VALUE(SUBSTITUTE(SUBSTITUTE(TRIM(Raw_Data!D722),"₹",""),",","")),"")</f>
        <v>5999</v>
      </c>
      <c r="F722" s="12">
        <f>IFERROR(VALUE(SUBSTITUTE(Raw_Data!E722,"%",""))/100,"")</f>
        <v>0.8</v>
      </c>
      <c r="G722" s="13">
        <f>IFERROR(VALUE(Raw_Data!F722),"")</f>
        <v>3.9</v>
      </c>
      <c r="H722" s="14">
        <f>IFERROR(VALUE(SUBSTITUTE(Raw_Data!G722,",","")),"")</f>
        <v>47521</v>
      </c>
      <c r="I722" s="11">
        <f t="shared" si="44"/>
        <v>4800</v>
      </c>
      <c r="J722" s="11">
        <f t="shared" si="45"/>
        <v>56977679</v>
      </c>
      <c r="K722" s="1">
        <f t="shared" si="46"/>
        <v>47521.000072199997</v>
      </c>
      <c r="L722" s="15">
        <f t="shared" si="47"/>
        <v>0.80007220000000001</v>
      </c>
    </row>
    <row r="723" spans="1:12" ht="15" customHeight="1" x14ac:dyDescent="0.25">
      <c r="A723" s="10" t="str">
        <f>Raw_Data!A723</f>
        <v>Duracell Plus AAA Rechargeable Batteries (750 mAh) Pack of 4</v>
      </c>
      <c r="B723" s="10" t="str">
        <f>IFERROR(TRIM(LEFT(Raw_Data!A723,FIND(" ",Raw_Data!A723)-1)),Raw_Data!A723)</f>
        <v>Duracell</v>
      </c>
      <c r="C723" s="10" t="str">
        <f>IFERROR(LEFT(Raw_Data!B723,FIND("|",Raw_Data!B723)-1),Raw_Data!B723)</f>
        <v>Electronics</v>
      </c>
      <c r="D723" s="11">
        <f>IFERROR(VALUE(SUBSTITUTE(SUBSTITUTE(TRIM(Raw_Data!C723),"₹",""),",","")),"")</f>
        <v>399</v>
      </c>
      <c r="E723" s="11">
        <f>IFERROR(VALUE(SUBSTITUTE(SUBSTITUTE(TRIM(Raw_Data!D723),"₹",""),",","")),"")</f>
        <v>499</v>
      </c>
      <c r="F723" s="12">
        <f>IFERROR(VALUE(SUBSTITUTE(Raw_Data!E723,"%",""))/100,"")</f>
        <v>0.2</v>
      </c>
      <c r="G723" s="13">
        <f>IFERROR(VALUE(Raw_Data!F723),"")</f>
        <v>4.3</v>
      </c>
      <c r="H723" s="14">
        <f>IFERROR(VALUE(SUBSTITUTE(Raw_Data!G723,",","")),"")</f>
        <v>27201</v>
      </c>
      <c r="I723" s="11">
        <f t="shared" si="44"/>
        <v>100</v>
      </c>
      <c r="J723" s="11">
        <f t="shared" si="45"/>
        <v>10853199</v>
      </c>
      <c r="K723" s="1">
        <f t="shared" si="46"/>
        <v>27201.000072300001</v>
      </c>
      <c r="L723" s="15">
        <f t="shared" si="47"/>
        <v>0.20007230000000001</v>
      </c>
    </row>
    <row r="724" spans="1:12" ht="15" customHeight="1" x14ac:dyDescent="0.25">
      <c r="A724" s="10" t="str">
        <f>Raw_Data!A724</f>
        <v>tizum HDMI to VGA Adapter Cable 1080P for Projector, Computer, Laptop, TV, Projectors &amp; TV</v>
      </c>
      <c r="B724" s="10" t="str">
        <f>IFERROR(TRIM(LEFT(Raw_Data!A724,FIND(" ",Raw_Data!A724)-1)),Raw_Data!A724)</f>
        <v>tizum</v>
      </c>
      <c r="C724" s="10" t="str">
        <f>IFERROR(LEFT(Raw_Data!B724,FIND("|",Raw_Data!B724)-1),Raw_Data!B724)</f>
        <v>Electronics</v>
      </c>
      <c r="D724" s="11">
        <f>IFERROR(VALUE(SUBSTITUTE(SUBSTITUTE(TRIM(Raw_Data!C724),"₹",""),",","")),"")</f>
        <v>279</v>
      </c>
      <c r="E724" s="11">
        <f>IFERROR(VALUE(SUBSTITUTE(SUBSTITUTE(TRIM(Raw_Data!D724),"₹",""),",","")),"")</f>
        <v>499</v>
      </c>
      <c r="F724" s="12">
        <f>IFERROR(VALUE(SUBSTITUTE(Raw_Data!E724,"%",""))/100,"")</f>
        <v>0.44</v>
      </c>
      <c r="G724" s="13">
        <f>IFERROR(VALUE(Raw_Data!F724),"")</f>
        <v>3.7</v>
      </c>
      <c r="H724" s="14">
        <f>IFERROR(VALUE(SUBSTITUTE(Raw_Data!G724,",","")),"")</f>
        <v>10962</v>
      </c>
      <c r="I724" s="11">
        <f t="shared" si="44"/>
        <v>220</v>
      </c>
      <c r="J724" s="11">
        <f t="shared" si="45"/>
        <v>3058398</v>
      </c>
      <c r="K724" s="1">
        <f t="shared" si="46"/>
        <v>10962.0000724</v>
      </c>
      <c r="L724" s="15">
        <f t="shared" si="47"/>
        <v>0.44007239999999997</v>
      </c>
    </row>
    <row r="725" spans="1:12" ht="15" customHeight="1" x14ac:dyDescent="0.25">
      <c r="A725" s="10" t="str">
        <f>Raw_Data!A725</f>
        <v>Samsung 80 cm (32 Inches) Wondertainment Series HD Ready LED Smart TV UA32T4340BKXXL (Glossy Black)</v>
      </c>
      <c r="B725" s="10" t="str">
        <f>IFERROR(TRIM(LEFT(Raw_Data!A725,FIND(" ",Raw_Data!A725)-1)),Raw_Data!A725)</f>
        <v>Samsung</v>
      </c>
      <c r="C725" s="10" t="str">
        <f>IFERROR(LEFT(Raw_Data!B725,FIND("|",Raw_Data!B725)-1),Raw_Data!B725)</f>
        <v>Electronics</v>
      </c>
      <c r="D725" s="11">
        <f>IFERROR(VALUE(SUBSTITUTE(SUBSTITUTE(TRIM(Raw_Data!C725),"₹",""),",","")),"")</f>
        <v>13490</v>
      </c>
      <c r="E725" s="11">
        <f>IFERROR(VALUE(SUBSTITUTE(SUBSTITUTE(TRIM(Raw_Data!D725),"₹",""),",","")),"")</f>
        <v>22900</v>
      </c>
      <c r="F725" s="12">
        <f>IFERROR(VALUE(SUBSTITUTE(Raw_Data!E725,"%",""))/100,"")</f>
        <v>0.41</v>
      </c>
      <c r="G725" s="13">
        <f>IFERROR(VALUE(Raw_Data!F725),"")</f>
        <v>4.3</v>
      </c>
      <c r="H725" s="14">
        <f>IFERROR(VALUE(SUBSTITUTE(Raw_Data!G725,",","")),"")</f>
        <v>16299</v>
      </c>
      <c r="I725" s="11">
        <f t="shared" si="44"/>
        <v>9410</v>
      </c>
      <c r="J725" s="11">
        <f t="shared" si="45"/>
        <v>219873510</v>
      </c>
      <c r="K725" s="1">
        <f t="shared" si="46"/>
        <v>16299.000072500001</v>
      </c>
      <c r="L725" s="15">
        <f t="shared" si="47"/>
        <v>0.41007249999999995</v>
      </c>
    </row>
    <row r="726" spans="1:12" ht="15" customHeight="1" x14ac:dyDescent="0.25">
      <c r="A726" s="10" t="str">
        <f>Raw_Data!A726</f>
        <v>Logitech B100 Wired USB Mouse, 3 yr Warranty, 800 DPI Optical Tracking, Ambidextrous PC/Mac/Laptop - Black</v>
      </c>
      <c r="B726" s="10" t="str">
        <f>IFERROR(TRIM(LEFT(Raw_Data!A726,FIND(" ",Raw_Data!A726)-1)),Raw_Data!A726)</f>
        <v>Logitech</v>
      </c>
      <c r="C726" s="10" t="str">
        <f>IFERROR(LEFT(Raw_Data!B726,FIND("|",Raw_Data!B726)-1),Raw_Data!B726)</f>
        <v>Computers&amp;Accessories</v>
      </c>
      <c r="D726" s="11">
        <f>IFERROR(VALUE(SUBSTITUTE(SUBSTITUTE(TRIM(Raw_Data!C726),"₹",""),",","")),"")</f>
        <v>279</v>
      </c>
      <c r="E726" s="11">
        <f>IFERROR(VALUE(SUBSTITUTE(SUBSTITUTE(TRIM(Raw_Data!D726),"₹",""),",","")),"")</f>
        <v>375</v>
      </c>
      <c r="F726" s="12">
        <f>IFERROR(VALUE(SUBSTITUTE(Raw_Data!E726,"%",""))/100,"")</f>
        <v>0.26</v>
      </c>
      <c r="G726" s="13">
        <f>IFERROR(VALUE(Raw_Data!F726),"")</f>
        <v>4.3</v>
      </c>
      <c r="H726" s="14">
        <f>IFERROR(VALUE(SUBSTITUTE(Raw_Data!G726,",","")),"")</f>
        <v>31534</v>
      </c>
      <c r="I726" s="11">
        <f t="shared" si="44"/>
        <v>96</v>
      </c>
      <c r="J726" s="11">
        <f t="shared" si="45"/>
        <v>8797986</v>
      </c>
      <c r="K726" s="1">
        <f t="shared" si="46"/>
        <v>31534.0000726</v>
      </c>
      <c r="L726" s="15">
        <f t="shared" si="47"/>
        <v>0.26007259999999999</v>
      </c>
    </row>
    <row r="727" spans="1:12" ht="15" customHeight="1" x14ac:dyDescent="0.25">
      <c r="A727" s="10" t="str">
        <f>Raw_Data!A727</f>
        <v>Noise Pulse Buzz 1.69" Bluetooth Calling Smart Watch with Call Function, 150 Watch Faces, 60 Sports Modes, Spo2 &amp; Heart Rate Monitoring, Calling Smart Watch for Men &amp; Women - Jet Black</v>
      </c>
      <c r="B727" s="10" t="str">
        <f>IFERROR(TRIM(LEFT(Raw_Data!A727,FIND(" ",Raw_Data!A727)-1)),Raw_Data!A727)</f>
        <v>Noise</v>
      </c>
      <c r="C727" s="10" t="str">
        <f>IFERROR(LEFT(Raw_Data!B727,FIND("|",Raw_Data!B727)-1),Raw_Data!B727)</f>
        <v>Electronics</v>
      </c>
      <c r="D727" s="11">
        <f>IFERROR(VALUE(SUBSTITUTE(SUBSTITUTE(TRIM(Raw_Data!C727),"₹",""),",","")),"")</f>
        <v>2499</v>
      </c>
      <c r="E727" s="11">
        <f>IFERROR(VALUE(SUBSTITUTE(SUBSTITUTE(TRIM(Raw_Data!D727),"₹",""),",","")),"")</f>
        <v>4999</v>
      </c>
      <c r="F727" s="12">
        <f>IFERROR(VALUE(SUBSTITUTE(Raw_Data!E727,"%",""))/100,"")</f>
        <v>0.5</v>
      </c>
      <c r="G727" s="13">
        <f>IFERROR(VALUE(Raw_Data!F727),"")</f>
        <v>3.9</v>
      </c>
      <c r="H727" s="14">
        <f>IFERROR(VALUE(SUBSTITUTE(Raw_Data!G727,",","")),"")</f>
        <v>7571</v>
      </c>
      <c r="I727" s="11">
        <f t="shared" si="44"/>
        <v>2500</v>
      </c>
      <c r="J727" s="11">
        <f t="shared" si="45"/>
        <v>18919929</v>
      </c>
      <c r="K727" s="1">
        <f t="shared" si="46"/>
        <v>7571.0000726999997</v>
      </c>
      <c r="L727" s="15">
        <f t="shared" si="47"/>
        <v>0.50007270000000004</v>
      </c>
    </row>
    <row r="728" spans="1:12" ht="15" customHeight="1" x14ac:dyDescent="0.25">
      <c r="A728" s="10" t="str">
        <f>Raw_Data!A728</f>
        <v>Classmate 2100117 Soft Cover 6 Subject Spiral Binding Notebook, Single Line, 300 Pages</v>
      </c>
      <c r="B728" s="10" t="str">
        <f>IFERROR(TRIM(LEFT(Raw_Data!A728,FIND(" ",Raw_Data!A728)-1)),Raw_Data!A728)</f>
        <v>Classmate</v>
      </c>
      <c r="C728" s="10" t="str">
        <f>IFERROR(LEFT(Raw_Data!B728,FIND("|",Raw_Data!B728)-1),Raw_Data!B728)</f>
        <v>OfficeProducts</v>
      </c>
      <c r="D728" s="11">
        <f>IFERROR(VALUE(SUBSTITUTE(SUBSTITUTE(TRIM(Raw_Data!C728),"₹",""),",","")),"")</f>
        <v>137</v>
      </c>
      <c r="E728" s="11">
        <f>IFERROR(VALUE(SUBSTITUTE(SUBSTITUTE(TRIM(Raw_Data!D728),"₹",""),",","")),"")</f>
        <v>160</v>
      </c>
      <c r="F728" s="12">
        <f>IFERROR(VALUE(SUBSTITUTE(Raw_Data!E728,"%",""))/100,"")</f>
        <v>0.14000000000000001</v>
      </c>
      <c r="G728" s="13">
        <f>IFERROR(VALUE(Raw_Data!F728),"")</f>
        <v>4.4000000000000004</v>
      </c>
      <c r="H728" s="14">
        <f>IFERROR(VALUE(SUBSTITUTE(Raw_Data!G728,",","")),"")</f>
        <v>6537</v>
      </c>
      <c r="I728" s="11">
        <f t="shared" si="44"/>
        <v>23</v>
      </c>
      <c r="J728" s="11">
        <f t="shared" si="45"/>
        <v>895569</v>
      </c>
      <c r="K728" s="1">
        <f t="shared" si="46"/>
        <v>6537.0000728000005</v>
      </c>
      <c r="L728" s="15">
        <f t="shared" si="47"/>
        <v>0.14007280000000003</v>
      </c>
    </row>
    <row r="729" spans="1:12" ht="15" customHeight="1" x14ac:dyDescent="0.25">
      <c r="A729" s="10" t="str">
        <f>Raw_Data!A729</f>
        <v>Flix Micro Usb Cable For Smartphone (Black)</v>
      </c>
      <c r="B729" s="10" t="str">
        <f>IFERROR(TRIM(LEFT(Raw_Data!A729,FIND(" ",Raw_Data!A729)-1)),Raw_Data!A729)</f>
        <v>Flix</v>
      </c>
      <c r="C729" s="10" t="str">
        <f>IFERROR(LEFT(Raw_Data!B729,FIND("|",Raw_Data!B729)-1),Raw_Data!B729)</f>
        <v>Computers&amp;Accessories</v>
      </c>
      <c r="D729" s="11">
        <f>IFERROR(VALUE(SUBSTITUTE(SUBSTITUTE(TRIM(Raw_Data!C729),"₹",""),",","")),"")</f>
        <v>59</v>
      </c>
      <c r="E729" s="11">
        <f>IFERROR(VALUE(SUBSTITUTE(SUBSTITUTE(TRIM(Raw_Data!D729),"₹",""),",","")),"")</f>
        <v>199</v>
      </c>
      <c r="F729" s="12">
        <f>IFERROR(VALUE(SUBSTITUTE(Raw_Data!E729,"%",""))/100,"")</f>
        <v>0.7</v>
      </c>
      <c r="G729" s="13">
        <f>IFERROR(VALUE(Raw_Data!F729),"")</f>
        <v>4</v>
      </c>
      <c r="H729" s="14">
        <f>IFERROR(VALUE(SUBSTITUTE(Raw_Data!G729,",","")),"")</f>
        <v>9377</v>
      </c>
      <c r="I729" s="11">
        <f t="shared" si="44"/>
        <v>140</v>
      </c>
      <c r="J729" s="11">
        <f t="shared" si="45"/>
        <v>553243</v>
      </c>
      <c r="K729" s="1">
        <f t="shared" si="46"/>
        <v>9377.0000729000003</v>
      </c>
      <c r="L729" s="15">
        <f t="shared" si="47"/>
        <v>0.7000729</v>
      </c>
    </row>
    <row r="730" spans="1:12" ht="15" customHeight="1" x14ac:dyDescent="0.25">
      <c r="A730" s="10" t="str">
        <f>Raw_Data!A730</f>
        <v>AirCase Rugged Hard Drive Case for 2.5-inch Western Digital, Seagate, Toshiba, Portable Storage Shell for Gadget Hard Disk USB Cable Power Bank Mobile Charger Earphone, Waterproof (Black)</v>
      </c>
      <c r="B730" s="10" t="str">
        <f>IFERROR(TRIM(LEFT(Raw_Data!A730,FIND(" ",Raw_Data!A730)-1)),Raw_Data!A730)</f>
        <v>AirCase</v>
      </c>
      <c r="C730" s="10" t="str">
        <f>IFERROR(LEFT(Raw_Data!B730,FIND("|",Raw_Data!B730)-1),Raw_Data!B730)</f>
        <v>Computers&amp;Accessories</v>
      </c>
      <c r="D730" s="11">
        <f>IFERROR(VALUE(SUBSTITUTE(SUBSTITUTE(TRIM(Raw_Data!C730),"₹",""),",","")),"")</f>
        <v>299</v>
      </c>
      <c r="E730" s="11">
        <f>IFERROR(VALUE(SUBSTITUTE(SUBSTITUTE(TRIM(Raw_Data!D730),"₹",""),",","")),"")</f>
        <v>499</v>
      </c>
      <c r="F730" s="12">
        <f>IFERROR(VALUE(SUBSTITUTE(Raw_Data!E730,"%",""))/100,"")</f>
        <v>0.4</v>
      </c>
      <c r="G730" s="13">
        <f>IFERROR(VALUE(Raw_Data!F730),"")</f>
        <v>4.5</v>
      </c>
      <c r="H730" s="14">
        <f>IFERROR(VALUE(SUBSTITUTE(Raw_Data!G730,",","")),"")</f>
        <v>21010</v>
      </c>
      <c r="I730" s="11">
        <f t="shared" si="44"/>
        <v>200</v>
      </c>
      <c r="J730" s="11">
        <f t="shared" si="45"/>
        <v>6281990</v>
      </c>
      <c r="K730" s="1">
        <f t="shared" si="46"/>
        <v>21010.000072999999</v>
      </c>
      <c r="L730" s="15">
        <f t="shared" si="47"/>
        <v>0.40007300000000001</v>
      </c>
    </row>
    <row r="731" spans="1:12" ht="15" customHeight="1" x14ac:dyDescent="0.25">
      <c r="A731" s="10" t="str">
        <f>Raw_Data!A731</f>
        <v>Noise Buds VS402 Truly Wireless in Ear Earbuds, 35-Hours of Playtime, Instacharge, Quad Mic with ENC, Hyper Sync, Low Latency, 10mm Driver, Bluetooth v5.3 and Breathing LED Lights (Neon Black)</v>
      </c>
      <c r="B731" s="10" t="str">
        <f>IFERROR(TRIM(LEFT(Raw_Data!A731,FIND(" ",Raw_Data!A731)-1)),Raw_Data!A731)</f>
        <v>Noise</v>
      </c>
      <c r="C731" s="10" t="str">
        <f>IFERROR(LEFT(Raw_Data!B731,FIND("|",Raw_Data!B731)-1),Raw_Data!B731)</f>
        <v>Electronics</v>
      </c>
      <c r="D731" s="11">
        <f>IFERROR(VALUE(SUBSTITUTE(SUBSTITUTE(TRIM(Raw_Data!C731),"₹",""),",","")),"")</f>
        <v>1799</v>
      </c>
      <c r="E731" s="11">
        <f>IFERROR(VALUE(SUBSTITUTE(SUBSTITUTE(TRIM(Raw_Data!D731),"₹",""),",","")),"")</f>
        <v>3999</v>
      </c>
      <c r="F731" s="12">
        <f>IFERROR(VALUE(SUBSTITUTE(Raw_Data!E731,"%",""))/100,"")</f>
        <v>0.55000000000000004</v>
      </c>
      <c r="G731" s="13">
        <f>IFERROR(VALUE(Raw_Data!F731),"")</f>
        <v>3.9</v>
      </c>
      <c r="H731" s="14">
        <f>IFERROR(VALUE(SUBSTITUTE(Raw_Data!G731,",","")),"")</f>
        <v>3517</v>
      </c>
      <c r="I731" s="11">
        <f t="shared" si="44"/>
        <v>2200</v>
      </c>
      <c r="J731" s="11">
        <f t="shared" si="45"/>
        <v>6327083</v>
      </c>
      <c r="K731" s="1">
        <f t="shared" si="46"/>
        <v>3517.0000731</v>
      </c>
      <c r="L731" s="15">
        <f t="shared" si="47"/>
        <v>0.55007310000000009</v>
      </c>
    </row>
    <row r="732" spans="1:12" ht="15" customHeight="1" x14ac:dyDescent="0.25">
      <c r="A732" s="10" t="str">
        <f>Raw_Data!A732</f>
        <v>JBL Go 2, Wireless Portable Bluetooth Speaker with Mic, JBL Signature Sound, Vibrant Color Options with IPX7 Waterproof &amp; AUX (Blue)</v>
      </c>
      <c r="B732" s="10" t="str">
        <f>IFERROR(TRIM(LEFT(Raw_Data!A732,FIND(" ",Raw_Data!A732)-1)),Raw_Data!A732)</f>
        <v>JBL</v>
      </c>
      <c r="C732" s="10" t="str">
        <f>IFERROR(LEFT(Raw_Data!B732,FIND("|",Raw_Data!B732)-1),Raw_Data!B732)</f>
        <v>Electronics</v>
      </c>
      <c r="D732" s="11">
        <f>IFERROR(VALUE(SUBSTITUTE(SUBSTITUTE(TRIM(Raw_Data!C732),"₹",""),",","")),"")</f>
        <v>1999</v>
      </c>
      <c r="E732" s="11">
        <f>IFERROR(VALUE(SUBSTITUTE(SUBSTITUTE(TRIM(Raw_Data!D732),"₹",""),",","")),"")</f>
        <v>2999</v>
      </c>
      <c r="F732" s="12">
        <f>IFERROR(VALUE(SUBSTITUTE(Raw_Data!E732,"%",""))/100,"")</f>
        <v>0.33</v>
      </c>
      <c r="G732" s="13">
        <f>IFERROR(VALUE(Raw_Data!F732),"")</f>
        <v>4.3</v>
      </c>
      <c r="H732" s="14">
        <f>IFERROR(VALUE(SUBSTITUTE(Raw_Data!G732,",","")),"")</f>
        <v>63899</v>
      </c>
      <c r="I732" s="11">
        <f t="shared" si="44"/>
        <v>1000</v>
      </c>
      <c r="J732" s="11">
        <f t="shared" si="45"/>
        <v>127734101</v>
      </c>
      <c r="K732" s="1">
        <f t="shared" si="46"/>
        <v>63899.000073199997</v>
      </c>
      <c r="L732" s="15">
        <f t="shared" si="47"/>
        <v>0.33007320000000001</v>
      </c>
    </row>
    <row r="733" spans="1:12" ht="15" customHeight="1" x14ac:dyDescent="0.25">
      <c r="A733" s="10" t="str">
        <f>Raw_Data!A733</f>
        <v>Tizum High Speed HDMI Cable with Ethernet | Supports 3D 4K | for All HDMI Devices Laptop Computer Gaming Console TV Set Top Box (1.5 Meter/ 5 Feet)</v>
      </c>
      <c r="B733" s="10" t="str">
        <f>IFERROR(TRIM(LEFT(Raw_Data!A733,FIND(" ",Raw_Data!A733)-1)),Raw_Data!A733)</f>
        <v>Tizum</v>
      </c>
      <c r="C733" s="10" t="str">
        <f>IFERROR(LEFT(Raw_Data!B733,FIND("|",Raw_Data!B733)-1),Raw_Data!B733)</f>
        <v>Electronics</v>
      </c>
      <c r="D733" s="11">
        <f>IFERROR(VALUE(SUBSTITUTE(SUBSTITUTE(TRIM(Raw_Data!C733),"₹",""),",","")),"")</f>
        <v>199</v>
      </c>
      <c r="E733" s="11">
        <f>IFERROR(VALUE(SUBSTITUTE(SUBSTITUTE(TRIM(Raw_Data!D733),"₹",""),",","")),"")</f>
        <v>699</v>
      </c>
      <c r="F733" s="12">
        <f>IFERROR(VALUE(SUBSTITUTE(Raw_Data!E733,"%",""))/100,"")</f>
        <v>0.72</v>
      </c>
      <c r="G733" s="13">
        <f>IFERROR(VALUE(Raw_Data!F733),"")</f>
        <v>4.2</v>
      </c>
      <c r="H733" s="14">
        <f>IFERROR(VALUE(SUBSTITUTE(Raw_Data!G733,",","")),"")</f>
        <v>12153</v>
      </c>
      <c r="I733" s="11">
        <f t="shared" si="44"/>
        <v>500</v>
      </c>
      <c r="J733" s="11">
        <f t="shared" si="45"/>
        <v>2418447</v>
      </c>
      <c r="K733" s="1">
        <f t="shared" si="46"/>
        <v>12153.0000733</v>
      </c>
      <c r="L733" s="15">
        <f t="shared" si="47"/>
        <v>0.72007330000000003</v>
      </c>
    </row>
    <row r="734" spans="1:12" ht="15" customHeight="1" x14ac:dyDescent="0.25">
      <c r="A734" s="10" t="str">
        <f>Raw_Data!A734</f>
        <v>Robustrion Tempered Glass Screen Protector for iPad 10.2 inch 9th Gen Generation 2021 8th Gen 2020 7th Gen 2019</v>
      </c>
      <c r="B734" s="10" t="str">
        <f>IFERROR(TRIM(LEFT(Raw_Data!A734,FIND(" ",Raw_Data!A734)-1)),Raw_Data!A734)</f>
        <v>Robustrion</v>
      </c>
      <c r="C734" s="10" t="str">
        <f>IFERROR(LEFT(Raw_Data!B734,FIND("|",Raw_Data!B734)-1),Raw_Data!B734)</f>
        <v>Computers&amp;Accessories</v>
      </c>
      <c r="D734" s="11">
        <f>IFERROR(VALUE(SUBSTITUTE(SUBSTITUTE(TRIM(Raw_Data!C734),"₹",""),",","")),"")</f>
        <v>399</v>
      </c>
      <c r="E734" s="11">
        <f>IFERROR(VALUE(SUBSTITUTE(SUBSTITUTE(TRIM(Raw_Data!D734),"₹",""),",","")),"")</f>
        <v>1499</v>
      </c>
      <c r="F734" s="12">
        <f>IFERROR(VALUE(SUBSTITUTE(Raw_Data!E734,"%",""))/100,"")</f>
        <v>0.73</v>
      </c>
      <c r="G734" s="13">
        <f>IFERROR(VALUE(Raw_Data!F734),"")</f>
        <v>4.0999999999999996</v>
      </c>
      <c r="H734" s="14">
        <f>IFERROR(VALUE(SUBSTITUTE(Raw_Data!G734,",","")),"")</f>
        <v>5730</v>
      </c>
      <c r="I734" s="11">
        <f t="shared" si="44"/>
        <v>1100</v>
      </c>
      <c r="J734" s="11">
        <f t="shared" si="45"/>
        <v>2286270</v>
      </c>
      <c r="K734" s="1">
        <f t="shared" si="46"/>
        <v>5730.0000733999996</v>
      </c>
      <c r="L734" s="15">
        <f t="shared" si="47"/>
        <v>0.73007339999999998</v>
      </c>
    </row>
    <row r="735" spans="1:12" ht="15" customHeight="1" x14ac:dyDescent="0.25">
      <c r="A735" s="10" t="str">
        <f>Raw_Data!A735</f>
        <v>Redgear Pro Wireless Gamepad with 2.4GHz Wireless Technology, Integrated Dual Intensity Motor, Illuminated Keys for PC(Compatible with Windows 7/8/8.1/10 only)</v>
      </c>
      <c r="B735" s="10" t="str">
        <f>IFERROR(TRIM(LEFT(Raw_Data!A735,FIND(" ",Raw_Data!A735)-1)),Raw_Data!A735)</f>
        <v>Redgear</v>
      </c>
      <c r="C735" s="10" t="str">
        <f>IFERROR(LEFT(Raw_Data!B735,FIND("|",Raw_Data!B735)-1),Raw_Data!B735)</f>
        <v>Computers&amp;Accessories</v>
      </c>
      <c r="D735" s="11">
        <f>IFERROR(VALUE(SUBSTITUTE(SUBSTITUTE(TRIM(Raw_Data!C735),"₹",""),",","")),"")</f>
        <v>1699</v>
      </c>
      <c r="E735" s="11">
        <f>IFERROR(VALUE(SUBSTITUTE(SUBSTITUTE(TRIM(Raw_Data!D735),"₹",""),",","")),"")</f>
        <v>3999</v>
      </c>
      <c r="F735" s="12">
        <f>IFERROR(VALUE(SUBSTITUTE(Raw_Data!E735,"%",""))/100,"")</f>
        <v>0.57999999999999996</v>
      </c>
      <c r="G735" s="13">
        <f>IFERROR(VALUE(Raw_Data!F735),"")</f>
        <v>4.2</v>
      </c>
      <c r="H735" s="14">
        <f>IFERROR(VALUE(SUBSTITUTE(Raw_Data!G735,",","")),"")</f>
        <v>25488</v>
      </c>
      <c r="I735" s="11">
        <f t="shared" si="44"/>
        <v>2300</v>
      </c>
      <c r="J735" s="11">
        <f t="shared" si="45"/>
        <v>43304112</v>
      </c>
      <c r="K735" s="1">
        <f t="shared" si="46"/>
        <v>25488.000073499999</v>
      </c>
      <c r="L735" s="15">
        <f t="shared" si="47"/>
        <v>0.58007349999999991</v>
      </c>
    </row>
    <row r="736" spans="1:12" ht="15" customHeight="1" x14ac:dyDescent="0.25">
      <c r="A736" s="10" t="str">
        <f>Raw_Data!A736</f>
        <v>Logitech M235 Wireless Mouse, 1000 DPI Optical Tracking, 12 Month Life Battery, Compatible with Windows, Mac, Chromebook/PC/Laptop</v>
      </c>
      <c r="B736" s="10" t="str">
        <f>IFERROR(TRIM(LEFT(Raw_Data!A736,FIND(" ",Raw_Data!A736)-1)),Raw_Data!A736)</f>
        <v>Logitech</v>
      </c>
      <c r="C736" s="10" t="str">
        <f>IFERROR(LEFT(Raw_Data!B736,FIND("|",Raw_Data!B736)-1),Raw_Data!B736)</f>
        <v>Computers&amp;Accessories</v>
      </c>
      <c r="D736" s="11">
        <f>IFERROR(VALUE(SUBSTITUTE(SUBSTITUTE(TRIM(Raw_Data!C736),"₹",""),",","")),"")</f>
        <v>699</v>
      </c>
      <c r="E736" s="11">
        <f>IFERROR(VALUE(SUBSTITUTE(SUBSTITUTE(TRIM(Raw_Data!D736),"₹",""),",","")),"")</f>
        <v>995</v>
      </c>
      <c r="F736" s="12">
        <f>IFERROR(VALUE(SUBSTITUTE(Raw_Data!E736,"%",""))/100,"")</f>
        <v>0.3</v>
      </c>
      <c r="G736" s="13">
        <f>IFERROR(VALUE(Raw_Data!F736),"")</f>
        <v>4.5</v>
      </c>
      <c r="H736" s="14">
        <f>IFERROR(VALUE(SUBSTITUTE(Raw_Data!G736,",","")),"")</f>
        <v>54405</v>
      </c>
      <c r="I736" s="11">
        <f t="shared" si="44"/>
        <v>296</v>
      </c>
      <c r="J736" s="11">
        <f t="shared" si="45"/>
        <v>38029095</v>
      </c>
      <c r="K736" s="1">
        <f t="shared" si="46"/>
        <v>54405.0000736</v>
      </c>
      <c r="L736" s="15">
        <f t="shared" si="47"/>
        <v>0.3000736</v>
      </c>
    </row>
    <row r="737" spans="1:12" ht="15" customHeight="1" x14ac:dyDescent="0.25">
      <c r="A737" s="10" t="str">
        <f>Raw_Data!A737</f>
        <v>STRIFF 12 Pieces Highly Flexible Silicone Micro USB Protector, Mouse Cable Protector, Suit for All Cell Phones, Computers and Chargers (White)</v>
      </c>
      <c r="B737" s="10" t="str">
        <f>IFERROR(TRIM(LEFT(Raw_Data!A737,FIND(" ",Raw_Data!A737)-1)),Raw_Data!A737)</f>
        <v>STRIFF</v>
      </c>
      <c r="C737" s="10" t="str">
        <f>IFERROR(LEFT(Raw_Data!B737,FIND("|",Raw_Data!B737)-1),Raw_Data!B737)</f>
        <v>Electronics</v>
      </c>
      <c r="D737" s="11">
        <f>IFERROR(VALUE(SUBSTITUTE(SUBSTITUTE(TRIM(Raw_Data!C737),"₹",""),",","")),"")</f>
        <v>95</v>
      </c>
      <c r="E737" s="11">
        <f>IFERROR(VALUE(SUBSTITUTE(SUBSTITUTE(TRIM(Raw_Data!D737),"₹",""),",","")),"")</f>
        <v>499</v>
      </c>
      <c r="F737" s="12">
        <f>IFERROR(VALUE(SUBSTITUTE(Raw_Data!E737,"%",""))/100,"")</f>
        <v>0.81</v>
      </c>
      <c r="G737" s="13">
        <f>IFERROR(VALUE(Raw_Data!F737),"")</f>
        <v>4.2</v>
      </c>
      <c r="H737" s="14">
        <f>IFERROR(VALUE(SUBSTITUTE(Raw_Data!G737,",","")),"")</f>
        <v>1949</v>
      </c>
      <c r="I737" s="11">
        <f t="shared" si="44"/>
        <v>404</v>
      </c>
      <c r="J737" s="11">
        <f t="shared" si="45"/>
        <v>185155</v>
      </c>
      <c r="K737" s="1">
        <f t="shared" si="46"/>
        <v>1949.0000737</v>
      </c>
      <c r="L737" s="15">
        <f t="shared" si="47"/>
        <v>0.81007370000000001</v>
      </c>
    </row>
    <row r="738" spans="1:12" ht="15" customHeight="1" x14ac:dyDescent="0.25">
      <c r="A738" s="10" t="str">
        <f>Raw_Data!A738</f>
        <v>TP-link N300 WiFi Wireless Router TL-WR845N | 300Mbps Wi-Fi Speed | Three 5dBi high gain Antennas | IPv6 Compatible | AP/RE/WISP Mode | Parental Control | Guest Network</v>
      </c>
      <c r="B738" s="10" t="str">
        <f>IFERROR(TRIM(LEFT(Raw_Data!A738,FIND(" ",Raw_Data!A738)-1)),Raw_Data!A738)</f>
        <v>TP-link</v>
      </c>
      <c r="C738" s="10" t="str">
        <f>IFERROR(LEFT(Raw_Data!B738,FIND("|",Raw_Data!B738)-1),Raw_Data!B738)</f>
        <v>Computers&amp;Accessories</v>
      </c>
      <c r="D738" s="11">
        <f>IFERROR(VALUE(SUBSTITUTE(SUBSTITUTE(TRIM(Raw_Data!C738),"₹",""),",","")),"")</f>
        <v>1149</v>
      </c>
      <c r="E738" s="11">
        <f>IFERROR(VALUE(SUBSTITUTE(SUBSTITUTE(TRIM(Raw_Data!D738),"₹",""),",","")),"")</f>
        <v>1699</v>
      </c>
      <c r="F738" s="12">
        <f>IFERROR(VALUE(SUBSTITUTE(Raw_Data!E738,"%",""))/100,"")</f>
        <v>0.32</v>
      </c>
      <c r="G738" s="13">
        <f>IFERROR(VALUE(Raw_Data!F738),"")</f>
        <v>4.2</v>
      </c>
      <c r="H738" s="14">
        <f>IFERROR(VALUE(SUBSTITUTE(Raw_Data!G738,",","")),"")</f>
        <v>122478</v>
      </c>
      <c r="I738" s="11">
        <f t="shared" si="44"/>
        <v>550</v>
      </c>
      <c r="J738" s="11">
        <f t="shared" si="45"/>
        <v>140727222</v>
      </c>
      <c r="K738" s="1">
        <f t="shared" si="46"/>
        <v>122478.00007379999</v>
      </c>
      <c r="L738" s="15">
        <f t="shared" si="47"/>
        <v>0.32007380000000002</v>
      </c>
    </row>
    <row r="739" spans="1:12" ht="15" customHeight="1" x14ac:dyDescent="0.25">
      <c r="A739" s="10" t="str">
        <f>Raw_Data!A739</f>
        <v>Logitech MK240 Nano Wireless USB Keyboard and Mouse Set, 12 Function Keys 2.4GHz Wireless, 1000DPI, Spill-Resistant Design, PC/Mac, Black/Chartreuse Yellow</v>
      </c>
      <c r="B739" s="10" t="str">
        <f>IFERROR(TRIM(LEFT(Raw_Data!A739,FIND(" ",Raw_Data!A739)-1)),Raw_Data!A739)</f>
        <v>Logitech</v>
      </c>
      <c r="C739" s="10" t="str">
        <f>IFERROR(LEFT(Raw_Data!B739,FIND("|",Raw_Data!B739)-1),Raw_Data!B739)</f>
        <v>Computers&amp;Accessories</v>
      </c>
      <c r="D739" s="11">
        <f>IFERROR(VALUE(SUBSTITUTE(SUBSTITUTE(TRIM(Raw_Data!C739),"₹",""),",","")),"")</f>
        <v>1495</v>
      </c>
      <c r="E739" s="11">
        <f>IFERROR(VALUE(SUBSTITUTE(SUBSTITUTE(TRIM(Raw_Data!D739),"₹",""),",","")),"")</f>
        <v>1995</v>
      </c>
      <c r="F739" s="12">
        <f>IFERROR(VALUE(SUBSTITUTE(Raw_Data!E739,"%",""))/100,"")</f>
        <v>0.25</v>
      </c>
      <c r="G739" s="13">
        <f>IFERROR(VALUE(Raw_Data!F739),"")</f>
        <v>4.3</v>
      </c>
      <c r="H739" s="14">
        <f>IFERROR(VALUE(SUBSTITUTE(Raw_Data!G739,",","")),"")</f>
        <v>7241</v>
      </c>
      <c r="I739" s="11">
        <f t="shared" si="44"/>
        <v>500</v>
      </c>
      <c r="J739" s="11">
        <f t="shared" si="45"/>
        <v>10825295</v>
      </c>
      <c r="K739" s="1">
        <f t="shared" si="46"/>
        <v>7241.0000738999997</v>
      </c>
      <c r="L739" s="15">
        <f t="shared" si="47"/>
        <v>0.25007390000000002</v>
      </c>
    </row>
    <row r="740" spans="1:12" ht="15" customHeight="1" x14ac:dyDescent="0.25">
      <c r="A740" s="10" t="str">
        <f>Raw_Data!A740</f>
        <v>Callas Multipurpose Foldable Laptop Table with Cup Holder | Drawer | Mac Holder | Table Holder Study Table, Breakfast Table, Foldable and Portable/Ergonomic &amp; Rounded Edges/Non-Slip Legs (WA-27-Black)</v>
      </c>
      <c r="B740" s="10" t="str">
        <f>IFERROR(TRIM(LEFT(Raw_Data!A740,FIND(" ",Raw_Data!A740)-1)),Raw_Data!A740)</f>
        <v>Callas</v>
      </c>
      <c r="C740" s="10" t="str">
        <f>IFERROR(LEFT(Raw_Data!B740,FIND("|",Raw_Data!B740)-1),Raw_Data!B740)</f>
        <v>Computers&amp;Accessories</v>
      </c>
      <c r="D740" s="11">
        <f>IFERROR(VALUE(SUBSTITUTE(SUBSTITUTE(TRIM(Raw_Data!C740),"₹",""),",","")),"")</f>
        <v>849</v>
      </c>
      <c r="E740" s="11">
        <f>IFERROR(VALUE(SUBSTITUTE(SUBSTITUTE(TRIM(Raw_Data!D740),"₹",""),",","")),"")</f>
        <v>4999</v>
      </c>
      <c r="F740" s="12">
        <f>IFERROR(VALUE(SUBSTITUTE(Raw_Data!E740,"%",""))/100,"")</f>
        <v>0.83</v>
      </c>
      <c r="G740" s="13">
        <f>IFERROR(VALUE(Raw_Data!F740),"")</f>
        <v>4</v>
      </c>
      <c r="H740" s="14">
        <f>IFERROR(VALUE(SUBSTITUTE(Raw_Data!G740,",","")),"")</f>
        <v>20457</v>
      </c>
      <c r="I740" s="11">
        <f t="shared" si="44"/>
        <v>4150</v>
      </c>
      <c r="J740" s="11">
        <f t="shared" si="45"/>
        <v>17367993</v>
      </c>
      <c r="K740" s="1">
        <f t="shared" si="46"/>
        <v>20457.000074</v>
      </c>
      <c r="L740" s="15">
        <f t="shared" si="47"/>
        <v>0.83007399999999998</v>
      </c>
    </row>
    <row r="741" spans="1:12" ht="15" customHeight="1" x14ac:dyDescent="0.25">
      <c r="A741" s="10" t="str">
        <f>Raw_Data!A741</f>
        <v>Casio MJ-12D 150 Steps Check and Correct Desktop Calculator</v>
      </c>
      <c r="B741" s="10" t="str">
        <f>IFERROR(TRIM(LEFT(Raw_Data!A741,FIND(" ",Raw_Data!A741)-1)),Raw_Data!A741)</f>
        <v>Casio</v>
      </c>
      <c r="C741" s="10" t="str">
        <f>IFERROR(LEFT(Raw_Data!B741,FIND("|",Raw_Data!B741)-1),Raw_Data!B741)</f>
        <v>OfficeProducts</v>
      </c>
      <c r="D741" s="11">
        <f>IFERROR(VALUE(SUBSTITUTE(SUBSTITUTE(TRIM(Raw_Data!C741),"₹",""),",","")),"")</f>
        <v>440</v>
      </c>
      <c r="E741" s="11">
        <f>IFERROR(VALUE(SUBSTITUTE(SUBSTITUTE(TRIM(Raw_Data!D741),"₹",""),",","")),"")</f>
        <v>440</v>
      </c>
      <c r="F741" s="12">
        <f>IFERROR(VALUE(SUBSTITUTE(Raw_Data!E741,"%",""))/100,"")</f>
        <v>0</v>
      </c>
      <c r="G741" s="13">
        <f>IFERROR(VALUE(Raw_Data!F741),"")</f>
        <v>4.5</v>
      </c>
      <c r="H741" s="14">
        <f>IFERROR(VALUE(SUBSTITUTE(Raw_Data!G741,",","")),"")</f>
        <v>8610</v>
      </c>
      <c r="I741" s="11">
        <f t="shared" si="44"/>
        <v>0</v>
      </c>
      <c r="J741" s="11">
        <f t="shared" si="45"/>
        <v>3788400</v>
      </c>
      <c r="K741" s="1">
        <f t="shared" si="46"/>
        <v>8610.0000741000003</v>
      </c>
      <c r="L741" s="15">
        <f t="shared" si="47"/>
        <v>7.4099999999999999E-5</v>
      </c>
    </row>
    <row r="742" spans="1:12" ht="15" customHeight="1" x14ac:dyDescent="0.25">
      <c r="A742" s="10" t="str">
        <f>Raw_Data!A742</f>
        <v>Tukzer Capacitive Stylus Pen for Touch Screens Devices, Fine Point, Lightweight Metal Body with Magnetism Cover Cap for Smartphones/Tablets/iPad/iPad Pro/iPhone (Grey)</v>
      </c>
      <c r="B742" s="10" t="str">
        <f>IFERROR(TRIM(LEFT(Raw_Data!A742,FIND(" ",Raw_Data!A742)-1)),Raw_Data!A742)</f>
        <v>Tukzer</v>
      </c>
      <c r="C742" s="10" t="str">
        <f>IFERROR(LEFT(Raw_Data!B742,FIND("|",Raw_Data!B742)-1),Raw_Data!B742)</f>
        <v>Electronics</v>
      </c>
      <c r="D742" s="11">
        <f>IFERROR(VALUE(SUBSTITUTE(SUBSTITUTE(TRIM(Raw_Data!C742),"₹",""),",","")),"")</f>
        <v>349</v>
      </c>
      <c r="E742" s="11">
        <f>IFERROR(VALUE(SUBSTITUTE(SUBSTITUTE(TRIM(Raw_Data!D742),"₹",""),",","")),"")</f>
        <v>999</v>
      </c>
      <c r="F742" s="12">
        <f>IFERROR(VALUE(SUBSTITUTE(Raw_Data!E742,"%",""))/100,"")</f>
        <v>0.65</v>
      </c>
      <c r="G742" s="13">
        <f>IFERROR(VALUE(Raw_Data!F742),"")</f>
        <v>3.8</v>
      </c>
      <c r="H742" s="14">
        <f>IFERROR(VALUE(SUBSTITUTE(Raw_Data!G742,",","")),"")</f>
        <v>16557</v>
      </c>
      <c r="I742" s="11">
        <f t="shared" si="44"/>
        <v>650</v>
      </c>
      <c r="J742" s="11">
        <f t="shared" si="45"/>
        <v>5778393</v>
      </c>
      <c r="K742" s="1">
        <f t="shared" si="46"/>
        <v>16557.000074200001</v>
      </c>
      <c r="L742" s="15">
        <f t="shared" si="47"/>
        <v>0.65007420000000005</v>
      </c>
    </row>
    <row r="743" spans="1:12" ht="15" customHeight="1" x14ac:dyDescent="0.25">
      <c r="A743" s="10" t="str">
        <f>Raw_Data!A743</f>
        <v>Amazon Basics Multipurpose Foldable Laptop Table with Cup Holder, Brown</v>
      </c>
      <c r="B743" s="10" t="str">
        <f>IFERROR(TRIM(LEFT(Raw_Data!A743,FIND(" ",Raw_Data!A743)-1)),Raw_Data!A743)</f>
        <v>Amazon</v>
      </c>
      <c r="C743" s="10" t="str">
        <f>IFERROR(LEFT(Raw_Data!B743,FIND("|",Raw_Data!B743)-1),Raw_Data!B743)</f>
        <v>Computers&amp;Accessories</v>
      </c>
      <c r="D743" s="11">
        <f>IFERROR(VALUE(SUBSTITUTE(SUBSTITUTE(TRIM(Raw_Data!C743),"₹",""),",","")),"")</f>
        <v>599</v>
      </c>
      <c r="E743" s="11">
        <f>IFERROR(VALUE(SUBSTITUTE(SUBSTITUTE(TRIM(Raw_Data!D743),"₹",""),",","")),"")</f>
        <v>3999</v>
      </c>
      <c r="F743" s="12">
        <f>IFERROR(VALUE(SUBSTITUTE(Raw_Data!E743,"%",""))/100,"")</f>
        <v>0.85</v>
      </c>
      <c r="G743" s="13">
        <f>IFERROR(VALUE(Raw_Data!F743),"")</f>
        <v>3.9</v>
      </c>
      <c r="H743" s="14">
        <f>IFERROR(VALUE(SUBSTITUTE(Raw_Data!G743,",","")),"")</f>
        <v>1087</v>
      </c>
      <c r="I743" s="11">
        <f t="shared" si="44"/>
        <v>3400</v>
      </c>
      <c r="J743" s="11">
        <f t="shared" si="45"/>
        <v>651113</v>
      </c>
      <c r="K743" s="1">
        <f t="shared" si="46"/>
        <v>1087.0000743000001</v>
      </c>
      <c r="L743" s="15">
        <f t="shared" si="47"/>
        <v>0.85007429999999995</v>
      </c>
    </row>
    <row r="744" spans="1:12" ht="15" customHeight="1" x14ac:dyDescent="0.25">
      <c r="A744" s="10" t="str">
        <f>Raw_Data!A744</f>
        <v>Kanget [2 Pack] Type C Female to USB A Male Charger | Charging Cable Adapter Converter compatible for iPhone 14, 13, 12,11 Pro Max/Mini/XR/XS/X/SE, Samsung S20 ultra/S21/S10/S8/S9/MacBook Pro iPad (Grey)</v>
      </c>
      <c r="B744" s="10" t="str">
        <f>IFERROR(TRIM(LEFT(Raw_Data!A744,FIND(" ",Raw_Data!A744)-1)),Raw_Data!A744)</f>
        <v>Kanget</v>
      </c>
      <c r="C744" s="10" t="str">
        <f>IFERROR(LEFT(Raw_Data!B744,FIND("|",Raw_Data!B744)-1),Raw_Data!B744)</f>
        <v>Computers&amp;Accessories</v>
      </c>
      <c r="D744" s="11">
        <f>IFERROR(VALUE(SUBSTITUTE(SUBSTITUTE(TRIM(Raw_Data!C744),"₹",""),",","")),"")</f>
        <v>149</v>
      </c>
      <c r="E744" s="11">
        <f>IFERROR(VALUE(SUBSTITUTE(SUBSTITUTE(TRIM(Raw_Data!D744),"₹",""),",","")),"")</f>
        <v>399</v>
      </c>
      <c r="F744" s="12">
        <f>IFERROR(VALUE(SUBSTITUTE(Raw_Data!E744,"%",""))/100,"")</f>
        <v>0.63</v>
      </c>
      <c r="G744" s="13">
        <f>IFERROR(VALUE(Raw_Data!F744),"")</f>
        <v>4</v>
      </c>
      <c r="H744" s="14">
        <f>IFERROR(VALUE(SUBSTITUTE(Raw_Data!G744,",","")),"")</f>
        <v>1540</v>
      </c>
      <c r="I744" s="11">
        <f t="shared" si="44"/>
        <v>250</v>
      </c>
      <c r="J744" s="11">
        <f t="shared" si="45"/>
        <v>229460</v>
      </c>
      <c r="K744" s="1">
        <f t="shared" si="46"/>
        <v>1540.0000743999999</v>
      </c>
      <c r="L744" s="15">
        <f t="shared" si="47"/>
        <v>0.63007440000000003</v>
      </c>
    </row>
    <row r="745" spans="1:12" ht="15" customHeight="1" x14ac:dyDescent="0.25">
      <c r="A745" s="10" t="str">
        <f>Raw_Data!A745</f>
        <v>Amazon Basics Magic Slate 8.5-inch LCD Writing Tablet with Stylus Pen, for Drawing, Playing, Noting by Kids &amp; Adults, Black</v>
      </c>
      <c r="B745" s="10" t="str">
        <f>IFERROR(TRIM(LEFT(Raw_Data!A745,FIND(" ",Raw_Data!A745)-1)),Raw_Data!A745)</f>
        <v>Amazon</v>
      </c>
      <c r="C745" s="10" t="str">
        <f>IFERROR(LEFT(Raw_Data!B745,FIND("|",Raw_Data!B745)-1),Raw_Data!B745)</f>
        <v>Computers&amp;Accessories</v>
      </c>
      <c r="D745" s="11">
        <f>IFERROR(VALUE(SUBSTITUTE(SUBSTITUTE(TRIM(Raw_Data!C745),"₹",""),",","")),"")</f>
        <v>289</v>
      </c>
      <c r="E745" s="11">
        <f>IFERROR(VALUE(SUBSTITUTE(SUBSTITUTE(TRIM(Raw_Data!D745),"₹",""),",","")),"")</f>
        <v>999</v>
      </c>
      <c r="F745" s="12">
        <f>IFERROR(VALUE(SUBSTITUTE(Raw_Data!E745,"%",""))/100,"")</f>
        <v>0.71</v>
      </c>
      <c r="G745" s="13">
        <f>IFERROR(VALUE(Raw_Data!F745),"")</f>
        <v>4.0999999999999996</v>
      </c>
      <c r="H745" s="14">
        <f>IFERROR(VALUE(SUBSTITUTE(Raw_Data!G745,",","")),"")</f>
        <v>401</v>
      </c>
      <c r="I745" s="11">
        <f t="shared" si="44"/>
        <v>710</v>
      </c>
      <c r="J745" s="11">
        <f t="shared" si="45"/>
        <v>115889</v>
      </c>
      <c r="K745" s="1">
        <f t="shared" si="46"/>
        <v>401.00007449999998</v>
      </c>
      <c r="L745" s="15">
        <f t="shared" si="47"/>
        <v>0.71007449999999994</v>
      </c>
    </row>
    <row r="746" spans="1:12" ht="15" customHeight="1" x14ac:dyDescent="0.25">
      <c r="A746" s="10" t="str">
        <f>Raw_Data!A746</f>
        <v>Zebronics ZEB-90HB USB Hub, 4 Ports, Pocket Sized, Plug &amp; Play, for Laptop &amp; Computers</v>
      </c>
      <c r="B746" s="10" t="str">
        <f>IFERROR(TRIM(LEFT(Raw_Data!A746,FIND(" ",Raw_Data!A746)-1)),Raw_Data!A746)</f>
        <v>Zebronics</v>
      </c>
      <c r="C746" s="10" t="str">
        <f>IFERROR(LEFT(Raw_Data!B746,FIND("|",Raw_Data!B746)-1),Raw_Data!B746)</f>
        <v>Computers&amp;Accessories</v>
      </c>
      <c r="D746" s="11">
        <f>IFERROR(VALUE(SUBSTITUTE(SUBSTITUTE(TRIM(Raw_Data!C746),"₹",""),",","")),"")</f>
        <v>179</v>
      </c>
      <c r="E746" s="11">
        <f>IFERROR(VALUE(SUBSTITUTE(SUBSTITUTE(TRIM(Raw_Data!D746),"₹",""),",","")),"")</f>
        <v>499</v>
      </c>
      <c r="F746" s="12">
        <f>IFERROR(VALUE(SUBSTITUTE(Raw_Data!E746,"%",""))/100,"")</f>
        <v>0.64</v>
      </c>
      <c r="G746" s="13">
        <f>IFERROR(VALUE(Raw_Data!F746),"")</f>
        <v>3.4</v>
      </c>
      <c r="H746" s="14">
        <f>IFERROR(VALUE(SUBSTITUTE(Raw_Data!G746,",","")),"")</f>
        <v>9385</v>
      </c>
      <c r="I746" s="11">
        <f t="shared" si="44"/>
        <v>320</v>
      </c>
      <c r="J746" s="11">
        <f t="shared" si="45"/>
        <v>1679915</v>
      </c>
      <c r="K746" s="1">
        <f t="shared" si="46"/>
        <v>9385.0000746000005</v>
      </c>
      <c r="L746" s="15">
        <f t="shared" si="47"/>
        <v>0.64007460000000005</v>
      </c>
    </row>
    <row r="747" spans="1:12" ht="15" customHeight="1" x14ac:dyDescent="0.25">
      <c r="A747" s="10" t="str">
        <f>Raw_Data!A747</f>
        <v>Noise ColorFit Pro 2 Full Touch Control Smart Watch with 35g Weight &amp; Upgraded LCD Display,IP68 Waterproof,Heart Rate Monitor,Sleep &amp; Step Tracker,Call &amp; Message Alerts &amp; Long Battery Life (Jet Black)</v>
      </c>
      <c r="B747" s="10" t="str">
        <f>IFERROR(TRIM(LEFT(Raw_Data!A747,FIND(" ",Raw_Data!A747)-1)),Raw_Data!A747)</f>
        <v>Noise</v>
      </c>
      <c r="C747" s="10" t="str">
        <f>IFERROR(LEFT(Raw_Data!B747,FIND("|",Raw_Data!B747)-1),Raw_Data!B747)</f>
        <v>Electronics</v>
      </c>
      <c r="D747" s="11">
        <f>IFERROR(VALUE(SUBSTITUTE(SUBSTITUTE(TRIM(Raw_Data!C747),"₹",""),",","")),"")</f>
        <v>1499</v>
      </c>
      <c r="E747" s="11">
        <f>IFERROR(VALUE(SUBSTITUTE(SUBSTITUTE(TRIM(Raw_Data!D747),"₹",""),",","")),"")</f>
        <v>4999</v>
      </c>
      <c r="F747" s="12">
        <f>IFERROR(VALUE(SUBSTITUTE(Raw_Data!E747,"%",""))/100,"")</f>
        <v>0.7</v>
      </c>
      <c r="G747" s="13">
        <f>IFERROR(VALUE(Raw_Data!F747),"")</f>
        <v>4</v>
      </c>
      <c r="H747" s="14">
        <f>IFERROR(VALUE(SUBSTITUTE(Raw_Data!G747,",","")),"")</f>
        <v>92588</v>
      </c>
      <c r="I747" s="11">
        <f t="shared" si="44"/>
        <v>3500</v>
      </c>
      <c r="J747" s="11">
        <f t="shared" si="45"/>
        <v>138789412</v>
      </c>
      <c r="K747" s="1">
        <f t="shared" si="46"/>
        <v>92588.000074700001</v>
      </c>
      <c r="L747" s="15">
        <f t="shared" si="47"/>
        <v>0.70007469999999994</v>
      </c>
    </row>
    <row r="748" spans="1:12" ht="15" customHeight="1" x14ac:dyDescent="0.25">
      <c r="A748" s="10" t="str">
        <f>Raw_Data!A748</f>
        <v>Zebronics Zeb Buds C2 in Ear Type C Wired Earphones with Mic, Braided 1.2 Metre Cable, Metallic Design, 10mm Drivers, in Line Mic &amp; Volume Controller (Blue)</v>
      </c>
      <c r="B748" s="10" t="str">
        <f>IFERROR(TRIM(LEFT(Raw_Data!A748,FIND(" ",Raw_Data!A748)-1)),Raw_Data!A748)</f>
        <v>Zebronics</v>
      </c>
      <c r="C748" s="10" t="str">
        <f>IFERROR(LEFT(Raw_Data!B748,FIND("|",Raw_Data!B748)-1),Raw_Data!B748)</f>
        <v>Electronics</v>
      </c>
      <c r="D748" s="11">
        <f>IFERROR(VALUE(SUBSTITUTE(SUBSTITUTE(TRIM(Raw_Data!C748),"₹",""),",","")),"")</f>
        <v>399</v>
      </c>
      <c r="E748" s="11">
        <f>IFERROR(VALUE(SUBSTITUTE(SUBSTITUTE(TRIM(Raw_Data!D748),"₹",""),",","")),"")</f>
        <v>699</v>
      </c>
      <c r="F748" s="12">
        <f>IFERROR(VALUE(SUBSTITUTE(Raw_Data!E748,"%",""))/100,"")</f>
        <v>0.43</v>
      </c>
      <c r="G748" s="13">
        <f>IFERROR(VALUE(Raw_Data!F748),"")</f>
        <v>3.4</v>
      </c>
      <c r="H748" s="14">
        <f>IFERROR(VALUE(SUBSTITUTE(Raw_Data!G748,",","")),"")</f>
        <v>3454</v>
      </c>
      <c r="I748" s="11">
        <f t="shared" si="44"/>
        <v>300</v>
      </c>
      <c r="J748" s="11">
        <f t="shared" si="45"/>
        <v>1378146</v>
      </c>
      <c r="K748" s="1">
        <f t="shared" si="46"/>
        <v>3454.0000748000002</v>
      </c>
      <c r="L748" s="15">
        <f t="shared" si="47"/>
        <v>0.43007479999999998</v>
      </c>
    </row>
    <row r="749" spans="1:12" ht="15" customHeight="1" x14ac:dyDescent="0.25">
      <c r="A749" s="10" t="str">
        <f>Raw_Data!A749</f>
        <v>Redgear A-15 Wired Gaming Mouse with Upto 6400 DPI, RGB &amp; Driver Customization for PC(Black)</v>
      </c>
      <c r="B749" s="10" t="str">
        <f>IFERROR(TRIM(LEFT(Raw_Data!A749,FIND(" ",Raw_Data!A749)-1)),Raw_Data!A749)</f>
        <v>Redgear</v>
      </c>
      <c r="C749" s="10" t="str">
        <f>IFERROR(LEFT(Raw_Data!B749,FIND("|",Raw_Data!B749)-1),Raw_Data!B749)</f>
        <v>Computers&amp;Accessories</v>
      </c>
      <c r="D749" s="11">
        <f>IFERROR(VALUE(SUBSTITUTE(SUBSTITUTE(TRIM(Raw_Data!C749),"₹",""),",","")),"")</f>
        <v>599</v>
      </c>
      <c r="E749" s="11">
        <f>IFERROR(VALUE(SUBSTITUTE(SUBSTITUTE(TRIM(Raw_Data!D749),"₹",""),",","")),"")</f>
        <v>799</v>
      </c>
      <c r="F749" s="12">
        <f>IFERROR(VALUE(SUBSTITUTE(Raw_Data!E749,"%",""))/100,"")</f>
        <v>0.25</v>
      </c>
      <c r="G749" s="13">
        <f>IFERROR(VALUE(Raw_Data!F749),"")</f>
        <v>4.3</v>
      </c>
      <c r="H749" s="14">
        <f>IFERROR(VALUE(SUBSTITUTE(Raw_Data!G749,",","")),"")</f>
        <v>15790</v>
      </c>
      <c r="I749" s="11">
        <f t="shared" si="44"/>
        <v>200</v>
      </c>
      <c r="J749" s="11">
        <f t="shared" si="45"/>
        <v>9458210</v>
      </c>
      <c r="K749" s="1">
        <f t="shared" si="46"/>
        <v>15790.000074899999</v>
      </c>
      <c r="L749" s="15">
        <f t="shared" si="47"/>
        <v>0.25007489999999999</v>
      </c>
    </row>
    <row r="750" spans="1:12" ht="15" customHeight="1" x14ac:dyDescent="0.25">
      <c r="A750" s="10" t="str">
        <f>Raw_Data!A750</f>
        <v>JBL Commercial CSLM20B Auxiliary Omnidirectional Lavalier Microphone with Battery for Content Creation, Voiceover/Dubbing, Recording (Black,Small)</v>
      </c>
      <c r="B750" s="10" t="str">
        <f>IFERROR(TRIM(LEFT(Raw_Data!A750,FIND(" ",Raw_Data!A750)-1)),Raw_Data!A750)</f>
        <v>JBL</v>
      </c>
      <c r="C750" s="10" t="str">
        <f>IFERROR(LEFT(Raw_Data!B750,FIND("|",Raw_Data!B750)-1),Raw_Data!B750)</f>
        <v>Computers&amp;Accessories</v>
      </c>
      <c r="D750" s="11">
        <f>IFERROR(VALUE(SUBSTITUTE(SUBSTITUTE(TRIM(Raw_Data!C750),"₹",""),",","")),"")</f>
        <v>949</v>
      </c>
      <c r="E750" s="11">
        <f>IFERROR(VALUE(SUBSTITUTE(SUBSTITUTE(TRIM(Raw_Data!D750),"₹",""),",","")),"")</f>
        <v>2000</v>
      </c>
      <c r="F750" s="12">
        <f>IFERROR(VALUE(SUBSTITUTE(Raw_Data!E750,"%",""))/100,"")</f>
        <v>0.53</v>
      </c>
      <c r="G750" s="13">
        <f>IFERROR(VALUE(Raw_Data!F750),"")</f>
        <v>3.9</v>
      </c>
      <c r="H750" s="14">
        <f>IFERROR(VALUE(SUBSTITUTE(Raw_Data!G750,",","")),"")</f>
        <v>14969</v>
      </c>
      <c r="I750" s="11">
        <f t="shared" si="44"/>
        <v>1051</v>
      </c>
      <c r="J750" s="11">
        <f t="shared" si="45"/>
        <v>14205581</v>
      </c>
      <c r="K750" s="1">
        <f t="shared" si="46"/>
        <v>14969.000075</v>
      </c>
      <c r="L750" s="15">
        <f t="shared" si="47"/>
        <v>0.53007500000000007</v>
      </c>
    </row>
    <row r="751" spans="1:12" ht="15" customHeight="1" x14ac:dyDescent="0.25">
      <c r="A751" s="10" t="str">
        <f>Raw_Data!A751</f>
        <v>Fire-Boltt India's No 1 Smartwatch Brand Ring Bluetooth Calling with SpO2 &amp; 1.7” Metal Body with Blood Oxygen Monitoring, Continuous Heart Rate, Full Touch &amp; Multiple Watch Faces</v>
      </c>
      <c r="B751" s="10" t="str">
        <f>IFERROR(TRIM(LEFT(Raw_Data!A751,FIND(" ",Raw_Data!A751)-1)),Raw_Data!A751)</f>
        <v>Fire-Boltt</v>
      </c>
      <c r="C751" s="10" t="str">
        <f>IFERROR(LEFT(Raw_Data!B751,FIND("|",Raw_Data!B751)-1),Raw_Data!B751)</f>
        <v>Electronics</v>
      </c>
      <c r="D751" s="11">
        <f>IFERROR(VALUE(SUBSTITUTE(SUBSTITUTE(TRIM(Raw_Data!C751),"₹",""),",","")),"")</f>
        <v>2499</v>
      </c>
      <c r="E751" s="11">
        <f>IFERROR(VALUE(SUBSTITUTE(SUBSTITUTE(TRIM(Raw_Data!D751),"₹",""),",","")),"")</f>
        <v>9999</v>
      </c>
      <c r="F751" s="12">
        <f>IFERROR(VALUE(SUBSTITUTE(Raw_Data!E751,"%",""))/100,"")</f>
        <v>0.75</v>
      </c>
      <c r="G751" s="13">
        <f>IFERROR(VALUE(Raw_Data!F751),"")</f>
        <v>4.0999999999999996</v>
      </c>
      <c r="H751" s="14">
        <f>IFERROR(VALUE(SUBSTITUTE(Raw_Data!G751,",","")),"")</f>
        <v>42139</v>
      </c>
      <c r="I751" s="11">
        <f t="shared" si="44"/>
        <v>7500</v>
      </c>
      <c r="J751" s="11">
        <f t="shared" si="45"/>
        <v>105305361</v>
      </c>
      <c r="K751" s="1">
        <f t="shared" si="46"/>
        <v>42139.000075099997</v>
      </c>
      <c r="L751" s="15">
        <f t="shared" si="47"/>
        <v>0.75007509999999999</v>
      </c>
    </row>
    <row r="752" spans="1:12" ht="15" customHeight="1" x14ac:dyDescent="0.25">
      <c r="A752" s="10" t="str">
        <f>Raw_Data!A752</f>
        <v>Eveready Red 1012 AAA Batteries - Pack of 10</v>
      </c>
      <c r="B752" s="10" t="str">
        <f>IFERROR(TRIM(LEFT(Raw_Data!A752,FIND(" ",Raw_Data!A752)-1)),Raw_Data!A752)</f>
        <v>Eveready</v>
      </c>
      <c r="C752" s="10" t="str">
        <f>IFERROR(LEFT(Raw_Data!B752,FIND("|",Raw_Data!B752)-1),Raw_Data!B752)</f>
        <v>Electronics</v>
      </c>
      <c r="D752" s="11">
        <f>IFERROR(VALUE(SUBSTITUTE(SUBSTITUTE(TRIM(Raw_Data!C752),"₹",""),",","")),"")</f>
        <v>159</v>
      </c>
      <c r="E752" s="11">
        <f>IFERROR(VALUE(SUBSTITUTE(SUBSTITUTE(TRIM(Raw_Data!D752),"₹",""),",","")),"")</f>
        <v>180</v>
      </c>
      <c r="F752" s="12">
        <f>IFERROR(VALUE(SUBSTITUTE(Raw_Data!E752,"%",""))/100,"")</f>
        <v>0.12</v>
      </c>
      <c r="G752" s="13">
        <f>IFERROR(VALUE(Raw_Data!F752),"")</f>
        <v>4.3</v>
      </c>
      <c r="H752" s="14">
        <f>IFERROR(VALUE(SUBSTITUTE(Raw_Data!G752,",","")),"")</f>
        <v>989</v>
      </c>
      <c r="I752" s="11">
        <f t="shared" si="44"/>
        <v>21</v>
      </c>
      <c r="J752" s="11">
        <f t="shared" si="45"/>
        <v>157251</v>
      </c>
      <c r="K752" s="1">
        <f t="shared" si="46"/>
        <v>989.00007519999997</v>
      </c>
      <c r="L752" s="15">
        <f t="shared" si="47"/>
        <v>0.12007519999999999</v>
      </c>
    </row>
    <row r="753" spans="1:12" ht="15" customHeight="1" x14ac:dyDescent="0.25">
      <c r="A753" s="10" t="str">
        <f>Raw_Data!A753</f>
        <v>SanDisk Extreme microSD UHS I Card 128GB for 4K Video on Smartphones,Action Cams 190MB/s Read,90MB/s Write</v>
      </c>
      <c r="B753" s="10" t="str">
        <f>IFERROR(TRIM(LEFT(Raw_Data!A753,FIND(" ",Raw_Data!A753)-1)),Raw_Data!A753)</f>
        <v>SanDisk</v>
      </c>
      <c r="C753" s="10" t="str">
        <f>IFERROR(LEFT(Raw_Data!B753,FIND("|",Raw_Data!B753)-1),Raw_Data!B753)</f>
        <v>Electronics</v>
      </c>
      <c r="D753" s="11">
        <f>IFERROR(VALUE(SUBSTITUTE(SUBSTITUTE(TRIM(Raw_Data!C753),"₹",""),",","")),"")</f>
        <v>1329</v>
      </c>
      <c r="E753" s="11">
        <f>IFERROR(VALUE(SUBSTITUTE(SUBSTITUTE(TRIM(Raw_Data!D753),"₹",""),",","")),"")</f>
        <v>2900</v>
      </c>
      <c r="F753" s="12">
        <f>IFERROR(VALUE(SUBSTITUTE(Raw_Data!E753,"%",""))/100,"")</f>
        <v>0.54</v>
      </c>
      <c r="G753" s="13">
        <f>IFERROR(VALUE(Raw_Data!F753),"")</f>
        <v>4.5</v>
      </c>
      <c r="H753" s="14">
        <f>IFERROR(VALUE(SUBSTITUTE(Raw_Data!G753,",","")),"")</f>
        <v>19624</v>
      </c>
      <c r="I753" s="11">
        <f t="shared" si="44"/>
        <v>1571</v>
      </c>
      <c r="J753" s="11">
        <f t="shared" si="45"/>
        <v>26080296</v>
      </c>
      <c r="K753" s="1">
        <f t="shared" si="46"/>
        <v>19624.000075299999</v>
      </c>
      <c r="L753" s="15">
        <f t="shared" si="47"/>
        <v>0.54007530000000004</v>
      </c>
    </row>
    <row r="754" spans="1:12" ht="15" customHeight="1" x14ac:dyDescent="0.25">
      <c r="A754" s="10" t="str">
        <f>Raw_Data!A754</f>
        <v>Portronics MPORT 31C 4-in-1 USB Hub (Type C to 4 USB-A Ports) with Fast Data Transfer</v>
      </c>
      <c r="B754" s="10" t="str">
        <f>IFERROR(TRIM(LEFT(Raw_Data!A754,FIND(" ",Raw_Data!A754)-1)),Raw_Data!A754)</f>
        <v>Portronics</v>
      </c>
      <c r="C754" s="10" t="str">
        <f>IFERROR(LEFT(Raw_Data!B754,FIND("|",Raw_Data!B754)-1),Raw_Data!B754)</f>
        <v>Computers&amp;Accessories</v>
      </c>
      <c r="D754" s="11">
        <f>IFERROR(VALUE(SUBSTITUTE(SUBSTITUTE(TRIM(Raw_Data!C754),"₹",""),",","")),"")</f>
        <v>570</v>
      </c>
      <c r="E754" s="11">
        <f>IFERROR(VALUE(SUBSTITUTE(SUBSTITUTE(TRIM(Raw_Data!D754),"₹",""),",","")),"")</f>
        <v>999</v>
      </c>
      <c r="F754" s="12">
        <f>IFERROR(VALUE(SUBSTITUTE(Raw_Data!E754,"%",""))/100,"")</f>
        <v>0.43</v>
      </c>
      <c r="G754" s="13">
        <f>IFERROR(VALUE(Raw_Data!F754),"")</f>
        <v>4.2</v>
      </c>
      <c r="H754" s="14">
        <f>IFERROR(VALUE(SUBSTITUTE(Raw_Data!G754,",","")),"")</f>
        <v>3201</v>
      </c>
      <c r="I754" s="11">
        <f t="shared" si="44"/>
        <v>429</v>
      </c>
      <c r="J754" s="11">
        <f t="shared" si="45"/>
        <v>1824570</v>
      </c>
      <c r="K754" s="1">
        <f t="shared" si="46"/>
        <v>3201.0000753999998</v>
      </c>
      <c r="L754" s="15">
        <f t="shared" si="47"/>
        <v>0.4300754</v>
      </c>
    </row>
    <row r="755" spans="1:12" ht="15" customHeight="1" x14ac:dyDescent="0.25">
      <c r="A755" s="10" t="str">
        <f>Raw_Data!A755</f>
        <v>Infinity (JBL Fuze Pint, Wireless Ultra Portable Mini Speaker with Mic, Deep Bass, Dual Equalizer, Bluetooth 5.0 with Voice Assistant Support for Mobiles (Black)</v>
      </c>
      <c r="B755" s="10" t="str">
        <f>IFERROR(TRIM(LEFT(Raw_Data!A755,FIND(" ",Raw_Data!A755)-1)),Raw_Data!A755)</f>
        <v>Infinity</v>
      </c>
      <c r="C755" s="10" t="str">
        <f>IFERROR(LEFT(Raw_Data!B755,FIND("|",Raw_Data!B755)-1),Raw_Data!B755)</f>
        <v>Electronics</v>
      </c>
      <c r="D755" s="11">
        <f>IFERROR(VALUE(SUBSTITUTE(SUBSTITUTE(TRIM(Raw_Data!C755),"₹",""),",","")),"")</f>
        <v>899</v>
      </c>
      <c r="E755" s="11">
        <f>IFERROR(VALUE(SUBSTITUTE(SUBSTITUTE(TRIM(Raw_Data!D755),"₹",""),",","")),"")</f>
        <v>1999</v>
      </c>
      <c r="F755" s="12">
        <f>IFERROR(VALUE(SUBSTITUTE(Raw_Data!E755,"%",""))/100,"")</f>
        <v>0.55000000000000004</v>
      </c>
      <c r="G755" s="13">
        <f>IFERROR(VALUE(Raw_Data!F755),"")</f>
        <v>4.0999999999999996</v>
      </c>
      <c r="H755" s="14">
        <f>IFERROR(VALUE(SUBSTITUTE(Raw_Data!G755,",","")),"")</f>
        <v>30469</v>
      </c>
      <c r="I755" s="11">
        <f t="shared" si="44"/>
        <v>1100</v>
      </c>
      <c r="J755" s="11">
        <f t="shared" si="45"/>
        <v>27391631</v>
      </c>
      <c r="K755" s="1">
        <f t="shared" si="46"/>
        <v>30469.0000755</v>
      </c>
      <c r="L755" s="15">
        <f t="shared" si="47"/>
        <v>0.55007550000000005</v>
      </c>
    </row>
    <row r="756" spans="1:12" ht="15" customHeight="1" x14ac:dyDescent="0.25">
      <c r="A756" s="10" t="str">
        <f>Raw_Data!A756</f>
        <v>AirCase Protective Laptop Bag Sleeve fits Upto 13.3" Laptop/ MacBook, Wrinkle Free, Padded, Waterproof Light Neoprene case Cover Pouch, for Men &amp; Women, Black- 6 Months Warranty</v>
      </c>
      <c r="B756" s="10" t="str">
        <f>IFERROR(TRIM(LEFT(Raw_Data!A756,FIND(" ",Raw_Data!A756)-1)),Raw_Data!A756)</f>
        <v>AirCase</v>
      </c>
      <c r="C756" s="10" t="str">
        <f>IFERROR(LEFT(Raw_Data!B756,FIND("|",Raw_Data!B756)-1),Raw_Data!B756)</f>
        <v>Computers&amp;Accessories</v>
      </c>
      <c r="D756" s="11">
        <f>IFERROR(VALUE(SUBSTITUTE(SUBSTITUTE(TRIM(Raw_Data!C756),"₹",""),",","")),"")</f>
        <v>449</v>
      </c>
      <c r="E756" s="11">
        <f>IFERROR(VALUE(SUBSTITUTE(SUBSTITUTE(TRIM(Raw_Data!D756),"₹",""),",","")),"")</f>
        <v>999</v>
      </c>
      <c r="F756" s="12">
        <f>IFERROR(VALUE(SUBSTITUTE(Raw_Data!E756,"%",""))/100,"")</f>
        <v>0.55000000000000004</v>
      </c>
      <c r="G756" s="13">
        <f>IFERROR(VALUE(Raw_Data!F756),"")</f>
        <v>4.4000000000000004</v>
      </c>
      <c r="H756" s="14">
        <f>IFERROR(VALUE(SUBSTITUTE(Raw_Data!G756,",","")),"")</f>
        <v>9940</v>
      </c>
      <c r="I756" s="11">
        <f t="shared" si="44"/>
        <v>550</v>
      </c>
      <c r="J756" s="11">
        <f t="shared" si="45"/>
        <v>4463060</v>
      </c>
      <c r="K756" s="1">
        <f t="shared" si="46"/>
        <v>9940.0000756000009</v>
      </c>
      <c r="L756" s="15">
        <f t="shared" si="47"/>
        <v>0.5500756</v>
      </c>
    </row>
    <row r="757" spans="1:12" ht="15" customHeight="1" x14ac:dyDescent="0.25">
      <c r="A757" s="10" t="str">
        <f>Raw_Data!A757</f>
        <v>Brand Conquer 6 in 1 with OTG, SD Card Reader, USB Type C, USB 3.0 and Micro USB, for Memory Card | Portable Card Reader | Compatible with TF, SD, Micro SD, SDHC, SDXC, MMC, RS-MMC, Micro SDXC</v>
      </c>
      <c r="B757" s="10" t="str">
        <f>IFERROR(TRIM(LEFT(Raw_Data!A757,FIND(" ",Raw_Data!A757)-1)),Raw_Data!A757)</f>
        <v>Brand</v>
      </c>
      <c r="C757" s="10" t="str">
        <f>IFERROR(LEFT(Raw_Data!B757,FIND("|",Raw_Data!B757)-1),Raw_Data!B757)</f>
        <v>Computers&amp;Accessories</v>
      </c>
      <c r="D757" s="11">
        <f>IFERROR(VALUE(SUBSTITUTE(SUBSTITUTE(TRIM(Raw_Data!C757),"₹",""),",","")),"")</f>
        <v>549</v>
      </c>
      <c r="E757" s="11">
        <f>IFERROR(VALUE(SUBSTITUTE(SUBSTITUTE(TRIM(Raw_Data!D757),"₹",""),",","")),"")</f>
        <v>999</v>
      </c>
      <c r="F757" s="12">
        <f>IFERROR(VALUE(SUBSTITUTE(Raw_Data!E757,"%",""))/100,"")</f>
        <v>0.45</v>
      </c>
      <c r="G757" s="13">
        <f>IFERROR(VALUE(Raw_Data!F757),"")</f>
        <v>4.3</v>
      </c>
      <c r="H757" s="14">
        <f>IFERROR(VALUE(SUBSTITUTE(Raw_Data!G757,",","")),"")</f>
        <v>7758</v>
      </c>
      <c r="I757" s="11">
        <f t="shared" si="44"/>
        <v>450</v>
      </c>
      <c r="J757" s="11">
        <f t="shared" si="45"/>
        <v>4259142</v>
      </c>
      <c r="K757" s="1">
        <f t="shared" si="46"/>
        <v>7758.0000756999998</v>
      </c>
      <c r="L757" s="15">
        <f t="shared" si="47"/>
        <v>0.45007570000000002</v>
      </c>
    </row>
    <row r="758" spans="1:12" ht="15" customHeight="1" x14ac:dyDescent="0.25">
      <c r="A758" s="10" t="str">
        <f>Raw_Data!A758</f>
        <v>TP-Link AC750 Dual Band Wireless Cable Router, 4 10/100 LAN + 10/100 WAN Ports, Support Guest Network and Parental Control, 750Mbps Speed Wi-Fi, 3 Antennas (Archer C20) Blue, 2.4 GHz</v>
      </c>
      <c r="B758" s="10" t="str">
        <f>IFERROR(TRIM(LEFT(Raw_Data!A758,FIND(" ",Raw_Data!A758)-1)),Raw_Data!A758)</f>
        <v>TP-Link</v>
      </c>
      <c r="C758" s="10" t="str">
        <f>IFERROR(LEFT(Raw_Data!B758,FIND("|",Raw_Data!B758)-1),Raw_Data!B758)</f>
        <v>Computers&amp;Accessories</v>
      </c>
      <c r="D758" s="11">
        <f>IFERROR(VALUE(SUBSTITUTE(SUBSTITUTE(TRIM(Raw_Data!C758),"₹",""),",","")),"")</f>
        <v>1529</v>
      </c>
      <c r="E758" s="11">
        <f>IFERROR(VALUE(SUBSTITUTE(SUBSTITUTE(TRIM(Raw_Data!D758),"₹",""),",","")),"")</f>
        <v>2399</v>
      </c>
      <c r="F758" s="12">
        <f>IFERROR(VALUE(SUBSTITUTE(Raw_Data!E758,"%",""))/100,"")</f>
        <v>0.36</v>
      </c>
      <c r="G758" s="13">
        <f>IFERROR(VALUE(Raw_Data!F758),"")</f>
        <v>4.3</v>
      </c>
      <c r="H758" s="14">
        <f>IFERROR(VALUE(SUBSTITUTE(Raw_Data!G758,",","")),"")</f>
        <v>68409</v>
      </c>
      <c r="I758" s="11">
        <f t="shared" si="44"/>
        <v>870</v>
      </c>
      <c r="J758" s="11">
        <f t="shared" si="45"/>
        <v>104597361</v>
      </c>
      <c r="K758" s="1">
        <f t="shared" si="46"/>
        <v>68409.000075799995</v>
      </c>
      <c r="L758" s="15">
        <f t="shared" si="47"/>
        <v>0.3600758</v>
      </c>
    </row>
    <row r="759" spans="1:12" ht="15" customHeight="1" x14ac:dyDescent="0.25">
      <c r="A759" s="10" t="str">
        <f>Raw_Data!A759</f>
        <v>Parker Quink Ink Bottle, Blue</v>
      </c>
      <c r="B759" s="10" t="str">
        <f>IFERROR(TRIM(LEFT(Raw_Data!A759,FIND(" ",Raw_Data!A759)-1)),Raw_Data!A759)</f>
        <v>Parker</v>
      </c>
      <c r="C759" s="10" t="str">
        <f>IFERROR(LEFT(Raw_Data!B759,FIND("|",Raw_Data!B759)-1),Raw_Data!B759)</f>
        <v>OfficeProducts</v>
      </c>
      <c r="D759" s="11">
        <f>IFERROR(VALUE(SUBSTITUTE(SUBSTITUTE(TRIM(Raw_Data!C759),"₹",""),",","")),"")</f>
        <v>100</v>
      </c>
      <c r="E759" s="11">
        <f>IFERROR(VALUE(SUBSTITUTE(SUBSTITUTE(TRIM(Raw_Data!D759),"₹",""),",","")),"")</f>
        <v>100</v>
      </c>
      <c r="F759" s="12">
        <f>IFERROR(VALUE(SUBSTITUTE(Raw_Data!E759,"%",""))/100,"")</f>
        <v>0</v>
      </c>
      <c r="G759" s="13">
        <f>IFERROR(VALUE(Raw_Data!F759),"")</f>
        <v>4.3</v>
      </c>
      <c r="H759" s="14">
        <f>IFERROR(VALUE(SUBSTITUTE(Raw_Data!G759,",","")),"")</f>
        <v>3095</v>
      </c>
      <c r="I759" s="11">
        <f t="shared" si="44"/>
        <v>0</v>
      </c>
      <c r="J759" s="11">
        <f t="shared" si="45"/>
        <v>309500</v>
      </c>
      <c r="K759" s="1">
        <f t="shared" si="46"/>
        <v>3095.0000759</v>
      </c>
      <c r="L759" s="15">
        <f t="shared" si="47"/>
        <v>7.5900000000000002E-5</v>
      </c>
    </row>
    <row r="760" spans="1:12" ht="15" customHeight="1" x14ac:dyDescent="0.25">
      <c r="A760" s="10" t="str">
        <f>Raw_Data!A760</f>
        <v>STRIFF Laptop Stand Adjustable Laptop Computer Stand Multi-Angle Stand Phone Stand Portable Foldable Laptop Riser Notebook Holder Stand Compatible for 9 to 15.6” Laptops Black(Black)</v>
      </c>
      <c r="B760" s="10" t="str">
        <f>IFERROR(TRIM(LEFT(Raw_Data!A760,FIND(" ",Raw_Data!A760)-1)),Raw_Data!A760)</f>
        <v>STRIFF</v>
      </c>
      <c r="C760" s="10" t="str">
        <f>IFERROR(LEFT(Raw_Data!B760,FIND("|",Raw_Data!B760)-1),Raw_Data!B760)</f>
        <v>Computers&amp;Accessories</v>
      </c>
      <c r="D760" s="11">
        <f>IFERROR(VALUE(SUBSTITUTE(SUBSTITUTE(TRIM(Raw_Data!C760),"₹",""),",","")),"")</f>
        <v>299</v>
      </c>
      <c r="E760" s="11">
        <f>IFERROR(VALUE(SUBSTITUTE(SUBSTITUTE(TRIM(Raw_Data!D760),"₹",""),",","")),"")</f>
        <v>1499</v>
      </c>
      <c r="F760" s="12">
        <f>IFERROR(VALUE(SUBSTITUTE(Raw_Data!E760,"%",""))/100,"")</f>
        <v>0.8</v>
      </c>
      <c r="G760" s="13">
        <f>IFERROR(VALUE(Raw_Data!F760),"")</f>
        <v>4.2</v>
      </c>
      <c r="H760" s="14">
        <f>IFERROR(VALUE(SUBSTITUTE(Raw_Data!G760,",","")),"")</f>
        <v>903</v>
      </c>
      <c r="I760" s="11">
        <f t="shared" si="44"/>
        <v>1200</v>
      </c>
      <c r="J760" s="11">
        <f t="shared" si="45"/>
        <v>269997</v>
      </c>
      <c r="K760" s="1">
        <f t="shared" si="46"/>
        <v>903.00007600000004</v>
      </c>
      <c r="L760" s="15">
        <f t="shared" si="47"/>
        <v>0.80007600000000001</v>
      </c>
    </row>
    <row r="761" spans="1:12" ht="15" customHeight="1" x14ac:dyDescent="0.25">
      <c r="A761" s="10" t="str">
        <f>Raw_Data!A761</f>
        <v>Logitech MK215 Wireless Keyboard and Mouse Combo for Windows, 2.4 GHz Wireless, Compact Design, 2-Year Battery Life(Keyboard),5 Month Battery Life(Mouse) PC/Laptop- Black</v>
      </c>
      <c r="B761" s="10" t="str">
        <f>IFERROR(TRIM(LEFT(Raw_Data!A761,FIND(" ",Raw_Data!A761)-1)),Raw_Data!A761)</f>
        <v>Logitech</v>
      </c>
      <c r="C761" s="10" t="str">
        <f>IFERROR(LEFT(Raw_Data!B761,FIND("|",Raw_Data!B761)-1),Raw_Data!B761)</f>
        <v>Computers&amp;Accessories</v>
      </c>
      <c r="D761" s="11">
        <f>IFERROR(VALUE(SUBSTITUTE(SUBSTITUTE(TRIM(Raw_Data!C761),"₹",""),",","")),"")</f>
        <v>1295</v>
      </c>
      <c r="E761" s="11">
        <f>IFERROR(VALUE(SUBSTITUTE(SUBSTITUTE(TRIM(Raw_Data!D761),"₹",""),",","")),"")</f>
        <v>1795</v>
      </c>
      <c r="F761" s="12">
        <f>IFERROR(VALUE(SUBSTITUTE(Raw_Data!E761,"%",""))/100,"")</f>
        <v>0.28000000000000003</v>
      </c>
      <c r="G761" s="13">
        <f>IFERROR(VALUE(Raw_Data!F761),"")</f>
        <v>4.0999999999999996</v>
      </c>
      <c r="H761" s="14">
        <f>IFERROR(VALUE(SUBSTITUTE(Raw_Data!G761,",","")),"")</f>
        <v>25771</v>
      </c>
      <c r="I761" s="11">
        <f t="shared" si="44"/>
        <v>500</v>
      </c>
      <c r="J761" s="11">
        <f t="shared" si="45"/>
        <v>33373445</v>
      </c>
      <c r="K761" s="1">
        <f t="shared" si="46"/>
        <v>25771.000076100001</v>
      </c>
      <c r="L761" s="15">
        <f t="shared" si="47"/>
        <v>0.28007610000000005</v>
      </c>
    </row>
    <row r="762" spans="1:12" ht="15" customHeight="1" x14ac:dyDescent="0.25">
      <c r="A762" s="10" t="str">
        <f>Raw_Data!A762</f>
        <v>boAt Bassheads 225 in Ear Wired Earphones with Mic(Blue)</v>
      </c>
      <c r="B762" s="10" t="str">
        <f>IFERROR(TRIM(LEFT(Raw_Data!A762,FIND(" ",Raw_Data!A762)-1)),Raw_Data!A762)</f>
        <v>boAt</v>
      </c>
      <c r="C762" s="10" t="str">
        <f>IFERROR(LEFT(Raw_Data!B762,FIND("|",Raw_Data!B762)-1),Raw_Data!B762)</f>
        <v>Electronics</v>
      </c>
      <c r="D762" s="11">
        <f>IFERROR(VALUE(SUBSTITUTE(SUBSTITUTE(TRIM(Raw_Data!C762),"₹",""),",","")),"")</f>
        <v>699</v>
      </c>
      <c r="E762" s="11">
        <f>IFERROR(VALUE(SUBSTITUTE(SUBSTITUTE(TRIM(Raw_Data!D762),"₹",""),",","")),"")</f>
        <v>999</v>
      </c>
      <c r="F762" s="12">
        <f>IFERROR(VALUE(SUBSTITUTE(Raw_Data!E762,"%",""))/100,"")</f>
        <v>0.3</v>
      </c>
      <c r="G762" s="13">
        <f>IFERROR(VALUE(Raw_Data!F762),"")</f>
        <v>4.0999999999999996</v>
      </c>
      <c r="H762" s="14">
        <f>IFERROR(VALUE(SUBSTITUTE(Raw_Data!G762,",","")),"")</f>
        <v>273189</v>
      </c>
      <c r="I762" s="11">
        <f t="shared" si="44"/>
        <v>300</v>
      </c>
      <c r="J762" s="11">
        <f t="shared" si="45"/>
        <v>190959111</v>
      </c>
      <c r="K762" s="1">
        <f t="shared" si="46"/>
        <v>273189.0000762</v>
      </c>
      <c r="L762" s="15">
        <f t="shared" si="47"/>
        <v>0.30007620000000002</v>
      </c>
    </row>
    <row r="763" spans="1:12" ht="15" customHeight="1" x14ac:dyDescent="0.25">
      <c r="A763" s="10" t="str">
        <f>Raw_Data!A763</f>
        <v>Luxor 5 Subject Single Ruled Notebook - A4, 70 GSM, 300 pages</v>
      </c>
      <c r="B763" s="10" t="str">
        <f>IFERROR(TRIM(LEFT(Raw_Data!A763,FIND(" ",Raw_Data!A763)-1)),Raw_Data!A763)</f>
        <v>Luxor</v>
      </c>
      <c r="C763" s="10" t="str">
        <f>IFERROR(LEFT(Raw_Data!B763,FIND("|",Raw_Data!B763)-1),Raw_Data!B763)</f>
        <v>OfficeProducts</v>
      </c>
      <c r="D763" s="11">
        <f>IFERROR(VALUE(SUBSTITUTE(SUBSTITUTE(TRIM(Raw_Data!C763),"₹",""),",","")),"")</f>
        <v>252</v>
      </c>
      <c r="E763" s="11">
        <f>IFERROR(VALUE(SUBSTITUTE(SUBSTITUTE(TRIM(Raw_Data!D763),"₹",""),",","")),"")</f>
        <v>315</v>
      </c>
      <c r="F763" s="12">
        <f>IFERROR(VALUE(SUBSTITUTE(Raw_Data!E763,"%",""))/100,"")</f>
        <v>0.2</v>
      </c>
      <c r="G763" s="13">
        <f>IFERROR(VALUE(Raw_Data!F763),"")</f>
        <v>4.5</v>
      </c>
      <c r="H763" s="14">
        <f>IFERROR(VALUE(SUBSTITUTE(Raw_Data!G763,",","")),"")</f>
        <v>3785</v>
      </c>
      <c r="I763" s="11">
        <f t="shared" si="44"/>
        <v>63</v>
      </c>
      <c r="J763" s="11">
        <f t="shared" si="45"/>
        <v>953820</v>
      </c>
      <c r="K763" s="1">
        <f t="shared" si="46"/>
        <v>3785.0000762999998</v>
      </c>
      <c r="L763" s="15">
        <f t="shared" si="47"/>
        <v>0.20007630000000001</v>
      </c>
    </row>
    <row r="764" spans="1:12" ht="15" customHeight="1" x14ac:dyDescent="0.25">
      <c r="A764" s="10" t="str">
        <f>Raw_Data!A764</f>
        <v>Duracell Chhota Power AA Battery Set of 10 Pcs</v>
      </c>
      <c r="B764" s="10" t="str">
        <f>IFERROR(TRIM(LEFT(Raw_Data!A764,FIND(" ",Raw_Data!A764)-1)),Raw_Data!A764)</f>
        <v>Duracell</v>
      </c>
      <c r="C764" s="10" t="str">
        <f>IFERROR(LEFT(Raw_Data!B764,FIND("|",Raw_Data!B764)-1),Raw_Data!B764)</f>
        <v>Electronics</v>
      </c>
      <c r="D764" s="11">
        <f>IFERROR(VALUE(SUBSTITUTE(SUBSTITUTE(TRIM(Raw_Data!C764),"₹",""),",","")),"")</f>
        <v>190</v>
      </c>
      <c r="E764" s="11">
        <f>IFERROR(VALUE(SUBSTITUTE(SUBSTITUTE(TRIM(Raw_Data!D764),"₹",""),",","")),"")</f>
        <v>220</v>
      </c>
      <c r="F764" s="12">
        <f>IFERROR(VALUE(SUBSTITUTE(Raw_Data!E764,"%",""))/100,"")</f>
        <v>0.14000000000000001</v>
      </c>
      <c r="G764" s="13">
        <f>IFERROR(VALUE(Raw_Data!F764),"")</f>
        <v>4.4000000000000004</v>
      </c>
      <c r="H764" s="14">
        <f>IFERROR(VALUE(SUBSTITUTE(Raw_Data!G764,",","")),"")</f>
        <v>2866</v>
      </c>
      <c r="I764" s="11">
        <f t="shared" si="44"/>
        <v>30</v>
      </c>
      <c r="J764" s="11">
        <f t="shared" si="45"/>
        <v>544540</v>
      </c>
      <c r="K764" s="1">
        <f t="shared" si="46"/>
        <v>2866.0000764000001</v>
      </c>
      <c r="L764" s="15">
        <f t="shared" si="47"/>
        <v>0.14007640000000002</v>
      </c>
    </row>
    <row r="765" spans="1:12" ht="15" customHeight="1" x14ac:dyDescent="0.25">
      <c r="A765" s="10" t="str">
        <f>Raw_Data!A765</f>
        <v>Zebronics Zeb-Transformer Gaming Keyboard and Mouse Combo (USB, Braided Cable)</v>
      </c>
      <c r="B765" s="10" t="str">
        <f>IFERROR(TRIM(LEFT(Raw_Data!A765,FIND(" ",Raw_Data!A765)-1)),Raw_Data!A765)</f>
        <v>Zebronics</v>
      </c>
      <c r="C765" s="10" t="str">
        <f>IFERROR(LEFT(Raw_Data!B765,FIND("|",Raw_Data!B765)-1),Raw_Data!B765)</f>
        <v>Computers&amp;Accessories</v>
      </c>
      <c r="D765" s="11">
        <f>IFERROR(VALUE(SUBSTITUTE(SUBSTITUTE(TRIM(Raw_Data!C765),"₹",""),",","")),"")</f>
        <v>1299</v>
      </c>
      <c r="E765" s="11">
        <f>IFERROR(VALUE(SUBSTITUTE(SUBSTITUTE(TRIM(Raw_Data!D765),"₹",""),",","")),"")</f>
        <v>1599</v>
      </c>
      <c r="F765" s="12">
        <f>IFERROR(VALUE(SUBSTITUTE(Raw_Data!E765,"%",""))/100,"")</f>
        <v>0.19</v>
      </c>
      <c r="G765" s="13">
        <f>IFERROR(VALUE(Raw_Data!F765),"")</f>
        <v>4.3</v>
      </c>
      <c r="H765" s="14">
        <f>IFERROR(VALUE(SUBSTITUTE(Raw_Data!G765,",","")),"")</f>
        <v>27223</v>
      </c>
      <c r="I765" s="11">
        <f t="shared" si="44"/>
        <v>300</v>
      </c>
      <c r="J765" s="11">
        <f t="shared" si="45"/>
        <v>35362677</v>
      </c>
      <c r="K765" s="1">
        <f t="shared" si="46"/>
        <v>27223.0000765</v>
      </c>
      <c r="L765" s="15">
        <f t="shared" si="47"/>
        <v>0.19007650000000001</v>
      </c>
    </row>
    <row r="766" spans="1:12" ht="15" customHeight="1" x14ac:dyDescent="0.25">
      <c r="A766" s="10" t="str">
        <f>Raw_Data!A766</f>
        <v>SanDisk Ultra 64 GB USB Pen Drives (SDDDC2-064G-I35, Black, Silver)</v>
      </c>
      <c r="B766" s="10" t="str">
        <f>IFERROR(TRIM(LEFT(Raw_Data!A766,FIND(" ",Raw_Data!A766)-1)),Raw_Data!A766)</f>
        <v>SanDisk</v>
      </c>
      <c r="C766" s="10" t="str">
        <f>IFERROR(LEFT(Raw_Data!B766,FIND("|",Raw_Data!B766)-1),Raw_Data!B766)</f>
        <v>Computers&amp;Accessories</v>
      </c>
      <c r="D766" s="11">
        <f>IFERROR(VALUE(SUBSTITUTE(SUBSTITUTE(TRIM(Raw_Data!C766),"₹",""),",","")),"")</f>
        <v>729</v>
      </c>
      <c r="E766" s="11">
        <f>IFERROR(VALUE(SUBSTITUTE(SUBSTITUTE(TRIM(Raw_Data!D766),"₹",""),",","")),"")</f>
        <v>1650</v>
      </c>
      <c r="F766" s="12">
        <f>IFERROR(VALUE(SUBSTITUTE(Raw_Data!E766,"%",""))/100,"")</f>
        <v>0.56000000000000005</v>
      </c>
      <c r="G766" s="13">
        <f>IFERROR(VALUE(Raw_Data!F766),"")</f>
        <v>4.3</v>
      </c>
      <c r="H766" s="14">
        <f>IFERROR(VALUE(SUBSTITUTE(Raw_Data!G766,",","")),"")</f>
        <v>82356</v>
      </c>
      <c r="I766" s="11">
        <f t="shared" si="44"/>
        <v>921</v>
      </c>
      <c r="J766" s="11">
        <f t="shared" si="45"/>
        <v>60037524</v>
      </c>
      <c r="K766" s="1">
        <f t="shared" si="46"/>
        <v>82356.000076600001</v>
      </c>
      <c r="L766" s="15">
        <f t="shared" si="47"/>
        <v>0.56007660000000004</v>
      </c>
    </row>
    <row r="767" spans="1:12" ht="15" customHeight="1" x14ac:dyDescent="0.25">
      <c r="A767" s="10" t="str">
        <f>Raw_Data!A767</f>
        <v>Parker Classic Gold Gold Trim Ball Pen</v>
      </c>
      <c r="B767" s="10" t="str">
        <f>IFERROR(TRIM(LEFT(Raw_Data!A767,FIND(" ",Raw_Data!A767)-1)),Raw_Data!A767)</f>
        <v>Parker</v>
      </c>
      <c r="C767" s="10" t="str">
        <f>IFERROR(LEFT(Raw_Data!B767,FIND("|",Raw_Data!B767)-1),Raw_Data!B767)</f>
        <v>OfficeProducts</v>
      </c>
      <c r="D767" s="11">
        <f>IFERROR(VALUE(SUBSTITUTE(SUBSTITUTE(TRIM(Raw_Data!C767),"₹",""),",","")),"")</f>
        <v>480</v>
      </c>
      <c r="E767" s="11">
        <f>IFERROR(VALUE(SUBSTITUTE(SUBSTITUTE(TRIM(Raw_Data!D767),"₹",""),",","")),"")</f>
        <v>600</v>
      </c>
      <c r="F767" s="12">
        <f>IFERROR(VALUE(SUBSTITUTE(Raw_Data!E767,"%",""))/100,"")</f>
        <v>0.2</v>
      </c>
      <c r="G767" s="13">
        <f>IFERROR(VALUE(Raw_Data!F767),"")</f>
        <v>4.3</v>
      </c>
      <c r="H767" s="14">
        <f>IFERROR(VALUE(SUBSTITUTE(Raw_Data!G767,",","")),"")</f>
        <v>5719</v>
      </c>
      <c r="I767" s="11">
        <f t="shared" si="44"/>
        <v>120</v>
      </c>
      <c r="J767" s="11">
        <f t="shared" si="45"/>
        <v>2745120</v>
      </c>
      <c r="K767" s="1">
        <f t="shared" si="46"/>
        <v>5719.0000767000001</v>
      </c>
      <c r="L767" s="15">
        <f t="shared" si="47"/>
        <v>0.20007670000000002</v>
      </c>
    </row>
    <row r="768" spans="1:12" ht="15" customHeight="1" x14ac:dyDescent="0.25">
      <c r="A768" s="10" t="str">
        <f>Raw_Data!A768</f>
        <v>boAt Flash Edition Smart Watch with Activity Tracker, Multiple Sports Modes, 1.3" Screen, 170+ Watch Faces, Sleep Monitor, Gesture, Camera &amp; Music Control, IP68 &amp; 7 Days Battery Life(Lightning Black)</v>
      </c>
      <c r="B768" s="10" t="str">
        <f>IFERROR(TRIM(LEFT(Raw_Data!A768,FIND(" ",Raw_Data!A768)-1)),Raw_Data!A768)</f>
        <v>boAt</v>
      </c>
      <c r="C768" s="10" t="str">
        <f>IFERROR(LEFT(Raw_Data!B768,FIND("|",Raw_Data!B768)-1),Raw_Data!B768)</f>
        <v>Electronics</v>
      </c>
      <c r="D768" s="11">
        <f>IFERROR(VALUE(SUBSTITUTE(SUBSTITUTE(TRIM(Raw_Data!C768),"₹",""),",","")),"")</f>
        <v>1799</v>
      </c>
      <c r="E768" s="11">
        <f>IFERROR(VALUE(SUBSTITUTE(SUBSTITUTE(TRIM(Raw_Data!D768),"₹",""),",","")),"")</f>
        <v>6990</v>
      </c>
      <c r="F768" s="12">
        <f>IFERROR(VALUE(SUBSTITUTE(Raw_Data!E768,"%",""))/100,"")</f>
        <v>0.74</v>
      </c>
      <c r="G768" s="13">
        <f>IFERROR(VALUE(Raw_Data!F768),"")</f>
        <v>4</v>
      </c>
      <c r="H768" s="14">
        <f>IFERROR(VALUE(SUBSTITUTE(Raw_Data!G768,",","")),"")</f>
        <v>26880</v>
      </c>
      <c r="I768" s="11">
        <f t="shared" si="44"/>
        <v>5191</v>
      </c>
      <c r="J768" s="11">
        <f t="shared" si="45"/>
        <v>48357120</v>
      </c>
      <c r="K768" s="1">
        <f t="shared" si="46"/>
        <v>26880.000076799999</v>
      </c>
      <c r="L768" s="15">
        <f t="shared" si="47"/>
        <v>0.74007679999999998</v>
      </c>
    </row>
    <row r="769" spans="1:12" ht="15" customHeight="1" x14ac:dyDescent="0.25">
      <c r="A769" s="10" t="str">
        <f>Raw_Data!A769</f>
        <v>Tarkan Portable Folding Laptop Desk for Bed, Lapdesk with Handle, Drawer, Cup &amp; Mobile/Tablet Holder for Study, Eating, Work (Black)</v>
      </c>
      <c r="B769" s="10" t="str">
        <f>IFERROR(TRIM(LEFT(Raw_Data!A769,FIND(" ",Raw_Data!A769)-1)),Raw_Data!A769)</f>
        <v>Tarkan</v>
      </c>
      <c r="C769" s="10" t="str">
        <f>IFERROR(LEFT(Raw_Data!B769,FIND("|",Raw_Data!B769)-1),Raw_Data!B769)</f>
        <v>Computers&amp;Accessories</v>
      </c>
      <c r="D769" s="11">
        <f>IFERROR(VALUE(SUBSTITUTE(SUBSTITUTE(TRIM(Raw_Data!C769),"₹",""),",","")),"")</f>
        <v>999</v>
      </c>
      <c r="E769" s="11">
        <f>IFERROR(VALUE(SUBSTITUTE(SUBSTITUTE(TRIM(Raw_Data!D769),"₹",""),",","")),"")</f>
        <v>2499</v>
      </c>
      <c r="F769" s="12">
        <f>IFERROR(VALUE(SUBSTITUTE(Raw_Data!E769,"%",""))/100,"")</f>
        <v>0.6</v>
      </c>
      <c r="G769" s="13">
        <f>IFERROR(VALUE(Raw_Data!F769),"")</f>
        <v>4.3</v>
      </c>
      <c r="H769" s="14">
        <f>IFERROR(VALUE(SUBSTITUTE(Raw_Data!G769,",","")),"")</f>
        <v>1690</v>
      </c>
      <c r="I769" s="11">
        <f t="shared" si="44"/>
        <v>1500</v>
      </c>
      <c r="J769" s="11">
        <f t="shared" si="45"/>
        <v>1688310</v>
      </c>
      <c r="K769" s="1">
        <f t="shared" si="46"/>
        <v>1690.0000769000001</v>
      </c>
      <c r="L769" s="15">
        <f t="shared" si="47"/>
        <v>0.60007690000000002</v>
      </c>
    </row>
    <row r="770" spans="1:12" ht="15" customHeight="1" x14ac:dyDescent="0.25">
      <c r="A770" s="10" t="str">
        <f>Raw_Data!A770</f>
        <v>Ambrane Unbreakable 3 in 1 Fast Charging Braided Multipurpose Cable for Speaker with 2.1 A Speed - 1.25 meter, Black</v>
      </c>
      <c r="B770" s="10" t="str">
        <f>IFERROR(TRIM(LEFT(Raw_Data!A770,FIND(" ",Raw_Data!A770)-1)),Raw_Data!A770)</f>
        <v>Ambrane</v>
      </c>
      <c r="C770" s="10" t="str">
        <f>IFERROR(LEFT(Raw_Data!B770,FIND("|",Raw_Data!B770)-1),Raw_Data!B770)</f>
        <v>Computers&amp;Accessories</v>
      </c>
      <c r="D770" s="11">
        <f>IFERROR(VALUE(SUBSTITUTE(SUBSTITUTE(TRIM(Raw_Data!C770),"₹",""),",","")),"")</f>
        <v>299</v>
      </c>
      <c r="E770" s="11">
        <f>IFERROR(VALUE(SUBSTITUTE(SUBSTITUTE(TRIM(Raw_Data!D770),"₹",""),",","")),"")</f>
        <v>399</v>
      </c>
      <c r="F770" s="12">
        <f>IFERROR(VALUE(SUBSTITUTE(Raw_Data!E770,"%",""))/100,"")</f>
        <v>0.25</v>
      </c>
      <c r="G770" s="13">
        <f>IFERROR(VALUE(Raw_Data!F770),"")</f>
        <v>4</v>
      </c>
      <c r="H770" s="14">
        <f>IFERROR(VALUE(SUBSTITUTE(Raw_Data!G770,",","")),"")</f>
        <v>2766</v>
      </c>
      <c r="I770" s="11">
        <f t="shared" ref="I770:I833" si="48">IFERROR(E770-D770,"")</f>
        <v>100</v>
      </c>
      <c r="J770" s="11">
        <f t="shared" ref="J770:J833" si="49">IFERROR(D770*H770,"")</f>
        <v>827034</v>
      </c>
      <c r="K770" s="1">
        <f t="shared" ref="K770:K833" si="50">IF(ISNUMBER(H770),H770+ROW()/10000000,"")</f>
        <v>2766.0000770000001</v>
      </c>
      <c r="L770" s="15">
        <f t="shared" ref="L770:L833" si="51">IF(ISNUMBER(F770),F770+ROW()/10000000,"")</f>
        <v>0.25007699999999999</v>
      </c>
    </row>
    <row r="771" spans="1:12" ht="15" customHeight="1" x14ac:dyDescent="0.25">
      <c r="A771" s="10" t="str">
        <f>Raw_Data!A771</f>
        <v>Quantum RJ45 Ethernet Patch Cable/LAN Router Cable with Heavy Duty Gold Plated Connectors Supports Hi-Speed Gigabit Upto 1000Mbps, Waterproof and Durable,1-Year Warranty-32.8 Feet (10 Meters)(White)</v>
      </c>
      <c r="B771" s="10" t="str">
        <f>IFERROR(TRIM(LEFT(Raw_Data!A771,FIND(" ",Raw_Data!A771)-1)),Raw_Data!A771)</f>
        <v>Quantum</v>
      </c>
      <c r="C771" s="10" t="str">
        <f>IFERROR(LEFT(Raw_Data!B771,FIND("|",Raw_Data!B771)-1),Raw_Data!B771)</f>
        <v>Computers&amp;Accessories</v>
      </c>
      <c r="D771" s="11">
        <f>IFERROR(VALUE(SUBSTITUTE(SUBSTITUTE(TRIM(Raw_Data!C771),"₹",""),",","")),"")</f>
        <v>238</v>
      </c>
      <c r="E771" s="11">
        <f>IFERROR(VALUE(SUBSTITUTE(SUBSTITUTE(TRIM(Raw_Data!D771),"₹",""),",","")),"")</f>
        <v>699</v>
      </c>
      <c r="F771" s="12">
        <f>IFERROR(VALUE(SUBSTITUTE(Raw_Data!E771,"%",""))/100,"")</f>
        <v>0.66</v>
      </c>
      <c r="G771" s="13">
        <f>IFERROR(VALUE(Raw_Data!F771),"")</f>
        <v>4.4000000000000004</v>
      </c>
      <c r="H771" s="14">
        <f>IFERROR(VALUE(SUBSTITUTE(Raw_Data!G771,",","")),"")</f>
        <v>8372</v>
      </c>
      <c r="I771" s="11">
        <f t="shared" si="48"/>
        <v>461</v>
      </c>
      <c r="J771" s="11">
        <f t="shared" si="49"/>
        <v>1992536</v>
      </c>
      <c r="K771" s="1">
        <f t="shared" si="50"/>
        <v>8372.0000770999995</v>
      </c>
      <c r="L771" s="15">
        <f t="shared" si="51"/>
        <v>0.66007710000000008</v>
      </c>
    </row>
    <row r="772" spans="1:12" ht="15" customHeight="1" x14ac:dyDescent="0.25">
      <c r="A772" s="10" t="str">
        <f>Raw_Data!A772</f>
        <v>HP USB Wireless Spill Resistance Keyboard and Mouse Set with 10m Working Range 2.4G Wireless Technology / 3 Years Warranty (4SC12PA), Black</v>
      </c>
      <c r="B772" s="10" t="str">
        <f>IFERROR(TRIM(LEFT(Raw_Data!A772,FIND(" ",Raw_Data!A772)-1)),Raw_Data!A772)</f>
        <v>HP</v>
      </c>
      <c r="C772" s="10" t="str">
        <f>IFERROR(LEFT(Raw_Data!B772,FIND("|",Raw_Data!B772)-1),Raw_Data!B772)</f>
        <v>Computers&amp;Accessories</v>
      </c>
      <c r="D772" s="11">
        <f>IFERROR(VALUE(SUBSTITUTE(SUBSTITUTE(TRIM(Raw_Data!C772),"₹",""),",","")),"")</f>
        <v>1349</v>
      </c>
      <c r="E772" s="11">
        <f>IFERROR(VALUE(SUBSTITUTE(SUBSTITUTE(TRIM(Raw_Data!D772),"₹",""),",","")),"")</f>
        <v>2198</v>
      </c>
      <c r="F772" s="12">
        <f>IFERROR(VALUE(SUBSTITUTE(Raw_Data!E772,"%",""))/100,"")</f>
        <v>0.39</v>
      </c>
      <c r="G772" s="13">
        <f>IFERROR(VALUE(Raw_Data!F772),"")</f>
        <v>4</v>
      </c>
      <c r="H772" s="14">
        <f>IFERROR(VALUE(SUBSTITUTE(Raw_Data!G772,",","")),"")</f>
        <v>7113</v>
      </c>
      <c r="I772" s="11">
        <f t="shared" si="48"/>
        <v>849</v>
      </c>
      <c r="J772" s="11">
        <f t="shared" si="49"/>
        <v>9595437</v>
      </c>
      <c r="K772" s="1">
        <f t="shared" si="50"/>
        <v>7113.0000772000003</v>
      </c>
      <c r="L772" s="15">
        <f t="shared" si="51"/>
        <v>0.39007720000000001</v>
      </c>
    </row>
    <row r="773" spans="1:12" ht="15" customHeight="1" x14ac:dyDescent="0.25">
      <c r="A773" s="10" t="str">
        <f>Raw_Data!A773</f>
        <v>boAt A400 USB Type-C to USB-A 2.0 Male Data Cable, 2 Meter (Black)</v>
      </c>
      <c r="B773" s="10" t="str">
        <f>IFERROR(TRIM(LEFT(Raw_Data!A773,FIND(" ",Raw_Data!A773)-1)),Raw_Data!A773)</f>
        <v>boAt</v>
      </c>
      <c r="C773" s="10" t="str">
        <f>IFERROR(LEFT(Raw_Data!B773,FIND("|",Raw_Data!B773)-1),Raw_Data!B773)</f>
        <v>Computers&amp;Accessories</v>
      </c>
      <c r="D773" s="11">
        <f>IFERROR(VALUE(SUBSTITUTE(SUBSTITUTE(TRIM(Raw_Data!C773),"₹",""),",","")),"")</f>
        <v>299</v>
      </c>
      <c r="E773" s="11">
        <f>IFERROR(VALUE(SUBSTITUTE(SUBSTITUTE(TRIM(Raw_Data!D773),"₹",""),",","")),"")</f>
        <v>999</v>
      </c>
      <c r="F773" s="12">
        <f>IFERROR(VALUE(SUBSTITUTE(Raw_Data!E773,"%",""))/100,"")</f>
        <v>0.7</v>
      </c>
      <c r="G773" s="13">
        <f>IFERROR(VALUE(Raw_Data!F773),"")</f>
        <v>4.3</v>
      </c>
      <c r="H773" s="14">
        <f>IFERROR(VALUE(SUBSTITUTE(Raw_Data!G773,",","")),"")</f>
        <v>20850</v>
      </c>
      <c r="I773" s="11">
        <f t="shared" si="48"/>
        <v>700</v>
      </c>
      <c r="J773" s="11">
        <f t="shared" si="49"/>
        <v>6234150</v>
      </c>
      <c r="K773" s="1">
        <f t="shared" si="50"/>
        <v>20850.000077299999</v>
      </c>
      <c r="L773" s="15">
        <f t="shared" si="51"/>
        <v>0.7000772999999999</v>
      </c>
    </row>
    <row r="774" spans="1:12" ht="15" customHeight="1" x14ac:dyDescent="0.25">
      <c r="A774" s="10" t="str">
        <f>Raw_Data!A774</f>
        <v>HUMBLE Dynamic Lapel Collar Mic Voice Recording Filter Microphone for Singing Youtube SmartPhones, Black</v>
      </c>
      <c r="B774" s="10" t="str">
        <f>IFERROR(TRIM(LEFT(Raw_Data!A774,FIND(" ",Raw_Data!A774)-1)),Raw_Data!A774)</f>
        <v>HUMBLE</v>
      </c>
      <c r="C774" s="10" t="str">
        <f>IFERROR(LEFT(Raw_Data!B774,FIND("|",Raw_Data!B774)-1),Raw_Data!B774)</f>
        <v>Computers&amp;Accessories</v>
      </c>
      <c r="D774" s="11">
        <f>IFERROR(VALUE(SUBSTITUTE(SUBSTITUTE(TRIM(Raw_Data!C774),"₹",""),",","")),"")</f>
        <v>199</v>
      </c>
      <c r="E774" s="11">
        <f>IFERROR(VALUE(SUBSTITUTE(SUBSTITUTE(TRIM(Raw_Data!D774),"₹",""),",","")),"")</f>
        <v>499</v>
      </c>
      <c r="F774" s="12">
        <f>IFERROR(VALUE(SUBSTITUTE(Raw_Data!E774,"%",""))/100,"")</f>
        <v>0.6</v>
      </c>
      <c r="G774" s="13">
        <f>IFERROR(VALUE(Raw_Data!F774),"")</f>
        <v>3.3</v>
      </c>
      <c r="H774" s="14">
        <f>IFERROR(VALUE(SUBSTITUTE(Raw_Data!G774,",","")),"")</f>
        <v>2804</v>
      </c>
      <c r="I774" s="11">
        <f t="shared" si="48"/>
        <v>300</v>
      </c>
      <c r="J774" s="11">
        <f t="shared" si="49"/>
        <v>557996</v>
      </c>
      <c r="K774" s="1">
        <f t="shared" si="50"/>
        <v>2804.0000774</v>
      </c>
      <c r="L774" s="15">
        <f t="shared" si="51"/>
        <v>0.60007739999999998</v>
      </c>
    </row>
    <row r="775" spans="1:12" ht="15" customHeight="1" x14ac:dyDescent="0.25">
      <c r="A775" s="10" t="str">
        <f>Raw_Data!A775</f>
        <v>Boult Audio Omega with 30dB ANC+ ENC, 32H Playtime, 45ms Latency Gaming Mode, Quad Mic Zen ENC, 3 Equalizer Modes, ANC, Type-C Fast Charging, IPX5 True Wireless in Ear Bluetooth Earbuds (Black)</v>
      </c>
      <c r="B775" s="10" t="str">
        <f>IFERROR(TRIM(LEFT(Raw_Data!A775,FIND(" ",Raw_Data!A775)-1)),Raw_Data!A775)</f>
        <v>Boult</v>
      </c>
      <c r="C775" s="10" t="str">
        <f>IFERROR(LEFT(Raw_Data!B775,FIND("|",Raw_Data!B775)-1),Raw_Data!B775)</f>
        <v>Electronics</v>
      </c>
      <c r="D775" s="11">
        <f>IFERROR(VALUE(SUBSTITUTE(SUBSTITUTE(TRIM(Raw_Data!C775),"₹",""),",","")),"")</f>
        <v>1999</v>
      </c>
      <c r="E775" s="11">
        <f>IFERROR(VALUE(SUBSTITUTE(SUBSTITUTE(TRIM(Raw_Data!D775),"₹",""),",","")),"")</f>
        <v>9999</v>
      </c>
      <c r="F775" s="12">
        <f>IFERROR(VALUE(SUBSTITUTE(Raw_Data!E775,"%",""))/100,"")</f>
        <v>0.8</v>
      </c>
      <c r="G775" s="13">
        <f>IFERROR(VALUE(Raw_Data!F775),"")</f>
        <v>3.7</v>
      </c>
      <c r="H775" s="14">
        <f>IFERROR(VALUE(SUBSTITUTE(Raw_Data!G775,",","")),"")</f>
        <v>1986</v>
      </c>
      <c r="I775" s="11">
        <f t="shared" si="48"/>
        <v>8000</v>
      </c>
      <c r="J775" s="11">
        <f t="shared" si="49"/>
        <v>3970014</v>
      </c>
      <c r="K775" s="1">
        <f t="shared" si="50"/>
        <v>1986.0000775000001</v>
      </c>
      <c r="L775" s="15">
        <f t="shared" si="51"/>
        <v>0.8000775</v>
      </c>
    </row>
    <row r="776" spans="1:12" ht="15" customHeight="1" x14ac:dyDescent="0.25">
      <c r="A776" s="10" t="str">
        <f>Raw_Data!A776</f>
        <v>STRIFF UPH2W Multi Angle Tablet/Mobile Stand. Holder for iPhone, Android, Samsung, OnePlus, Xiaomi. Portable,Foldable Stand.Perfect for Bed,Office, Home,Gift and Desktop (White)</v>
      </c>
      <c r="B776" s="10" t="str">
        <f>IFERROR(TRIM(LEFT(Raw_Data!A776,FIND(" ",Raw_Data!A776)-1)),Raw_Data!A776)</f>
        <v>STRIFF</v>
      </c>
      <c r="C776" s="10" t="str">
        <f>IFERROR(LEFT(Raw_Data!B776,FIND("|",Raw_Data!B776)-1),Raw_Data!B776)</f>
        <v>Electronics</v>
      </c>
      <c r="D776" s="11">
        <f>IFERROR(VALUE(SUBSTITUTE(SUBSTITUTE(TRIM(Raw_Data!C776),"₹",""),",","")),"")</f>
        <v>99</v>
      </c>
      <c r="E776" s="11">
        <f>IFERROR(VALUE(SUBSTITUTE(SUBSTITUTE(TRIM(Raw_Data!D776),"₹",""),",","")),"")</f>
        <v>499</v>
      </c>
      <c r="F776" s="12">
        <f>IFERROR(VALUE(SUBSTITUTE(Raw_Data!E776,"%",""))/100,"")</f>
        <v>0.8</v>
      </c>
      <c r="G776" s="13">
        <f>IFERROR(VALUE(Raw_Data!F776),"")</f>
        <v>4.0999999999999996</v>
      </c>
      <c r="H776" s="14">
        <f>IFERROR(VALUE(SUBSTITUTE(Raw_Data!G776,",","")),"")</f>
        <v>2451</v>
      </c>
      <c r="I776" s="11">
        <f t="shared" si="48"/>
        <v>400</v>
      </c>
      <c r="J776" s="11">
        <f t="shared" si="49"/>
        <v>242649</v>
      </c>
      <c r="K776" s="1">
        <f t="shared" si="50"/>
        <v>2451.0000776000002</v>
      </c>
      <c r="L776" s="15">
        <f t="shared" si="51"/>
        <v>0.80007760000000006</v>
      </c>
    </row>
    <row r="777" spans="1:12" ht="15" customHeight="1" x14ac:dyDescent="0.25">
      <c r="A777" s="10" t="str">
        <f>Raw_Data!A777</f>
        <v>Amazon Basics Wireless Mouse | 2.4 GHz Connection, 1600 DPI | Type - C Adapter | Upto 12 Months of Battery Life | Ambidextrous Design | Suitable for PC/Mac/Laptop</v>
      </c>
      <c r="B777" s="10" t="str">
        <f>IFERROR(TRIM(LEFT(Raw_Data!A777,FIND(" ",Raw_Data!A777)-1)),Raw_Data!A777)</f>
        <v>Amazon</v>
      </c>
      <c r="C777" s="10" t="str">
        <f>IFERROR(LEFT(Raw_Data!B777,FIND("|",Raw_Data!B777)-1),Raw_Data!B777)</f>
        <v>Computers&amp;Accessories</v>
      </c>
      <c r="D777" s="11">
        <f>IFERROR(VALUE(SUBSTITUTE(SUBSTITUTE(TRIM(Raw_Data!C777),"₹",""),",","")),"")</f>
        <v>499</v>
      </c>
      <c r="E777" s="11">
        <f>IFERROR(VALUE(SUBSTITUTE(SUBSTITUTE(TRIM(Raw_Data!D777),"₹",""),",","")),"")</f>
        <v>1000</v>
      </c>
      <c r="F777" s="12">
        <f>IFERROR(VALUE(SUBSTITUTE(Raw_Data!E777,"%",""))/100,"")</f>
        <v>0.5</v>
      </c>
      <c r="G777" s="13">
        <f>IFERROR(VALUE(Raw_Data!F777),"")</f>
        <v>5</v>
      </c>
      <c r="H777" s="14">
        <f>IFERROR(VALUE(SUBSTITUTE(Raw_Data!G777,",","")),"")</f>
        <v>23</v>
      </c>
      <c r="I777" s="11">
        <f t="shared" si="48"/>
        <v>501</v>
      </c>
      <c r="J777" s="11">
        <f t="shared" si="49"/>
        <v>11477</v>
      </c>
      <c r="K777" s="1">
        <f t="shared" si="50"/>
        <v>23.000077699999999</v>
      </c>
      <c r="L777" s="15">
        <f t="shared" si="51"/>
        <v>0.50007769999999996</v>
      </c>
    </row>
    <row r="778" spans="1:12" ht="15" customHeight="1" x14ac:dyDescent="0.25">
      <c r="A778" s="10" t="str">
        <f>Raw_Data!A778</f>
        <v>Crucial RAM 8GB DDR4 3200MHz CL22 (or 2933MHz or 2666MHz) Laptop Memory CT8G4SFRA32A</v>
      </c>
      <c r="B778" s="10" t="str">
        <f>IFERROR(TRIM(LEFT(Raw_Data!A778,FIND(" ",Raw_Data!A778)-1)),Raw_Data!A778)</f>
        <v>Crucial</v>
      </c>
      <c r="C778" s="10" t="str">
        <f>IFERROR(LEFT(Raw_Data!B778,FIND("|",Raw_Data!B778)-1),Raw_Data!B778)</f>
        <v>Computers&amp;Accessories</v>
      </c>
      <c r="D778" s="11">
        <f>IFERROR(VALUE(SUBSTITUTE(SUBSTITUTE(TRIM(Raw_Data!C778),"₹",""),",","")),"")</f>
        <v>1792</v>
      </c>
      <c r="E778" s="11">
        <f>IFERROR(VALUE(SUBSTITUTE(SUBSTITUTE(TRIM(Raw_Data!D778),"₹",""),",","")),"")</f>
        <v>3500</v>
      </c>
      <c r="F778" s="12">
        <f>IFERROR(VALUE(SUBSTITUTE(Raw_Data!E778,"%",""))/100,"")</f>
        <v>0.49</v>
      </c>
      <c r="G778" s="13">
        <f>IFERROR(VALUE(Raw_Data!F778),"")</f>
        <v>4.5</v>
      </c>
      <c r="H778" s="14">
        <f>IFERROR(VALUE(SUBSTITUTE(Raw_Data!G778,",","")),"")</f>
        <v>26194</v>
      </c>
      <c r="I778" s="11">
        <f t="shared" si="48"/>
        <v>1708</v>
      </c>
      <c r="J778" s="11">
        <f t="shared" si="49"/>
        <v>46939648</v>
      </c>
      <c r="K778" s="1">
        <f t="shared" si="50"/>
        <v>26194.000077799999</v>
      </c>
      <c r="L778" s="15">
        <f t="shared" si="51"/>
        <v>0.49007780000000001</v>
      </c>
    </row>
    <row r="779" spans="1:12" ht="15" customHeight="1" x14ac:dyDescent="0.25">
      <c r="A779" s="10" t="str">
        <f>Raw_Data!A779</f>
        <v>APC Back-UPS BX600C-IN 600VA / 360W, 230V, UPS System, an Ideal Power Backup &amp; Protection for Home Office, Desktop PC &amp; Home Electronics</v>
      </c>
      <c r="B779" s="10" t="str">
        <f>IFERROR(TRIM(LEFT(Raw_Data!A779,FIND(" ",Raw_Data!A779)-1)),Raw_Data!A779)</f>
        <v>APC</v>
      </c>
      <c r="C779" s="10" t="str">
        <f>IFERROR(LEFT(Raw_Data!B779,FIND("|",Raw_Data!B779)-1),Raw_Data!B779)</f>
        <v>Computers&amp;Accessories</v>
      </c>
      <c r="D779" s="11">
        <f>IFERROR(VALUE(SUBSTITUTE(SUBSTITUTE(TRIM(Raw_Data!C779),"₹",""),",","")),"")</f>
        <v>3299</v>
      </c>
      <c r="E779" s="11">
        <f>IFERROR(VALUE(SUBSTITUTE(SUBSTITUTE(TRIM(Raw_Data!D779),"₹",""),",","")),"")</f>
        <v>4100</v>
      </c>
      <c r="F779" s="12">
        <f>IFERROR(VALUE(SUBSTITUTE(Raw_Data!E779,"%",""))/100,"")</f>
        <v>0.2</v>
      </c>
      <c r="G779" s="13">
        <f>IFERROR(VALUE(Raw_Data!F779),"")</f>
        <v>3.9</v>
      </c>
      <c r="H779" s="14">
        <f>IFERROR(VALUE(SUBSTITUTE(Raw_Data!G779,",","")),"")</f>
        <v>15783</v>
      </c>
      <c r="I779" s="11">
        <f t="shared" si="48"/>
        <v>801</v>
      </c>
      <c r="J779" s="11">
        <f t="shared" si="49"/>
        <v>52068117</v>
      </c>
      <c r="K779" s="1">
        <f t="shared" si="50"/>
        <v>15783.0000779</v>
      </c>
      <c r="L779" s="15">
        <f t="shared" si="51"/>
        <v>0.2000779</v>
      </c>
    </row>
    <row r="780" spans="1:12" ht="15" customHeight="1" x14ac:dyDescent="0.25">
      <c r="A780" s="10" t="str">
        <f>Raw_Data!A780</f>
        <v>Luxor 5 Subject Single Ruled Notebook - A5 Size, 70 GSM, 300 Pages</v>
      </c>
      <c r="B780" s="10" t="str">
        <f>IFERROR(TRIM(LEFT(Raw_Data!A780,FIND(" ",Raw_Data!A780)-1)),Raw_Data!A780)</f>
        <v>Luxor</v>
      </c>
      <c r="C780" s="10" t="str">
        <f>IFERROR(LEFT(Raw_Data!B780,FIND("|",Raw_Data!B780)-1),Raw_Data!B780)</f>
        <v>OfficeProducts</v>
      </c>
      <c r="D780" s="11">
        <f>IFERROR(VALUE(SUBSTITUTE(SUBSTITUTE(TRIM(Raw_Data!C780),"₹",""),",","")),"")</f>
        <v>125</v>
      </c>
      <c r="E780" s="11">
        <f>IFERROR(VALUE(SUBSTITUTE(SUBSTITUTE(TRIM(Raw_Data!D780),"₹",""),",","")),"")</f>
        <v>180</v>
      </c>
      <c r="F780" s="12">
        <f>IFERROR(VALUE(SUBSTITUTE(Raw_Data!E780,"%",""))/100,"")</f>
        <v>0.31</v>
      </c>
      <c r="G780" s="13">
        <f>IFERROR(VALUE(Raw_Data!F780),"")</f>
        <v>4.4000000000000004</v>
      </c>
      <c r="H780" s="14">
        <f>IFERROR(VALUE(SUBSTITUTE(Raw_Data!G780,",","")),"")</f>
        <v>8053</v>
      </c>
      <c r="I780" s="11">
        <f t="shared" si="48"/>
        <v>55</v>
      </c>
      <c r="J780" s="11">
        <f t="shared" si="49"/>
        <v>1006625</v>
      </c>
      <c r="K780" s="1">
        <f t="shared" si="50"/>
        <v>8053.000078</v>
      </c>
      <c r="L780" s="15">
        <f t="shared" si="51"/>
        <v>0.31007800000000002</v>
      </c>
    </row>
    <row r="781" spans="1:12" ht="15" customHeight="1" x14ac:dyDescent="0.25">
      <c r="A781" s="10" t="str">
        <f>Raw_Data!A781</f>
        <v>Zebronics Zeb-Jaguar Wireless Mouse, 2.4GHz with USB Nano Receiver, High Precision Optical Tracking, 4 Buttons, Plug &amp; Play, Ambidextrous, for PC/Mac/Laptop (Black+Grey)</v>
      </c>
      <c r="B781" s="10" t="str">
        <f>IFERROR(TRIM(LEFT(Raw_Data!A781,FIND(" ",Raw_Data!A781)-1)),Raw_Data!A781)</f>
        <v>Zebronics</v>
      </c>
      <c r="C781" s="10" t="str">
        <f>IFERROR(LEFT(Raw_Data!B781,FIND("|",Raw_Data!B781)-1),Raw_Data!B781)</f>
        <v>Computers&amp;Accessories</v>
      </c>
      <c r="D781" s="11">
        <f>IFERROR(VALUE(SUBSTITUTE(SUBSTITUTE(TRIM(Raw_Data!C781),"₹",""),",","")),"")</f>
        <v>399</v>
      </c>
      <c r="E781" s="11">
        <f>IFERROR(VALUE(SUBSTITUTE(SUBSTITUTE(TRIM(Raw_Data!D781),"₹",""),",","")),"")</f>
        <v>1190</v>
      </c>
      <c r="F781" s="12">
        <f>IFERROR(VALUE(SUBSTITUTE(Raw_Data!E781,"%",""))/100,"")</f>
        <v>0.66</v>
      </c>
      <c r="G781" s="13">
        <f>IFERROR(VALUE(Raw_Data!F781),"")</f>
        <v>4.0999999999999996</v>
      </c>
      <c r="H781" s="14">
        <f>IFERROR(VALUE(SUBSTITUTE(Raw_Data!G781,",","")),"")</f>
        <v>2809</v>
      </c>
      <c r="I781" s="11">
        <f t="shared" si="48"/>
        <v>791</v>
      </c>
      <c r="J781" s="11">
        <f t="shared" si="49"/>
        <v>1120791</v>
      </c>
      <c r="K781" s="1">
        <f t="shared" si="50"/>
        <v>2809.0000780999999</v>
      </c>
      <c r="L781" s="15">
        <f t="shared" si="51"/>
        <v>0.6600781</v>
      </c>
    </row>
    <row r="782" spans="1:12" ht="15" customHeight="1" x14ac:dyDescent="0.25">
      <c r="A782" s="10" t="str">
        <f>Raw_Data!A782</f>
        <v>Boult Audio Truebuds with 30H Playtime, IPX7 Waterproof, Lightning Boult™ Type C Fast Charging (10 Min=100Mins), BoomX™ Tech Rich Bass, Pro+ Calling HD Mic, Touch Controls in Ear Earbuds TWS (Grey)</v>
      </c>
      <c r="B782" s="10" t="str">
        <f>IFERROR(TRIM(LEFT(Raw_Data!A782,FIND(" ",Raw_Data!A782)-1)),Raw_Data!A782)</f>
        <v>Boult</v>
      </c>
      <c r="C782" s="10" t="str">
        <f>IFERROR(LEFT(Raw_Data!B782,FIND("|",Raw_Data!B782)-1),Raw_Data!B782)</f>
        <v>Electronics</v>
      </c>
      <c r="D782" s="11">
        <f>IFERROR(VALUE(SUBSTITUTE(SUBSTITUTE(TRIM(Raw_Data!C782),"₹",""),",","")),"")</f>
        <v>1199</v>
      </c>
      <c r="E782" s="11">
        <f>IFERROR(VALUE(SUBSTITUTE(SUBSTITUTE(TRIM(Raw_Data!D782),"₹",""),",","")),"")</f>
        <v>7999</v>
      </c>
      <c r="F782" s="12">
        <f>IFERROR(VALUE(SUBSTITUTE(Raw_Data!E782,"%",""))/100,"")</f>
        <v>0.85</v>
      </c>
      <c r="G782" s="13">
        <f>IFERROR(VALUE(Raw_Data!F782),"")</f>
        <v>3.6</v>
      </c>
      <c r="H782" s="14">
        <f>IFERROR(VALUE(SUBSTITUTE(Raw_Data!G782,",","")),"")</f>
        <v>25910</v>
      </c>
      <c r="I782" s="11">
        <f t="shared" si="48"/>
        <v>6800</v>
      </c>
      <c r="J782" s="11">
        <f t="shared" si="49"/>
        <v>31066090</v>
      </c>
      <c r="K782" s="1">
        <f t="shared" si="50"/>
        <v>25910.000078199999</v>
      </c>
      <c r="L782" s="15">
        <f t="shared" si="51"/>
        <v>0.85007820000000001</v>
      </c>
    </row>
    <row r="783" spans="1:12" ht="15" customHeight="1" x14ac:dyDescent="0.25">
      <c r="A783" s="10" t="str">
        <f>Raw_Data!A783</f>
        <v>Wembley LCD Writing Pad/Tab | Writing, Drawing, Reusable, Portable Pad with Colorful Letters | 9 Inch Graphic Tablet (Assorted)</v>
      </c>
      <c r="B783" s="10" t="str">
        <f>IFERROR(TRIM(LEFT(Raw_Data!A783,FIND(" ",Raw_Data!A783)-1)),Raw_Data!A783)</f>
        <v>Wembley</v>
      </c>
      <c r="C783" s="10" t="str">
        <f>IFERROR(LEFT(Raw_Data!B783,FIND("|",Raw_Data!B783)-1),Raw_Data!B783)</f>
        <v>Computers&amp;Accessories</v>
      </c>
      <c r="D783" s="11">
        <f>IFERROR(VALUE(SUBSTITUTE(SUBSTITUTE(TRIM(Raw_Data!C783),"₹",""),",","")),"")</f>
        <v>235</v>
      </c>
      <c r="E783" s="11">
        <f>IFERROR(VALUE(SUBSTITUTE(SUBSTITUTE(TRIM(Raw_Data!D783),"₹",""),",","")),"")</f>
        <v>1599</v>
      </c>
      <c r="F783" s="12">
        <f>IFERROR(VALUE(SUBSTITUTE(Raw_Data!E783,"%",""))/100,"")</f>
        <v>0.85</v>
      </c>
      <c r="G783" s="13">
        <f>IFERROR(VALUE(Raw_Data!F783),"")</f>
        <v>3.8</v>
      </c>
      <c r="H783" s="14">
        <f>IFERROR(VALUE(SUBSTITUTE(Raw_Data!G783,",","")),"")</f>
        <v>1173</v>
      </c>
      <c r="I783" s="11">
        <f t="shared" si="48"/>
        <v>1364</v>
      </c>
      <c r="J783" s="11">
        <f t="shared" si="49"/>
        <v>275655</v>
      </c>
      <c r="K783" s="1">
        <f t="shared" si="50"/>
        <v>1173.0000783</v>
      </c>
      <c r="L783" s="15">
        <f t="shared" si="51"/>
        <v>0.85007829999999995</v>
      </c>
    </row>
    <row r="784" spans="1:12" ht="15" customHeight="1" x14ac:dyDescent="0.25">
      <c r="A784" s="10" t="str">
        <f>Raw_Data!A784</f>
        <v>Gizga Essentials Multi-Purpose Portable &amp; Foldable Wooden Desk for Bed Tray, Laptop Table, Study Table (Black)</v>
      </c>
      <c r="B784" s="10" t="str">
        <f>IFERROR(TRIM(LEFT(Raw_Data!A784,FIND(" ",Raw_Data!A784)-1)),Raw_Data!A784)</f>
        <v>Gizga</v>
      </c>
      <c r="C784" s="10" t="str">
        <f>IFERROR(LEFT(Raw_Data!B784,FIND("|",Raw_Data!B784)-1),Raw_Data!B784)</f>
        <v>Computers&amp;Accessories</v>
      </c>
      <c r="D784" s="11">
        <f>IFERROR(VALUE(SUBSTITUTE(SUBSTITUTE(TRIM(Raw_Data!C784),"₹",""),",","")),"")</f>
        <v>549</v>
      </c>
      <c r="E784" s="11">
        <f>IFERROR(VALUE(SUBSTITUTE(SUBSTITUTE(TRIM(Raw_Data!D784),"₹",""),",","")),"")</f>
        <v>1999</v>
      </c>
      <c r="F784" s="12">
        <f>IFERROR(VALUE(SUBSTITUTE(Raw_Data!E784,"%",""))/100,"")</f>
        <v>0.73</v>
      </c>
      <c r="G784" s="13">
        <f>IFERROR(VALUE(Raw_Data!F784),"")</f>
        <v>3.6</v>
      </c>
      <c r="H784" s="14">
        <f>IFERROR(VALUE(SUBSTITUTE(Raw_Data!G784,",","")),"")</f>
        <v>6422</v>
      </c>
      <c r="I784" s="11">
        <f t="shared" si="48"/>
        <v>1450</v>
      </c>
      <c r="J784" s="11">
        <f t="shared" si="49"/>
        <v>3525678</v>
      </c>
      <c r="K784" s="1">
        <f t="shared" si="50"/>
        <v>6422.0000784000003</v>
      </c>
      <c r="L784" s="15">
        <f t="shared" si="51"/>
        <v>0.73007840000000002</v>
      </c>
    </row>
    <row r="785" spans="1:12" ht="15" customHeight="1" x14ac:dyDescent="0.25">
      <c r="A785" s="10" t="str">
        <f>Raw_Data!A785</f>
        <v>E-COSMOS Plug in LED Night Light Mini USB LED Light Flexible USB LED Ambient Light Mini USB LED Light, LED Portable car Bulb, Indoor, Outdoor, Reading, Sleep (4 pcs)</v>
      </c>
      <c r="B785" s="10" t="str">
        <f>IFERROR(TRIM(LEFT(Raw_Data!A785,FIND(" ",Raw_Data!A785)-1)),Raw_Data!A785)</f>
        <v>E-COSMOS</v>
      </c>
      <c r="C785" s="10" t="str">
        <f>IFERROR(LEFT(Raw_Data!B785,FIND("|",Raw_Data!B785)-1),Raw_Data!B785)</f>
        <v>Computers&amp;Accessories</v>
      </c>
      <c r="D785" s="11">
        <f>IFERROR(VALUE(SUBSTITUTE(SUBSTITUTE(TRIM(Raw_Data!C785),"₹",""),",","")),"")</f>
        <v>89</v>
      </c>
      <c r="E785" s="11">
        <f>IFERROR(VALUE(SUBSTITUTE(SUBSTITUTE(TRIM(Raw_Data!D785),"₹",""),",","")),"")</f>
        <v>99</v>
      </c>
      <c r="F785" s="12">
        <f>IFERROR(VALUE(SUBSTITUTE(Raw_Data!E785,"%",""))/100,"")</f>
        <v>0.1</v>
      </c>
      <c r="G785" s="13">
        <f>IFERROR(VALUE(Raw_Data!F785),"")</f>
        <v>4.2</v>
      </c>
      <c r="H785" s="14">
        <f>IFERROR(VALUE(SUBSTITUTE(Raw_Data!G785,",","")),"")</f>
        <v>241</v>
      </c>
      <c r="I785" s="11">
        <f t="shared" si="48"/>
        <v>10</v>
      </c>
      <c r="J785" s="11">
        <f t="shared" si="49"/>
        <v>21449</v>
      </c>
      <c r="K785" s="1">
        <f t="shared" si="50"/>
        <v>241.0000785</v>
      </c>
      <c r="L785" s="15">
        <f t="shared" si="51"/>
        <v>0.1000785</v>
      </c>
    </row>
    <row r="786" spans="1:12" ht="15" customHeight="1" x14ac:dyDescent="0.25">
      <c r="A786" s="10" t="str">
        <f>Raw_Data!A786</f>
        <v>Duracell USB C To Lightning Apple Certified (Mfi) Braided Sync &amp; Charge Cable For Iphone, Ipad And Ipod. Fast Charging Lightning Cable, 3.9 Feet (1.2M) - Black</v>
      </c>
      <c r="B786" s="10" t="str">
        <f>IFERROR(TRIM(LEFT(Raw_Data!A786,FIND(" ",Raw_Data!A786)-1)),Raw_Data!A786)</f>
        <v>Duracell</v>
      </c>
      <c r="C786" s="10" t="str">
        <f>IFERROR(LEFT(Raw_Data!B786,FIND("|",Raw_Data!B786)-1),Raw_Data!B786)</f>
        <v>Computers&amp;Accessories</v>
      </c>
      <c r="D786" s="11">
        <f>IFERROR(VALUE(SUBSTITUTE(SUBSTITUTE(TRIM(Raw_Data!C786),"₹",""),",","")),"")</f>
        <v>970</v>
      </c>
      <c r="E786" s="11">
        <f>IFERROR(VALUE(SUBSTITUTE(SUBSTITUTE(TRIM(Raw_Data!D786),"₹",""),",","")),"")</f>
        <v>1999</v>
      </c>
      <c r="F786" s="12">
        <f>IFERROR(VALUE(SUBSTITUTE(Raw_Data!E786,"%",""))/100,"")</f>
        <v>0.51</v>
      </c>
      <c r="G786" s="13">
        <f>IFERROR(VALUE(Raw_Data!F786),"")</f>
        <v>4.4000000000000004</v>
      </c>
      <c r="H786" s="14">
        <f>IFERROR(VALUE(SUBSTITUTE(Raw_Data!G786,",","")),"")</f>
        <v>184</v>
      </c>
      <c r="I786" s="11">
        <f t="shared" si="48"/>
        <v>1029</v>
      </c>
      <c r="J786" s="11">
        <f t="shared" si="49"/>
        <v>178480</v>
      </c>
      <c r="K786" s="1">
        <f t="shared" si="50"/>
        <v>184.00007859999999</v>
      </c>
      <c r="L786" s="15">
        <f t="shared" si="51"/>
        <v>0.51007860000000005</v>
      </c>
    </row>
    <row r="787" spans="1:12" ht="15" customHeight="1" x14ac:dyDescent="0.25">
      <c r="A787" s="10" t="str">
        <f>Raw_Data!A787</f>
        <v>Noise Buds VS201 V2 in-Ear Truly Wireless Earbuds with Dual Equalizer | with Mic | Total 14-Hour Playtime | Full Touch Control | IPX5 Water Resistance and Bluetooth v5.1 (Olive Green)</v>
      </c>
      <c r="B787" s="10" t="str">
        <f>IFERROR(TRIM(LEFT(Raw_Data!A787,FIND(" ",Raw_Data!A787)-1)),Raw_Data!A787)</f>
        <v>Noise</v>
      </c>
      <c r="C787" s="10" t="str">
        <f>IFERROR(LEFT(Raw_Data!B787,FIND("|",Raw_Data!B787)-1),Raw_Data!B787)</f>
        <v>Electronics</v>
      </c>
      <c r="D787" s="11">
        <f>IFERROR(VALUE(SUBSTITUTE(SUBSTITUTE(TRIM(Raw_Data!C787),"₹",""),",","")),"")</f>
        <v>1299</v>
      </c>
      <c r="E787" s="11">
        <f>IFERROR(VALUE(SUBSTITUTE(SUBSTITUTE(TRIM(Raw_Data!D787),"₹",""),",","")),"")</f>
        <v>2999</v>
      </c>
      <c r="F787" s="12">
        <f>IFERROR(VALUE(SUBSTITUTE(Raw_Data!E787,"%",""))/100,"")</f>
        <v>0.56999999999999995</v>
      </c>
      <c r="G787" s="13">
        <f>IFERROR(VALUE(Raw_Data!F787),"")</f>
        <v>3.8</v>
      </c>
      <c r="H787" s="14">
        <f>IFERROR(VALUE(SUBSTITUTE(Raw_Data!G787,",","")),"")</f>
        <v>14629</v>
      </c>
      <c r="I787" s="11">
        <f t="shared" si="48"/>
        <v>1700</v>
      </c>
      <c r="J787" s="11">
        <f t="shared" si="49"/>
        <v>19003071</v>
      </c>
      <c r="K787" s="1">
        <f t="shared" si="50"/>
        <v>14629.000078700001</v>
      </c>
      <c r="L787" s="15">
        <f t="shared" si="51"/>
        <v>0.57007869999999994</v>
      </c>
    </row>
    <row r="788" spans="1:12" ht="15" customHeight="1" x14ac:dyDescent="0.25">
      <c r="A788" s="10" t="str">
        <f>Raw_Data!A788</f>
        <v>Lapster Gel Mouse pad with Wrist Rest , Gaming Mouse Pad with Lycra Cloth Nonslip for Laptop , Computer, , Home &amp; Office (Black)</v>
      </c>
      <c r="B788" s="10" t="str">
        <f>IFERROR(TRIM(LEFT(Raw_Data!A788,FIND(" ",Raw_Data!A788)-1)),Raw_Data!A788)</f>
        <v>Lapster</v>
      </c>
      <c r="C788" s="10" t="str">
        <f>IFERROR(LEFT(Raw_Data!B788,FIND("|",Raw_Data!B788)-1),Raw_Data!B788)</f>
        <v>Computers&amp;Accessories</v>
      </c>
      <c r="D788" s="11">
        <f>IFERROR(VALUE(SUBSTITUTE(SUBSTITUTE(TRIM(Raw_Data!C788),"₹",""),",","")),"")</f>
        <v>230</v>
      </c>
      <c r="E788" s="11">
        <f>IFERROR(VALUE(SUBSTITUTE(SUBSTITUTE(TRIM(Raw_Data!D788),"₹",""),",","")),"")</f>
        <v>999</v>
      </c>
      <c r="F788" s="12">
        <f>IFERROR(VALUE(SUBSTITUTE(Raw_Data!E788,"%",""))/100,"")</f>
        <v>0.77</v>
      </c>
      <c r="G788" s="13">
        <f>IFERROR(VALUE(Raw_Data!F788),"")</f>
        <v>4.2</v>
      </c>
      <c r="H788" s="14">
        <f>IFERROR(VALUE(SUBSTITUTE(Raw_Data!G788,",","")),"")</f>
        <v>1528</v>
      </c>
      <c r="I788" s="11">
        <f t="shared" si="48"/>
        <v>769</v>
      </c>
      <c r="J788" s="11">
        <f t="shared" si="49"/>
        <v>351440</v>
      </c>
      <c r="K788" s="1">
        <f t="shared" si="50"/>
        <v>1528.0000788</v>
      </c>
      <c r="L788" s="15">
        <f t="shared" si="51"/>
        <v>0.77007880000000006</v>
      </c>
    </row>
    <row r="789" spans="1:12" ht="15" customHeight="1" x14ac:dyDescent="0.25">
      <c r="A789" s="10" t="str">
        <f>Raw_Data!A789</f>
        <v>Gizga Essentials Earphone Carrying Case, Multi-Purpose Pocket Storage Travel Organizer for Earphones, Headset, Pen Drives, SD Cards, Shock-Proof Ballistic Nylon, Soft Fabric, Mesh Pocket, Green</v>
      </c>
      <c r="B789" s="10" t="str">
        <f>IFERROR(TRIM(LEFT(Raw_Data!A789,FIND(" ",Raw_Data!A789)-1)),Raw_Data!A789)</f>
        <v>Gizga</v>
      </c>
      <c r="C789" s="10" t="str">
        <f>IFERROR(LEFT(Raw_Data!B789,FIND("|",Raw_Data!B789)-1),Raw_Data!B789)</f>
        <v>Electronics</v>
      </c>
      <c r="D789" s="11">
        <f>IFERROR(VALUE(SUBSTITUTE(SUBSTITUTE(TRIM(Raw_Data!C789),"₹",""),",","")),"")</f>
        <v>119</v>
      </c>
      <c r="E789" s="11">
        <f>IFERROR(VALUE(SUBSTITUTE(SUBSTITUTE(TRIM(Raw_Data!D789),"₹",""),",","")),"")</f>
        <v>499</v>
      </c>
      <c r="F789" s="12">
        <f>IFERROR(VALUE(SUBSTITUTE(Raw_Data!E789,"%",""))/100,"")</f>
        <v>0.76</v>
      </c>
      <c r="G789" s="13">
        <f>IFERROR(VALUE(Raw_Data!F789),"")</f>
        <v>4.3</v>
      </c>
      <c r="H789" s="14">
        <f>IFERROR(VALUE(SUBSTITUTE(Raw_Data!G789,",","")),"")</f>
        <v>15032</v>
      </c>
      <c r="I789" s="11">
        <f t="shared" si="48"/>
        <v>380</v>
      </c>
      <c r="J789" s="11">
        <f t="shared" si="49"/>
        <v>1788808</v>
      </c>
      <c r="K789" s="1">
        <f t="shared" si="50"/>
        <v>15032.000078900001</v>
      </c>
      <c r="L789" s="15">
        <f t="shared" si="51"/>
        <v>0.7600789</v>
      </c>
    </row>
    <row r="790" spans="1:12" ht="15" customHeight="1" x14ac:dyDescent="0.25">
      <c r="A790" s="10" t="str">
        <f>Raw_Data!A790</f>
        <v>SanDisk Ultra SDHC UHS-I Card 32GB 120MB/s R for DSLR Cameras, for Full HD Recording, 10Y Warranty</v>
      </c>
      <c r="B790" s="10" t="str">
        <f>IFERROR(TRIM(LEFT(Raw_Data!A790,FIND(" ",Raw_Data!A790)-1)),Raw_Data!A790)</f>
        <v>SanDisk</v>
      </c>
      <c r="C790" s="10" t="str">
        <f>IFERROR(LEFT(Raw_Data!B790,FIND("|",Raw_Data!B790)-1),Raw_Data!B790)</f>
        <v>Electronics</v>
      </c>
      <c r="D790" s="11">
        <f>IFERROR(VALUE(SUBSTITUTE(SUBSTITUTE(TRIM(Raw_Data!C790),"₹",""),",","")),"")</f>
        <v>449</v>
      </c>
      <c r="E790" s="11">
        <f>IFERROR(VALUE(SUBSTITUTE(SUBSTITUTE(TRIM(Raw_Data!D790),"₹",""),",","")),"")</f>
        <v>800</v>
      </c>
      <c r="F790" s="12">
        <f>IFERROR(VALUE(SUBSTITUTE(Raw_Data!E790,"%",""))/100,"")</f>
        <v>0.44</v>
      </c>
      <c r="G790" s="13">
        <f>IFERROR(VALUE(Raw_Data!F790),"")</f>
        <v>4.4000000000000004</v>
      </c>
      <c r="H790" s="14">
        <f>IFERROR(VALUE(SUBSTITUTE(Raw_Data!G790,",","")),"")</f>
        <v>69585</v>
      </c>
      <c r="I790" s="11">
        <f t="shared" si="48"/>
        <v>351</v>
      </c>
      <c r="J790" s="11">
        <f t="shared" si="49"/>
        <v>31243665</v>
      </c>
      <c r="K790" s="1">
        <f t="shared" si="50"/>
        <v>69585.000079000005</v>
      </c>
      <c r="L790" s="15">
        <f t="shared" si="51"/>
        <v>0.440079</v>
      </c>
    </row>
    <row r="791" spans="1:12" ht="15" customHeight="1" x14ac:dyDescent="0.25">
      <c r="A791" s="10" t="str">
        <f>Raw_Data!A791</f>
        <v>DIGITEK® (DRL-14C) Professional (31cm) Dual Temperature LED Ring Light with Tripod Stand &amp; Mini Tripod for YouTube, Photo-Shoot, Video Shoot, Live Stream, Makeup, Vlogging &amp; More</v>
      </c>
      <c r="B791" s="10" t="str">
        <f>IFERROR(TRIM(LEFT(Raw_Data!A791,FIND(" ",Raw_Data!A791)-1)),Raw_Data!A791)</f>
        <v>DIGITEK®</v>
      </c>
      <c r="C791" s="10" t="str">
        <f>IFERROR(LEFT(Raw_Data!B791,FIND("|",Raw_Data!B791)-1),Raw_Data!B791)</f>
        <v>Electronics</v>
      </c>
      <c r="D791" s="11">
        <f>IFERROR(VALUE(SUBSTITUTE(SUBSTITUTE(TRIM(Raw_Data!C791),"₹",""),",","")),"")</f>
        <v>1699</v>
      </c>
      <c r="E791" s="11">
        <f>IFERROR(VALUE(SUBSTITUTE(SUBSTITUTE(TRIM(Raw_Data!D791),"₹",""),",","")),"")</f>
        <v>3495</v>
      </c>
      <c r="F791" s="12">
        <f>IFERROR(VALUE(SUBSTITUTE(Raw_Data!E791,"%",""))/100,"")</f>
        <v>0.51</v>
      </c>
      <c r="G791" s="13">
        <f>IFERROR(VALUE(Raw_Data!F791),"")</f>
        <v>4.0999999999999996</v>
      </c>
      <c r="H791" s="14">
        <f>IFERROR(VALUE(SUBSTITUTE(Raw_Data!G791,",","")),"")</f>
        <v>14371</v>
      </c>
      <c r="I791" s="11">
        <f t="shared" si="48"/>
        <v>1796</v>
      </c>
      <c r="J791" s="11">
        <f t="shared" si="49"/>
        <v>24416329</v>
      </c>
      <c r="K791" s="1">
        <f t="shared" si="50"/>
        <v>14371.0000791</v>
      </c>
      <c r="L791" s="15">
        <f t="shared" si="51"/>
        <v>0.51007910000000001</v>
      </c>
    </row>
    <row r="792" spans="1:12" ht="15" customHeight="1" x14ac:dyDescent="0.25">
      <c r="A792" s="10" t="str">
        <f>Raw_Data!A792</f>
        <v>Classmate Long Notebook - 140 Pages, Single Line, 297mm x 210mm (Pack of 12)</v>
      </c>
      <c r="B792" s="10" t="str">
        <f>IFERROR(TRIM(LEFT(Raw_Data!A792,FIND(" ",Raw_Data!A792)-1)),Raw_Data!A792)</f>
        <v>Classmate</v>
      </c>
      <c r="C792" s="10" t="str">
        <f>IFERROR(LEFT(Raw_Data!B792,FIND("|",Raw_Data!B792)-1),Raw_Data!B792)</f>
        <v>OfficeProducts</v>
      </c>
      <c r="D792" s="11">
        <f>IFERROR(VALUE(SUBSTITUTE(SUBSTITUTE(TRIM(Raw_Data!C792),"₹",""),",","")),"")</f>
        <v>561</v>
      </c>
      <c r="E792" s="11">
        <f>IFERROR(VALUE(SUBSTITUTE(SUBSTITUTE(TRIM(Raw_Data!D792),"₹",""),",","")),"")</f>
        <v>720</v>
      </c>
      <c r="F792" s="12">
        <f>IFERROR(VALUE(SUBSTITUTE(Raw_Data!E792,"%",""))/100,"")</f>
        <v>0.22</v>
      </c>
      <c r="G792" s="13">
        <f>IFERROR(VALUE(Raw_Data!F792),"")</f>
        <v>4.4000000000000004</v>
      </c>
      <c r="H792" s="14">
        <f>IFERROR(VALUE(SUBSTITUTE(Raw_Data!G792,",","")),"")</f>
        <v>3182</v>
      </c>
      <c r="I792" s="11">
        <f t="shared" si="48"/>
        <v>159</v>
      </c>
      <c r="J792" s="11">
        <f t="shared" si="49"/>
        <v>1785102</v>
      </c>
      <c r="K792" s="1">
        <f t="shared" si="50"/>
        <v>3182.0000792000001</v>
      </c>
      <c r="L792" s="15">
        <f t="shared" si="51"/>
        <v>0.2200792</v>
      </c>
    </row>
    <row r="793" spans="1:12" ht="15" customHeight="1" x14ac:dyDescent="0.25">
      <c r="A793" s="10" t="str">
        <f>Raw_Data!A793</f>
        <v>Lenovo 300 Wired Plug &amp; Play USB Mouse, High Resolution 1600 DPI Optical Sensor, 3-Button Design with clickable Scroll Wheel, Ambidextrous, Ergonomic Mouse for Comfortable All-Day Grip (GX30M39704)</v>
      </c>
      <c r="B793" s="10" t="str">
        <f>IFERROR(TRIM(LEFT(Raw_Data!A793,FIND(" ",Raw_Data!A793)-1)),Raw_Data!A793)</f>
        <v>Lenovo</v>
      </c>
      <c r="C793" s="10" t="str">
        <f>IFERROR(LEFT(Raw_Data!B793,FIND("|",Raw_Data!B793)-1),Raw_Data!B793)</f>
        <v>Computers&amp;Accessories</v>
      </c>
      <c r="D793" s="11">
        <f>IFERROR(VALUE(SUBSTITUTE(SUBSTITUTE(TRIM(Raw_Data!C793),"₹",""),",","")),"")</f>
        <v>289</v>
      </c>
      <c r="E793" s="11">
        <f>IFERROR(VALUE(SUBSTITUTE(SUBSTITUTE(TRIM(Raw_Data!D793),"₹",""),",","")),"")</f>
        <v>590</v>
      </c>
      <c r="F793" s="12">
        <f>IFERROR(VALUE(SUBSTITUTE(Raw_Data!E793,"%",""))/100,"")</f>
        <v>0.51</v>
      </c>
      <c r="G793" s="13">
        <f>IFERROR(VALUE(Raw_Data!F793),"")</f>
        <v>4.4000000000000004</v>
      </c>
      <c r="H793" s="14">
        <f>IFERROR(VALUE(SUBSTITUTE(Raw_Data!G793,",","")),"")</f>
        <v>25886</v>
      </c>
      <c r="I793" s="11">
        <f t="shared" si="48"/>
        <v>301</v>
      </c>
      <c r="J793" s="11">
        <f t="shared" si="49"/>
        <v>7481054</v>
      </c>
      <c r="K793" s="1">
        <f t="shared" si="50"/>
        <v>25886.0000793</v>
      </c>
      <c r="L793" s="15">
        <f t="shared" si="51"/>
        <v>0.51007930000000001</v>
      </c>
    </row>
    <row r="794" spans="1:12" ht="15" customHeight="1" x14ac:dyDescent="0.25">
      <c r="A794" s="10" t="str">
        <f>Raw_Data!A794</f>
        <v>Dyazo 6 Angles Adjustable Aluminum Ergonomic Foldable Portable Tabletop Laptop/Desktop Riser Stand Holder Compatible for MacBook, HP, Dell, Lenovo &amp; All Other Notebook (Silver)</v>
      </c>
      <c r="B794" s="10" t="str">
        <f>IFERROR(TRIM(LEFT(Raw_Data!A794,FIND(" ",Raw_Data!A794)-1)),Raw_Data!A794)</f>
        <v>Dyazo</v>
      </c>
      <c r="C794" s="10" t="str">
        <f>IFERROR(LEFT(Raw_Data!B794,FIND("|",Raw_Data!B794)-1),Raw_Data!B794)</f>
        <v>Computers&amp;Accessories</v>
      </c>
      <c r="D794" s="11">
        <f>IFERROR(VALUE(SUBSTITUTE(SUBSTITUTE(TRIM(Raw_Data!C794),"₹",""),",","")),"")</f>
        <v>599</v>
      </c>
      <c r="E794" s="11">
        <f>IFERROR(VALUE(SUBSTITUTE(SUBSTITUTE(TRIM(Raw_Data!D794),"₹",""),",","")),"")</f>
        <v>1999</v>
      </c>
      <c r="F794" s="12">
        <f>IFERROR(VALUE(SUBSTITUTE(Raw_Data!E794,"%",""))/100,"")</f>
        <v>0.7</v>
      </c>
      <c r="G794" s="13">
        <f>IFERROR(VALUE(Raw_Data!F794),"")</f>
        <v>4.4000000000000004</v>
      </c>
      <c r="H794" s="14">
        <f>IFERROR(VALUE(SUBSTITUTE(Raw_Data!G794,",","")),"")</f>
        <v>4736</v>
      </c>
      <c r="I794" s="11">
        <f t="shared" si="48"/>
        <v>1400</v>
      </c>
      <c r="J794" s="11">
        <f t="shared" si="49"/>
        <v>2836864</v>
      </c>
      <c r="K794" s="1">
        <f t="shared" si="50"/>
        <v>4736.0000793999998</v>
      </c>
      <c r="L794" s="15">
        <f t="shared" si="51"/>
        <v>0.70007939999999991</v>
      </c>
    </row>
    <row r="795" spans="1:12" ht="15" customHeight="1" x14ac:dyDescent="0.25">
      <c r="A795" s="10" t="str">
        <f>Raw_Data!A795</f>
        <v>Western Digital WD 2TB My Passport Portable Hard Disk Drive, USB 3.0 with  Automatic Backup, 256 Bit AES Hardware Encryption,Password Protection,Compatible with Windows and Mac, External HDD-Black</v>
      </c>
      <c r="B795" s="10" t="str">
        <f>IFERROR(TRIM(LEFT(Raw_Data!A795,FIND(" ",Raw_Data!A795)-1)),Raw_Data!A795)</f>
        <v>Western</v>
      </c>
      <c r="C795" s="10" t="str">
        <f>IFERROR(LEFT(Raw_Data!B795,FIND("|",Raw_Data!B795)-1),Raw_Data!B795)</f>
        <v>Computers&amp;Accessories</v>
      </c>
      <c r="D795" s="11">
        <f>IFERROR(VALUE(SUBSTITUTE(SUBSTITUTE(TRIM(Raw_Data!C795),"₹",""),",","")),"")</f>
        <v>5599</v>
      </c>
      <c r="E795" s="11">
        <f>IFERROR(VALUE(SUBSTITUTE(SUBSTITUTE(TRIM(Raw_Data!D795),"₹",""),",","")),"")</f>
        <v>7350</v>
      </c>
      <c r="F795" s="12">
        <f>IFERROR(VALUE(SUBSTITUTE(Raw_Data!E795,"%",""))/100,"")</f>
        <v>0.24</v>
      </c>
      <c r="G795" s="13">
        <f>IFERROR(VALUE(Raw_Data!F795),"")</f>
        <v>4.4000000000000004</v>
      </c>
      <c r="H795" s="14">
        <f>IFERROR(VALUE(SUBSTITUTE(Raw_Data!G795,",","")),"")</f>
        <v>73005</v>
      </c>
      <c r="I795" s="11">
        <f t="shared" si="48"/>
        <v>1751</v>
      </c>
      <c r="J795" s="11">
        <f t="shared" si="49"/>
        <v>408754995</v>
      </c>
      <c r="K795" s="1">
        <f t="shared" si="50"/>
        <v>73005.000079499994</v>
      </c>
      <c r="L795" s="15">
        <f t="shared" si="51"/>
        <v>0.2400795</v>
      </c>
    </row>
    <row r="796" spans="1:12" ht="15" customHeight="1" x14ac:dyDescent="0.25">
      <c r="A796" s="10" t="str">
        <f>Raw_Data!A796</f>
        <v>Logitech C270 Digital HD Webcam with Widescreen HD Video Calling, HD Light Correction, Noise-Reducing Mic, for Skype, FaceTime, Hangouts, WebEx, PC/Mac/Laptop/MacBook/Tablet - (Black, HD 720p/30fps)</v>
      </c>
      <c r="B796" s="10" t="str">
        <f>IFERROR(TRIM(LEFT(Raw_Data!A796,FIND(" ",Raw_Data!A796)-1)),Raw_Data!A796)</f>
        <v>Logitech</v>
      </c>
      <c r="C796" s="10" t="str">
        <f>IFERROR(LEFT(Raw_Data!B796,FIND("|",Raw_Data!B796)-1),Raw_Data!B796)</f>
        <v>Computers&amp;Accessories</v>
      </c>
      <c r="D796" s="11">
        <f>IFERROR(VALUE(SUBSTITUTE(SUBSTITUTE(TRIM(Raw_Data!C796),"₹",""),",","")),"")</f>
        <v>1990</v>
      </c>
      <c r="E796" s="11">
        <f>IFERROR(VALUE(SUBSTITUTE(SUBSTITUTE(TRIM(Raw_Data!D796),"₹",""),",","")),"")</f>
        <v>2595</v>
      </c>
      <c r="F796" s="12">
        <f>IFERROR(VALUE(SUBSTITUTE(Raw_Data!E796,"%",""))/100,"")</f>
        <v>0.23</v>
      </c>
      <c r="G796" s="13">
        <f>IFERROR(VALUE(Raw_Data!F796),"")</f>
        <v>4.3</v>
      </c>
      <c r="H796" s="14">
        <f>IFERROR(VALUE(SUBSTITUTE(Raw_Data!G796,",","")),"")</f>
        <v>20398</v>
      </c>
      <c r="I796" s="11">
        <f t="shared" si="48"/>
        <v>605</v>
      </c>
      <c r="J796" s="11">
        <f t="shared" si="49"/>
        <v>40592020</v>
      </c>
      <c r="K796" s="1">
        <f t="shared" si="50"/>
        <v>20398.000079599999</v>
      </c>
      <c r="L796" s="15">
        <f t="shared" si="51"/>
        <v>0.23007960000000002</v>
      </c>
    </row>
    <row r="797" spans="1:12" ht="15" customHeight="1" x14ac:dyDescent="0.25">
      <c r="A797" s="10" t="str">
        <f>Raw_Data!A797</f>
        <v>Portronics MPORT 31 4 Ports USB Hub (USB A to 4 USB-A Ports 4 in 1 Connector USB HUB(Grey)</v>
      </c>
      <c r="B797" s="10" t="str">
        <f>IFERROR(TRIM(LEFT(Raw_Data!A797,FIND(" ",Raw_Data!A797)-1)),Raw_Data!A797)</f>
        <v>Portronics</v>
      </c>
      <c r="C797" s="10" t="str">
        <f>IFERROR(LEFT(Raw_Data!B797,FIND("|",Raw_Data!B797)-1),Raw_Data!B797)</f>
        <v>Computers&amp;Accessories</v>
      </c>
      <c r="D797" s="11">
        <f>IFERROR(VALUE(SUBSTITUTE(SUBSTITUTE(TRIM(Raw_Data!C797),"₹",""),",","")),"")</f>
        <v>499</v>
      </c>
      <c r="E797" s="11">
        <f>IFERROR(VALUE(SUBSTITUTE(SUBSTITUTE(TRIM(Raw_Data!D797),"₹",""),",","")),"")</f>
        <v>799</v>
      </c>
      <c r="F797" s="12">
        <f>IFERROR(VALUE(SUBSTITUTE(Raw_Data!E797,"%",""))/100,"")</f>
        <v>0.38</v>
      </c>
      <c r="G797" s="13">
        <f>IFERROR(VALUE(Raw_Data!F797),"")</f>
        <v>4.3</v>
      </c>
      <c r="H797" s="14">
        <f>IFERROR(VALUE(SUBSTITUTE(Raw_Data!G797,",","")),"")</f>
        <v>2125</v>
      </c>
      <c r="I797" s="11">
        <f t="shared" si="48"/>
        <v>300</v>
      </c>
      <c r="J797" s="11">
        <f t="shared" si="49"/>
        <v>1060375</v>
      </c>
      <c r="K797" s="1">
        <f t="shared" si="50"/>
        <v>2125.0000796999998</v>
      </c>
      <c r="L797" s="15">
        <f t="shared" si="51"/>
        <v>0.38007970000000002</v>
      </c>
    </row>
    <row r="798" spans="1:12" ht="15" customHeight="1" x14ac:dyDescent="0.25">
      <c r="A798" s="10" t="str">
        <f>Raw_Data!A798</f>
        <v>AirCase Protective Laptop Bag Sleeve fits Upto 15.6" Laptop/ MacBook, Wrinkle Free, Padded, Waterproof Light Neoprene case Cover Pouch, for Men &amp; Women, Black- 6 Months Warranty</v>
      </c>
      <c r="B798" s="10" t="str">
        <f>IFERROR(TRIM(LEFT(Raw_Data!A798,FIND(" ",Raw_Data!A798)-1)),Raw_Data!A798)</f>
        <v>AirCase</v>
      </c>
      <c r="C798" s="10" t="str">
        <f>IFERROR(LEFT(Raw_Data!B798,FIND("|",Raw_Data!B798)-1),Raw_Data!B798)</f>
        <v>Computers&amp;Accessories</v>
      </c>
      <c r="D798" s="11">
        <f>IFERROR(VALUE(SUBSTITUTE(SUBSTITUTE(TRIM(Raw_Data!C798),"₹",""),",","")),"")</f>
        <v>449</v>
      </c>
      <c r="E798" s="11">
        <f>IFERROR(VALUE(SUBSTITUTE(SUBSTITUTE(TRIM(Raw_Data!D798),"₹",""),",","")),"")</f>
        <v>999</v>
      </c>
      <c r="F798" s="12">
        <f>IFERROR(VALUE(SUBSTITUTE(Raw_Data!E798,"%",""))/100,"")</f>
        <v>0.55000000000000004</v>
      </c>
      <c r="G798" s="13">
        <f>IFERROR(VALUE(Raw_Data!F798),"")</f>
        <v>4.3</v>
      </c>
      <c r="H798" s="14">
        <f>IFERROR(VALUE(SUBSTITUTE(Raw_Data!G798,",","")),"")</f>
        <v>11330</v>
      </c>
      <c r="I798" s="11">
        <f t="shared" si="48"/>
        <v>550</v>
      </c>
      <c r="J798" s="11">
        <f t="shared" si="49"/>
        <v>5087170</v>
      </c>
      <c r="K798" s="1">
        <f t="shared" si="50"/>
        <v>11330.0000798</v>
      </c>
      <c r="L798" s="15">
        <f t="shared" si="51"/>
        <v>0.55007980000000001</v>
      </c>
    </row>
    <row r="799" spans="1:12" ht="15" customHeight="1" x14ac:dyDescent="0.25">
      <c r="A799" s="10" t="str">
        <f>Raw_Data!A799</f>
        <v>Zinq Five Fan Cooling Pad and Laptop Stand with Dual Height Adjustment and Dual USB Port Extension (Black)</v>
      </c>
      <c r="B799" s="10" t="str">
        <f>IFERROR(TRIM(LEFT(Raw_Data!A799,FIND(" ",Raw_Data!A799)-1)),Raw_Data!A799)</f>
        <v>Zinq</v>
      </c>
      <c r="C799" s="10" t="str">
        <f>IFERROR(LEFT(Raw_Data!B799,FIND("|",Raw_Data!B799)-1),Raw_Data!B799)</f>
        <v>Computers&amp;Accessories</v>
      </c>
      <c r="D799" s="11">
        <f>IFERROR(VALUE(SUBSTITUTE(SUBSTITUTE(TRIM(Raw_Data!C799),"₹",""),",","")),"")</f>
        <v>999</v>
      </c>
      <c r="E799" s="11">
        <f>IFERROR(VALUE(SUBSTITUTE(SUBSTITUTE(TRIM(Raw_Data!D799),"₹",""),",","")),"")</f>
        <v>1999</v>
      </c>
      <c r="F799" s="12">
        <f>IFERROR(VALUE(SUBSTITUTE(Raw_Data!E799,"%",""))/100,"")</f>
        <v>0.5</v>
      </c>
      <c r="G799" s="13">
        <f>IFERROR(VALUE(Raw_Data!F799),"")</f>
        <v>4.2</v>
      </c>
      <c r="H799" s="14">
        <f>IFERROR(VALUE(SUBSTITUTE(Raw_Data!G799,",","")),"")</f>
        <v>27441</v>
      </c>
      <c r="I799" s="11">
        <f t="shared" si="48"/>
        <v>1000</v>
      </c>
      <c r="J799" s="11">
        <f t="shared" si="49"/>
        <v>27413559</v>
      </c>
      <c r="K799" s="1">
        <f t="shared" si="50"/>
        <v>27441.000079900001</v>
      </c>
      <c r="L799" s="15">
        <f t="shared" si="51"/>
        <v>0.50007990000000002</v>
      </c>
    </row>
    <row r="800" spans="1:12" ht="15" customHeight="1" x14ac:dyDescent="0.25">
      <c r="A800" s="10" t="str">
        <f>Raw_Data!A800</f>
        <v>Gizga Essentials Webcam Cover, Privacy Protector Webcam Cover Slide, Compatible with Laptop, Desktop, PC, Smartphone, Protect Your Privacy and Security, Strong Adhesive, Set of 3, Black</v>
      </c>
      <c r="B800" s="10" t="str">
        <f>IFERROR(TRIM(LEFT(Raw_Data!A800,FIND(" ",Raw_Data!A800)-1)),Raw_Data!A800)</f>
        <v>Gizga</v>
      </c>
      <c r="C800" s="10" t="str">
        <f>IFERROR(LEFT(Raw_Data!B800,FIND("|",Raw_Data!B800)-1),Raw_Data!B800)</f>
        <v>Computers&amp;Accessories</v>
      </c>
      <c r="D800" s="11">
        <f>IFERROR(VALUE(SUBSTITUTE(SUBSTITUTE(TRIM(Raw_Data!C800),"₹",""),",","")),"")</f>
        <v>69</v>
      </c>
      <c r="E800" s="11">
        <f>IFERROR(VALUE(SUBSTITUTE(SUBSTITUTE(TRIM(Raw_Data!D800),"₹",""),",","")),"")</f>
        <v>299</v>
      </c>
      <c r="F800" s="12">
        <f>IFERROR(VALUE(SUBSTITUTE(Raw_Data!E800,"%",""))/100,"")</f>
        <v>0.77</v>
      </c>
      <c r="G800" s="13">
        <f>IFERROR(VALUE(Raw_Data!F800),"")</f>
        <v>4.3</v>
      </c>
      <c r="H800" s="14">
        <f>IFERROR(VALUE(SUBSTITUTE(Raw_Data!G800,",","")),"")</f>
        <v>255</v>
      </c>
      <c r="I800" s="11">
        <f t="shared" si="48"/>
        <v>230</v>
      </c>
      <c r="J800" s="11">
        <f t="shared" si="49"/>
        <v>17595</v>
      </c>
      <c r="K800" s="1">
        <f t="shared" si="50"/>
        <v>255.00008</v>
      </c>
      <c r="L800" s="15">
        <f t="shared" si="51"/>
        <v>0.77007999999999999</v>
      </c>
    </row>
    <row r="801" spans="1:12" ht="15" customHeight="1" x14ac:dyDescent="0.25">
      <c r="A801" s="10" t="str">
        <f>Raw_Data!A801</f>
        <v>HP Z3700 Wireless Optical Mouse with USB Receiver and 2.4GHz Wireless Connection/ 1200DPI / 16 Months Long Battery Life /Ambidextrous and Slim Design (Modern Gold)</v>
      </c>
      <c r="B801" s="10" t="str">
        <f>IFERROR(TRIM(LEFT(Raw_Data!A801,FIND(" ",Raw_Data!A801)-1)),Raw_Data!A801)</f>
        <v>HP</v>
      </c>
      <c r="C801" s="10" t="str">
        <f>IFERROR(LEFT(Raw_Data!B801,FIND("|",Raw_Data!B801)-1),Raw_Data!B801)</f>
        <v>Computers&amp;Accessories</v>
      </c>
      <c r="D801" s="11">
        <f>IFERROR(VALUE(SUBSTITUTE(SUBSTITUTE(TRIM(Raw_Data!C801),"₹",""),",","")),"")</f>
        <v>899</v>
      </c>
      <c r="E801" s="11">
        <f>IFERROR(VALUE(SUBSTITUTE(SUBSTITUTE(TRIM(Raw_Data!D801),"₹",""),",","")),"")</f>
        <v>1499</v>
      </c>
      <c r="F801" s="12">
        <f>IFERROR(VALUE(SUBSTITUTE(Raw_Data!E801,"%",""))/100,"")</f>
        <v>0.4</v>
      </c>
      <c r="G801" s="13">
        <f>IFERROR(VALUE(Raw_Data!F801),"")</f>
        <v>4.2</v>
      </c>
      <c r="H801" s="14">
        <f>IFERROR(VALUE(SUBSTITUTE(Raw_Data!G801,",","")),"")</f>
        <v>23174</v>
      </c>
      <c r="I801" s="11">
        <f t="shared" si="48"/>
        <v>600</v>
      </c>
      <c r="J801" s="11">
        <f t="shared" si="49"/>
        <v>20833426</v>
      </c>
      <c r="K801" s="1">
        <f t="shared" si="50"/>
        <v>23174.000080099999</v>
      </c>
      <c r="L801" s="15">
        <f t="shared" si="51"/>
        <v>0.40008010000000005</v>
      </c>
    </row>
    <row r="802" spans="1:12" ht="15" customHeight="1" x14ac:dyDescent="0.25">
      <c r="A802" s="10" t="str">
        <f>Raw_Data!A802</f>
        <v>MAONO AU-400 Lavalier Auxiliary Omnidirectional Microphone (Black)</v>
      </c>
      <c r="B802" s="10" t="str">
        <f>IFERROR(TRIM(LEFT(Raw_Data!A802,FIND(" ",Raw_Data!A802)-1)),Raw_Data!A802)</f>
        <v>MAONO</v>
      </c>
      <c r="C802" s="10" t="str">
        <f>IFERROR(LEFT(Raw_Data!B802,FIND("|",Raw_Data!B802)-1),Raw_Data!B802)</f>
        <v>MusicalInstruments</v>
      </c>
      <c r="D802" s="11">
        <f>IFERROR(VALUE(SUBSTITUTE(SUBSTITUTE(TRIM(Raw_Data!C802),"₹",""),",","")),"")</f>
        <v>478</v>
      </c>
      <c r="E802" s="11">
        <f>IFERROR(VALUE(SUBSTITUTE(SUBSTITUTE(TRIM(Raw_Data!D802),"₹",""),",","")),"")</f>
        <v>699</v>
      </c>
      <c r="F802" s="12">
        <f>IFERROR(VALUE(SUBSTITUTE(Raw_Data!E802,"%",""))/100,"")</f>
        <v>0.32</v>
      </c>
      <c r="G802" s="13">
        <f>IFERROR(VALUE(Raw_Data!F802),"")</f>
        <v>3.8</v>
      </c>
      <c r="H802" s="14">
        <f>IFERROR(VALUE(SUBSTITUTE(Raw_Data!G802,",","")),"")</f>
        <v>20218</v>
      </c>
      <c r="I802" s="11">
        <f t="shared" si="48"/>
        <v>221</v>
      </c>
      <c r="J802" s="11">
        <f t="shared" si="49"/>
        <v>9664204</v>
      </c>
      <c r="K802" s="1">
        <f t="shared" si="50"/>
        <v>20218.0000802</v>
      </c>
      <c r="L802" s="15">
        <f t="shared" si="51"/>
        <v>0.32008019999999998</v>
      </c>
    </row>
    <row r="803" spans="1:12" ht="15" customHeight="1" x14ac:dyDescent="0.25">
      <c r="A803" s="10" t="str">
        <f>Raw_Data!A803</f>
        <v>TABLE MAGIC Multipurpose Laptop Table Mat Finish Top Work at Home Study Table (TM Regular- Black) (Alloy Steel)</v>
      </c>
      <c r="B803" s="10" t="str">
        <f>IFERROR(TRIM(LEFT(Raw_Data!A803,FIND(" ",Raw_Data!A803)-1)),Raw_Data!A803)</f>
        <v>TABLE</v>
      </c>
      <c r="C803" s="10" t="str">
        <f>IFERROR(LEFT(Raw_Data!B803,FIND("|",Raw_Data!B803)-1),Raw_Data!B803)</f>
        <v>Computers&amp;Accessories</v>
      </c>
      <c r="D803" s="11">
        <f>IFERROR(VALUE(SUBSTITUTE(SUBSTITUTE(TRIM(Raw_Data!C803),"₹",""),",","")),"")</f>
        <v>1399</v>
      </c>
      <c r="E803" s="11">
        <f>IFERROR(VALUE(SUBSTITUTE(SUBSTITUTE(TRIM(Raw_Data!D803),"₹",""),",","")),"")</f>
        <v>2490</v>
      </c>
      <c r="F803" s="12">
        <f>IFERROR(VALUE(SUBSTITUTE(Raw_Data!E803,"%",""))/100,"")</f>
        <v>0.44</v>
      </c>
      <c r="G803" s="13">
        <f>IFERROR(VALUE(Raw_Data!F803),"")</f>
        <v>4.3</v>
      </c>
      <c r="H803" s="14">
        <f>IFERROR(VALUE(SUBSTITUTE(Raw_Data!G803,",","")),"")</f>
        <v>11074</v>
      </c>
      <c r="I803" s="11">
        <f t="shared" si="48"/>
        <v>1091</v>
      </c>
      <c r="J803" s="11">
        <f t="shared" si="49"/>
        <v>15492526</v>
      </c>
      <c r="K803" s="1">
        <f t="shared" si="50"/>
        <v>11074.0000803</v>
      </c>
      <c r="L803" s="15">
        <f t="shared" si="51"/>
        <v>0.44008029999999998</v>
      </c>
    </row>
    <row r="804" spans="1:12" ht="15" customHeight="1" x14ac:dyDescent="0.25">
      <c r="A804" s="10" t="str">
        <f>Raw_Data!A804</f>
        <v>AmazonBasics USB 2.0 - A-Male to A-Female Extension Cable for Personal Computer, Printer (Black, 9.8 Feet/3 Meters)</v>
      </c>
      <c r="B804" s="10" t="str">
        <f>IFERROR(TRIM(LEFT(Raw_Data!A804,FIND(" ",Raw_Data!A804)-1)),Raw_Data!A804)</f>
        <v>AmazonBasics</v>
      </c>
      <c r="C804" s="10" t="str">
        <f>IFERROR(LEFT(Raw_Data!B804,FIND("|",Raw_Data!B804)-1),Raw_Data!B804)</f>
        <v>Computers&amp;Accessories</v>
      </c>
      <c r="D804" s="11">
        <f>IFERROR(VALUE(SUBSTITUTE(SUBSTITUTE(TRIM(Raw_Data!C804),"₹",""),",","")),"")</f>
        <v>199</v>
      </c>
      <c r="E804" s="11">
        <f>IFERROR(VALUE(SUBSTITUTE(SUBSTITUTE(TRIM(Raw_Data!D804),"₹",""),",","")),"")</f>
        <v>750</v>
      </c>
      <c r="F804" s="12">
        <f>IFERROR(VALUE(SUBSTITUTE(Raw_Data!E804,"%",""))/100,"")</f>
        <v>0.73</v>
      </c>
      <c r="G804" s="13">
        <f>IFERROR(VALUE(Raw_Data!F804),"")</f>
        <v>4.5</v>
      </c>
      <c r="H804" s="14">
        <f>IFERROR(VALUE(SUBSTITUTE(Raw_Data!G804,",","")),"")</f>
        <v>74976</v>
      </c>
      <c r="I804" s="11">
        <f t="shared" si="48"/>
        <v>551</v>
      </c>
      <c r="J804" s="11">
        <f t="shared" si="49"/>
        <v>14920224</v>
      </c>
      <c r="K804" s="1">
        <f t="shared" si="50"/>
        <v>74976.000080400001</v>
      </c>
      <c r="L804" s="15">
        <f t="shared" si="51"/>
        <v>0.73008039999999996</v>
      </c>
    </row>
    <row r="805" spans="1:12" ht="15" customHeight="1" x14ac:dyDescent="0.25">
      <c r="A805" s="10" t="str">
        <f>Raw_Data!A805</f>
        <v>GIZGA Essentials Portable Tabletop Tablet Stand Mobile Holder, Desktop Stand, Cradle, Dock for iPad, Smartphone, Kindle, E-Reader, Fully Foldable, Adjustable Angle, Anti-Slip Pads, Black</v>
      </c>
      <c r="B805" s="10" t="str">
        <f>IFERROR(TRIM(LEFT(Raw_Data!A805,FIND(" ",Raw_Data!A805)-1)),Raw_Data!A805)</f>
        <v>GIZGA</v>
      </c>
      <c r="C805" s="10" t="str">
        <f>IFERROR(LEFT(Raw_Data!B805,FIND("|",Raw_Data!B805)-1),Raw_Data!B805)</f>
        <v>Computers&amp;Accessories</v>
      </c>
      <c r="D805" s="11">
        <f>IFERROR(VALUE(SUBSTITUTE(SUBSTITUTE(TRIM(Raw_Data!C805),"₹",""),",","")),"")</f>
        <v>149</v>
      </c>
      <c r="E805" s="11">
        <f>IFERROR(VALUE(SUBSTITUTE(SUBSTITUTE(TRIM(Raw_Data!D805),"₹",""),",","")),"")</f>
        <v>499</v>
      </c>
      <c r="F805" s="12">
        <f>IFERROR(VALUE(SUBSTITUTE(Raw_Data!E805,"%",""))/100,"")</f>
        <v>0.7</v>
      </c>
      <c r="G805" s="13">
        <f>IFERROR(VALUE(Raw_Data!F805),"")</f>
        <v>4.0999999999999996</v>
      </c>
      <c r="H805" s="14">
        <f>IFERROR(VALUE(SUBSTITUTE(Raw_Data!G805,",","")),"")</f>
        <v>25607</v>
      </c>
      <c r="I805" s="11">
        <f t="shared" si="48"/>
        <v>350</v>
      </c>
      <c r="J805" s="11">
        <f t="shared" si="49"/>
        <v>3815443</v>
      </c>
      <c r="K805" s="1">
        <f t="shared" si="50"/>
        <v>25607.000080500002</v>
      </c>
      <c r="L805" s="15">
        <f t="shared" si="51"/>
        <v>0.70008049999999999</v>
      </c>
    </row>
    <row r="806" spans="1:12" ht="15" customHeight="1" x14ac:dyDescent="0.25">
      <c r="A806" s="10" t="str">
        <f>Raw_Data!A806</f>
        <v>boAt Stone 650 10W Bluetooth Speaker with Upto 7 Hours Playback, IPX5 and Integrated Controls (Blue)</v>
      </c>
      <c r="B806" s="10" t="str">
        <f>IFERROR(TRIM(LEFT(Raw_Data!A806,FIND(" ",Raw_Data!A806)-1)),Raw_Data!A806)</f>
        <v>boAt</v>
      </c>
      <c r="C806" s="10" t="str">
        <f>IFERROR(LEFT(Raw_Data!B806,FIND("|",Raw_Data!B806)-1),Raw_Data!B806)</f>
        <v>Electronics</v>
      </c>
      <c r="D806" s="11">
        <f>IFERROR(VALUE(SUBSTITUTE(SUBSTITUTE(TRIM(Raw_Data!C806),"₹",""),",","")),"")</f>
        <v>1799</v>
      </c>
      <c r="E806" s="11">
        <f>IFERROR(VALUE(SUBSTITUTE(SUBSTITUTE(TRIM(Raw_Data!D806),"₹",""),",","")),"")</f>
        <v>4990</v>
      </c>
      <c r="F806" s="12">
        <f>IFERROR(VALUE(SUBSTITUTE(Raw_Data!E806,"%",""))/100,"")</f>
        <v>0.64</v>
      </c>
      <c r="G806" s="13">
        <f>IFERROR(VALUE(Raw_Data!F806),"")</f>
        <v>4.2</v>
      </c>
      <c r="H806" s="14">
        <f>IFERROR(VALUE(SUBSTITUTE(Raw_Data!G806,",","")),"")</f>
        <v>41226</v>
      </c>
      <c r="I806" s="11">
        <f t="shared" si="48"/>
        <v>3191</v>
      </c>
      <c r="J806" s="11">
        <f t="shared" si="49"/>
        <v>74165574</v>
      </c>
      <c r="K806" s="1">
        <f t="shared" si="50"/>
        <v>41226.000080600003</v>
      </c>
      <c r="L806" s="15">
        <f t="shared" si="51"/>
        <v>0.6400806</v>
      </c>
    </row>
    <row r="807" spans="1:12" ht="15" customHeight="1" x14ac:dyDescent="0.25">
      <c r="A807" s="10" t="str">
        <f>Raw_Data!A807</f>
        <v>ESnipe Mart Worldwide Travel Adapter with Build in Dual USB Charger Ports with 125V 6A, 250V Protected Electrical Plug for Laptops, Cameras (White)</v>
      </c>
      <c r="B807" s="10" t="str">
        <f>IFERROR(TRIM(LEFT(Raw_Data!A807,FIND(" ",Raw_Data!A807)-1)),Raw_Data!A807)</f>
        <v>ESnipe</v>
      </c>
      <c r="C807" s="10" t="str">
        <f>IFERROR(LEFT(Raw_Data!B807,FIND("|",Raw_Data!B807)-1),Raw_Data!B807)</f>
        <v>HomeImprovement</v>
      </c>
      <c r="D807" s="11">
        <f>IFERROR(VALUE(SUBSTITUTE(SUBSTITUTE(TRIM(Raw_Data!C807),"₹",""),",","")),"")</f>
        <v>425</v>
      </c>
      <c r="E807" s="11">
        <f>IFERROR(VALUE(SUBSTITUTE(SUBSTITUTE(TRIM(Raw_Data!D807),"₹",""),",","")),"")</f>
        <v>999</v>
      </c>
      <c r="F807" s="12">
        <f>IFERROR(VALUE(SUBSTITUTE(Raw_Data!E807,"%",""))/100,"")</f>
        <v>0.56999999999999995</v>
      </c>
      <c r="G807" s="13">
        <f>IFERROR(VALUE(Raw_Data!F807),"")</f>
        <v>4</v>
      </c>
      <c r="H807" s="14">
        <f>IFERROR(VALUE(SUBSTITUTE(Raw_Data!G807,",","")),"")</f>
        <v>2581</v>
      </c>
      <c r="I807" s="11">
        <f t="shared" si="48"/>
        <v>574</v>
      </c>
      <c r="J807" s="11">
        <f t="shared" si="49"/>
        <v>1096925</v>
      </c>
      <c r="K807" s="1">
        <f t="shared" si="50"/>
        <v>2581.0000807000001</v>
      </c>
      <c r="L807" s="15">
        <f t="shared" si="51"/>
        <v>0.5700807</v>
      </c>
    </row>
    <row r="808" spans="1:12" ht="15" customHeight="1" x14ac:dyDescent="0.25">
      <c r="A808" s="10" t="str">
        <f>Raw_Data!A808</f>
        <v>boAt Stone 180 5W Bluetooth Speaker with Upto 10 Hours Playback, 1.75" Driver, IPX7 &amp; TWS Feature(Black)</v>
      </c>
      <c r="B808" s="10" t="str">
        <f>IFERROR(TRIM(LEFT(Raw_Data!A808,FIND(" ",Raw_Data!A808)-1)),Raw_Data!A808)</f>
        <v>boAt</v>
      </c>
      <c r="C808" s="10" t="str">
        <f>IFERROR(LEFT(Raw_Data!B808,FIND("|",Raw_Data!B808)-1),Raw_Data!B808)</f>
        <v>Electronics</v>
      </c>
      <c r="D808" s="11">
        <f>IFERROR(VALUE(SUBSTITUTE(SUBSTITUTE(TRIM(Raw_Data!C808),"₹",""),",","")),"")</f>
        <v>999</v>
      </c>
      <c r="E808" s="11">
        <f>IFERROR(VALUE(SUBSTITUTE(SUBSTITUTE(TRIM(Raw_Data!D808),"₹",""),",","")),"")</f>
        <v>2490</v>
      </c>
      <c r="F808" s="12">
        <f>IFERROR(VALUE(SUBSTITUTE(Raw_Data!E808,"%",""))/100,"")</f>
        <v>0.6</v>
      </c>
      <c r="G808" s="13">
        <f>IFERROR(VALUE(Raw_Data!F808),"")</f>
        <v>4.0999999999999996</v>
      </c>
      <c r="H808" s="14">
        <f>IFERROR(VALUE(SUBSTITUTE(Raw_Data!G808,",","")),"")</f>
        <v>18331</v>
      </c>
      <c r="I808" s="11">
        <f t="shared" si="48"/>
        <v>1491</v>
      </c>
      <c r="J808" s="11">
        <f t="shared" si="49"/>
        <v>18312669</v>
      </c>
      <c r="K808" s="1">
        <f t="shared" si="50"/>
        <v>18331.0000808</v>
      </c>
      <c r="L808" s="15">
        <f t="shared" si="51"/>
        <v>0.60008079999999997</v>
      </c>
    </row>
    <row r="809" spans="1:12" ht="15" customHeight="1" x14ac:dyDescent="0.25">
      <c r="A809" s="10" t="str">
        <f>Raw_Data!A809</f>
        <v>Portronics Ruffpad 8.5M Multicolor LCD Writing Pad with Screen 21.5cm (8.5-inch) for Drawing, Playing, Handwriting Gifts for Kids &amp; Adults, India's first notepad to save and share your child's first creatives via Ruffpad app on your Smartphone(Black)</v>
      </c>
      <c r="B809" s="10" t="str">
        <f>IFERROR(TRIM(LEFT(Raw_Data!A809,FIND(" ",Raw_Data!A809)-1)),Raw_Data!A809)</f>
        <v>Portronics</v>
      </c>
      <c r="C809" s="10" t="str">
        <f>IFERROR(LEFT(Raw_Data!B809,FIND("|",Raw_Data!B809)-1),Raw_Data!B809)</f>
        <v>Computers&amp;Accessories</v>
      </c>
      <c r="D809" s="11">
        <f>IFERROR(VALUE(SUBSTITUTE(SUBSTITUTE(TRIM(Raw_Data!C809),"₹",""),",","")),"")</f>
        <v>378</v>
      </c>
      <c r="E809" s="11">
        <f>IFERROR(VALUE(SUBSTITUTE(SUBSTITUTE(TRIM(Raw_Data!D809),"₹",""),",","")),"")</f>
        <v>999</v>
      </c>
      <c r="F809" s="12">
        <f>IFERROR(VALUE(SUBSTITUTE(Raw_Data!E809,"%",""))/100,"")</f>
        <v>0.62</v>
      </c>
      <c r="G809" s="13">
        <f>IFERROR(VALUE(Raw_Data!F809),"")</f>
        <v>4.0999999999999996</v>
      </c>
      <c r="H809" s="14">
        <f>IFERROR(VALUE(SUBSTITUTE(Raw_Data!G809,",","")),"")</f>
        <v>1779</v>
      </c>
      <c r="I809" s="11">
        <f t="shared" si="48"/>
        <v>621</v>
      </c>
      <c r="J809" s="11">
        <f t="shared" si="49"/>
        <v>672462</v>
      </c>
      <c r="K809" s="1">
        <f t="shared" si="50"/>
        <v>1779.0000809000001</v>
      </c>
      <c r="L809" s="15">
        <f t="shared" si="51"/>
        <v>0.62008090000000005</v>
      </c>
    </row>
    <row r="810" spans="1:12" ht="15" customHeight="1" x14ac:dyDescent="0.25">
      <c r="A810" s="10" t="str">
        <f>Raw_Data!A810</f>
        <v>BRUSTRO Copytinta Coloured Craft Paper A4 Size 80 GSM Mixed Bright Colour 40 Sheets Pack (10 cols X 4 Sheets) Double Side Color for Office Printing, Art and Craft.</v>
      </c>
      <c r="B810" s="10" t="str">
        <f>IFERROR(TRIM(LEFT(Raw_Data!A810,FIND(" ",Raw_Data!A810)-1)),Raw_Data!A810)</f>
        <v>BRUSTRO</v>
      </c>
      <c r="C810" s="10" t="str">
        <f>IFERROR(LEFT(Raw_Data!B810,FIND("|",Raw_Data!B810)-1),Raw_Data!B810)</f>
        <v>OfficeProducts</v>
      </c>
      <c r="D810" s="11">
        <f>IFERROR(VALUE(SUBSTITUTE(SUBSTITUTE(TRIM(Raw_Data!C810),"₹",""),",","")),"")</f>
        <v>99</v>
      </c>
      <c r="E810" s="11">
        <f>IFERROR(VALUE(SUBSTITUTE(SUBSTITUTE(TRIM(Raw_Data!D810),"₹",""),",","")),"")</f>
        <v>99</v>
      </c>
      <c r="F810" s="12">
        <f>IFERROR(VALUE(SUBSTITUTE(Raw_Data!E810,"%",""))/100,"")</f>
        <v>0</v>
      </c>
      <c r="G810" s="13">
        <f>IFERROR(VALUE(Raw_Data!F810),"")</f>
        <v>4.3</v>
      </c>
      <c r="H810" s="14">
        <f>IFERROR(VALUE(SUBSTITUTE(Raw_Data!G810,",","")),"")</f>
        <v>388</v>
      </c>
      <c r="I810" s="11">
        <f t="shared" si="48"/>
        <v>0</v>
      </c>
      <c r="J810" s="11">
        <f t="shared" si="49"/>
        <v>38412</v>
      </c>
      <c r="K810" s="1">
        <f t="shared" si="50"/>
        <v>388.00008100000002</v>
      </c>
      <c r="L810" s="15">
        <f t="shared" si="51"/>
        <v>8.1000000000000004E-5</v>
      </c>
    </row>
    <row r="811" spans="1:12" ht="15" customHeight="1" x14ac:dyDescent="0.25">
      <c r="A811" s="10" t="str">
        <f>Raw_Data!A811</f>
        <v>Cuzor 12V Mini ups for WiFi Router | Power Backup up to 4 Hours | Replaceable Battery | Ups for Wi-Fi Router and Modem | Ups for Router up to 2A | ups for uninterrupted wi-fi</v>
      </c>
      <c r="B811" s="10" t="str">
        <f>IFERROR(TRIM(LEFT(Raw_Data!A811,FIND(" ",Raw_Data!A811)-1)),Raw_Data!A811)</f>
        <v>Cuzor</v>
      </c>
      <c r="C811" s="10" t="str">
        <f>IFERROR(LEFT(Raw_Data!B811,FIND("|",Raw_Data!B811)-1),Raw_Data!B811)</f>
        <v>Computers&amp;Accessories</v>
      </c>
      <c r="D811" s="11">
        <f>IFERROR(VALUE(SUBSTITUTE(SUBSTITUTE(TRIM(Raw_Data!C811),"₹",""),",","")),"")</f>
        <v>1499</v>
      </c>
      <c r="E811" s="11">
        <f>IFERROR(VALUE(SUBSTITUTE(SUBSTITUTE(TRIM(Raw_Data!D811),"₹",""),",","")),"")</f>
        <v>2999</v>
      </c>
      <c r="F811" s="12">
        <f>IFERROR(VALUE(SUBSTITUTE(Raw_Data!E811,"%",""))/100,"")</f>
        <v>0.5</v>
      </c>
      <c r="G811" s="13">
        <f>IFERROR(VALUE(Raw_Data!F811),"")</f>
        <v>4.5</v>
      </c>
      <c r="H811" s="14">
        <f>IFERROR(VALUE(SUBSTITUTE(Raw_Data!G811,",","")),"")</f>
        <v>8656</v>
      </c>
      <c r="I811" s="11">
        <f t="shared" si="48"/>
        <v>1500</v>
      </c>
      <c r="J811" s="11">
        <f t="shared" si="49"/>
        <v>12975344</v>
      </c>
      <c r="K811" s="1">
        <f t="shared" si="50"/>
        <v>8656.0000811000009</v>
      </c>
      <c r="L811" s="15">
        <f t="shared" si="51"/>
        <v>0.50008109999999995</v>
      </c>
    </row>
    <row r="812" spans="1:12" ht="15" customHeight="1" x14ac:dyDescent="0.25">
      <c r="A812" s="10" t="str">
        <f>Raw_Data!A812</f>
        <v>Crucial BX500 240GB 3D NAND SATA 6.35 cm (2.5-inch) SSD (CT240BX500SSD1)</v>
      </c>
      <c r="B812" s="10" t="str">
        <f>IFERROR(TRIM(LEFT(Raw_Data!A812,FIND(" ",Raw_Data!A812)-1)),Raw_Data!A812)</f>
        <v>Crucial</v>
      </c>
      <c r="C812" s="10" t="str">
        <f>IFERROR(LEFT(Raw_Data!B812,FIND("|",Raw_Data!B812)-1),Raw_Data!B812)</f>
        <v>Computers&amp;Accessories</v>
      </c>
      <c r="D812" s="11">
        <f>IFERROR(VALUE(SUBSTITUTE(SUBSTITUTE(TRIM(Raw_Data!C812),"₹",""),",","")),"")</f>
        <v>1815</v>
      </c>
      <c r="E812" s="11">
        <f>IFERROR(VALUE(SUBSTITUTE(SUBSTITUTE(TRIM(Raw_Data!D812),"₹",""),",","")),"")</f>
        <v>3100</v>
      </c>
      <c r="F812" s="12">
        <f>IFERROR(VALUE(SUBSTITUTE(Raw_Data!E812,"%",""))/100,"")</f>
        <v>0.41</v>
      </c>
      <c r="G812" s="13">
        <f>IFERROR(VALUE(Raw_Data!F812),"")</f>
        <v>4.5</v>
      </c>
      <c r="H812" s="14">
        <f>IFERROR(VALUE(SUBSTITUTE(Raw_Data!G812,",","")),"")</f>
        <v>92925</v>
      </c>
      <c r="I812" s="11">
        <f t="shared" si="48"/>
        <v>1285</v>
      </c>
      <c r="J812" s="11">
        <f t="shared" si="49"/>
        <v>168658875</v>
      </c>
      <c r="K812" s="1">
        <f t="shared" si="50"/>
        <v>92925.000081200007</v>
      </c>
      <c r="L812" s="15">
        <f t="shared" si="51"/>
        <v>0.41008119999999998</v>
      </c>
    </row>
    <row r="813" spans="1:12" ht="15" customHeight="1" x14ac:dyDescent="0.25">
      <c r="A813" s="10" t="str">
        <f>Raw_Data!A813</f>
        <v>Classmate Pulse Spiral Notebook - 240 mm x 180 mm, Soft Cover, 200 Pages, Unruled</v>
      </c>
      <c r="B813" s="10" t="str">
        <f>IFERROR(TRIM(LEFT(Raw_Data!A813,FIND(" ",Raw_Data!A813)-1)),Raw_Data!A813)</f>
        <v>Classmate</v>
      </c>
      <c r="C813" s="10" t="str">
        <f>IFERROR(LEFT(Raw_Data!B813,FIND("|",Raw_Data!B813)-1),Raw_Data!B813)</f>
        <v>OfficeProducts</v>
      </c>
      <c r="D813" s="11">
        <f>IFERROR(VALUE(SUBSTITUTE(SUBSTITUTE(TRIM(Raw_Data!C813),"₹",""),",","")),"")</f>
        <v>67</v>
      </c>
      <c r="E813" s="11">
        <f>IFERROR(VALUE(SUBSTITUTE(SUBSTITUTE(TRIM(Raw_Data!D813),"₹",""),",","")),"")</f>
        <v>75</v>
      </c>
      <c r="F813" s="12">
        <f>IFERROR(VALUE(SUBSTITUTE(Raw_Data!E813,"%",""))/100,"")</f>
        <v>0.11</v>
      </c>
      <c r="G813" s="13">
        <f>IFERROR(VALUE(Raw_Data!F813),"")</f>
        <v>4.0999999999999996</v>
      </c>
      <c r="H813" s="14">
        <f>IFERROR(VALUE(SUBSTITUTE(Raw_Data!G813,",","")),"")</f>
        <v>1269</v>
      </c>
      <c r="I813" s="11">
        <f t="shared" si="48"/>
        <v>8</v>
      </c>
      <c r="J813" s="11">
        <f t="shared" si="49"/>
        <v>85023</v>
      </c>
      <c r="K813" s="1">
        <f t="shared" si="50"/>
        <v>1269.0000812999999</v>
      </c>
      <c r="L813" s="15">
        <f t="shared" si="51"/>
        <v>0.11008130000000001</v>
      </c>
    </row>
    <row r="814" spans="1:12" ht="15" customHeight="1" x14ac:dyDescent="0.25">
      <c r="A814" s="10" t="str">
        <f>Raw_Data!A814</f>
        <v>Portronics My buddy plus Adjustable Laptop cooling Table (Brown)</v>
      </c>
      <c r="B814" s="10" t="str">
        <f>IFERROR(TRIM(LEFT(Raw_Data!A814,FIND(" ",Raw_Data!A814)-1)),Raw_Data!A814)</f>
        <v>Portronics</v>
      </c>
      <c r="C814" s="10" t="str">
        <f>IFERROR(LEFT(Raw_Data!B814,FIND("|",Raw_Data!B814)-1),Raw_Data!B814)</f>
        <v>Computers&amp;Accessories</v>
      </c>
      <c r="D814" s="11">
        <f>IFERROR(VALUE(SUBSTITUTE(SUBSTITUTE(TRIM(Raw_Data!C814),"₹",""),",","")),"")</f>
        <v>1889</v>
      </c>
      <c r="E814" s="11">
        <f>IFERROR(VALUE(SUBSTITUTE(SUBSTITUTE(TRIM(Raw_Data!D814),"₹",""),",","")),"")</f>
        <v>2699</v>
      </c>
      <c r="F814" s="12">
        <f>IFERROR(VALUE(SUBSTITUTE(Raw_Data!E814,"%",""))/100,"")</f>
        <v>0.3</v>
      </c>
      <c r="G814" s="13">
        <f>IFERROR(VALUE(Raw_Data!F814),"")</f>
        <v>4.3</v>
      </c>
      <c r="H814" s="14">
        <f>IFERROR(VALUE(SUBSTITUTE(Raw_Data!G814,",","")),"")</f>
        <v>17394</v>
      </c>
      <c r="I814" s="11">
        <f t="shared" si="48"/>
        <v>810</v>
      </c>
      <c r="J814" s="11">
        <f t="shared" si="49"/>
        <v>32857266</v>
      </c>
      <c r="K814" s="1">
        <f t="shared" si="50"/>
        <v>17394.000081400001</v>
      </c>
      <c r="L814" s="15">
        <f t="shared" si="51"/>
        <v>0.3000814</v>
      </c>
    </row>
    <row r="815" spans="1:12" ht="15" customHeight="1" x14ac:dyDescent="0.25">
      <c r="A815" s="10" t="str">
        <f>Raw_Data!A815</f>
        <v>ZEBRONICS Zeb-Evolve Wireless in Ear Neckband Earphone with Supporting Bluetooth v5.0, Voice Assistant, Rapid Charge, Call Function &amp; Magnetic Earpiece, with mic (Metallic Blue)</v>
      </c>
      <c r="B815" s="10" t="str">
        <f>IFERROR(TRIM(LEFT(Raw_Data!A815,FIND(" ",Raw_Data!A815)-1)),Raw_Data!A815)</f>
        <v>ZEBRONICS</v>
      </c>
      <c r="C815" s="10" t="str">
        <f>IFERROR(LEFT(Raw_Data!B815,FIND("|",Raw_Data!B815)-1),Raw_Data!B815)</f>
        <v>Electronics</v>
      </c>
      <c r="D815" s="11">
        <f>IFERROR(VALUE(SUBSTITUTE(SUBSTITUTE(TRIM(Raw_Data!C815),"₹",""),",","")),"")</f>
        <v>499</v>
      </c>
      <c r="E815" s="11">
        <f>IFERROR(VALUE(SUBSTITUTE(SUBSTITUTE(TRIM(Raw_Data!D815),"₹",""),",","")),"")</f>
        <v>1499</v>
      </c>
      <c r="F815" s="12">
        <f>IFERROR(VALUE(SUBSTITUTE(Raw_Data!E815,"%",""))/100,"")</f>
        <v>0.67</v>
      </c>
      <c r="G815" s="13">
        <f>IFERROR(VALUE(Raw_Data!F815),"")</f>
        <v>3.6</v>
      </c>
      <c r="H815" s="14">
        <f>IFERROR(VALUE(SUBSTITUTE(Raw_Data!G815,",","")),"")</f>
        <v>9169</v>
      </c>
      <c r="I815" s="11">
        <f t="shared" si="48"/>
        <v>1000</v>
      </c>
      <c r="J815" s="11">
        <f t="shared" si="49"/>
        <v>4575331</v>
      </c>
      <c r="K815" s="1">
        <f t="shared" si="50"/>
        <v>9169.0000815000003</v>
      </c>
      <c r="L815" s="15">
        <f t="shared" si="51"/>
        <v>0.6700815</v>
      </c>
    </row>
    <row r="816" spans="1:12" ht="15" customHeight="1" x14ac:dyDescent="0.25">
      <c r="A816" s="10" t="str">
        <f>Raw_Data!A816</f>
        <v>INOVERA World Map Extended Anti Slip Rubber Gaming Stitched Mouse Pad Desk Mat for Computer Laptop (Black, 900L x 400B x 2H mm)</v>
      </c>
      <c r="B816" s="10" t="str">
        <f>IFERROR(TRIM(LEFT(Raw_Data!A816,FIND(" ",Raw_Data!A816)-1)),Raw_Data!A816)</f>
        <v>INOVERA</v>
      </c>
      <c r="C816" s="10" t="str">
        <f>IFERROR(LEFT(Raw_Data!B816,FIND("|",Raw_Data!B816)-1),Raw_Data!B816)</f>
        <v>Computers&amp;Accessories</v>
      </c>
      <c r="D816" s="11">
        <f>IFERROR(VALUE(SUBSTITUTE(SUBSTITUTE(TRIM(Raw_Data!C816),"₹",""),",","")),"")</f>
        <v>499</v>
      </c>
      <c r="E816" s="11">
        <f>IFERROR(VALUE(SUBSTITUTE(SUBSTITUTE(TRIM(Raw_Data!D816),"₹",""),",","")),"")</f>
        <v>999</v>
      </c>
      <c r="F816" s="12">
        <f>IFERROR(VALUE(SUBSTITUTE(Raw_Data!E816,"%",""))/100,"")</f>
        <v>0.5</v>
      </c>
      <c r="G816" s="13">
        <f>IFERROR(VALUE(Raw_Data!F816),"")</f>
        <v>4.4000000000000004</v>
      </c>
      <c r="H816" s="14">
        <f>IFERROR(VALUE(SUBSTITUTE(Raw_Data!G816,",","")),"")</f>
        <v>1030</v>
      </c>
      <c r="I816" s="11">
        <f t="shared" si="48"/>
        <v>500</v>
      </c>
      <c r="J816" s="11">
        <f t="shared" si="49"/>
        <v>513970</v>
      </c>
      <c r="K816" s="1">
        <f t="shared" si="50"/>
        <v>1030.0000815999999</v>
      </c>
      <c r="L816" s="15">
        <f t="shared" si="51"/>
        <v>0.50008160000000001</v>
      </c>
    </row>
    <row r="817" spans="1:12" ht="15" customHeight="1" x14ac:dyDescent="0.25">
      <c r="A817" s="10" t="str">
        <f>Raw_Data!A817</f>
        <v>Seagate One Touch 2TB External HDD with Password Protection – Black, for Windows and Mac, with 3 yr Data Recovery Services, and 4 Months Adobe CC Photography (STKY2000400)</v>
      </c>
      <c r="B817" s="10" t="str">
        <f>IFERROR(TRIM(LEFT(Raw_Data!A817,FIND(" ",Raw_Data!A817)-1)),Raw_Data!A817)</f>
        <v>Seagate</v>
      </c>
      <c r="C817" s="10" t="str">
        <f>IFERROR(LEFT(Raw_Data!B817,FIND("|",Raw_Data!B817)-1),Raw_Data!B817)</f>
        <v>Computers&amp;Accessories</v>
      </c>
      <c r="D817" s="11">
        <f>IFERROR(VALUE(SUBSTITUTE(SUBSTITUTE(TRIM(Raw_Data!C817),"₹",""),",","")),"")</f>
        <v>5799</v>
      </c>
      <c r="E817" s="11">
        <f>IFERROR(VALUE(SUBSTITUTE(SUBSTITUTE(TRIM(Raw_Data!D817),"₹",""),",","")),"")</f>
        <v>7999</v>
      </c>
      <c r="F817" s="12">
        <f>IFERROR(VALUE(SUBSTITUTE(Raw_Data!E817,"%",""))/100,"")</f>
        <v>0.28000000000000003</v>
      </c>
      <c r="G817" s="13">
        <f>IFERROR(VALUE(Raw_Data!F817),"")</f>
        <v>4.5</v>
      </c>
      <c r="H817" s="14">
        <f>IFERROR(VALUE(SUBSTITUTE(Raw_Data!G817,",","")),"")</f>
        <v>50273</v>
      </c>
      <c r="I817" s="11">
        <f t="shared" si="48"/>
        <v>2200</v>
      </c>
      <c r="J817" s="11">
        <f t="shared" si="49"/>
        <v>291533127</v>
      </c>
      <c r="K817" s="1">
        <f t="shared" si="50"/>
        <v>50273.000081699996</v>
      </c>
      <c r="L817" s="15">
        <f t="shared" si="51"/>
        <v>0.28008170000000004</v>
      </c>
    </row>
    <row r="818" spans="1:12" ht="15" customHeight="1" x14ac:dyDescent="0.25">
      <c r="A818" s="10" t="str">
        <f>Raw_Data!A818</f>
        <v>ZEBRONICS Zeb-Fame 5watts 2.0 Multi Media Speakers with AUX, USB and Volume Control (Black)</v>
      </c>
      <c r="B818" s="10" t="str">
        <f>IFERROR(TRIM(LEFT(Raw_Data!A818,FIND(" ",Raw_Data!A818)-1)),Raw_Data!A818)</f>
        <v>ZEBRONICS</v>
      </c>
      <c r="C818" s="10" t="str">
        <f>IFERROR(LEFT(Raw_Data!B818,FIND("|",Raw_Data!B818)-1),Raw_Data!B818)</f>
        <v>Electronics</v>
      </c>
      <c r="D818" s="11">
        <f>IFERROR(VALUE(SUBSTITUTE(SUBSTITUTE(TRIM(Raw_Data!C818),"₹",""),",","")),"")</f>
        <v>499</v>
      </c>
      <c r="E818" s="11">
        <f>IFERROR(VALUE(SUBSTITUTE(SUBSTITUTE(TRIM(Raw_Data!D818),"₹",""),",","")),"")</f>
        <v>799</v>
      </c>
      <c r="F818" s="12">
        <f>IFERROR(VALUE(SUBSTITUTE(Raw_Data!E818,"%",""))/100,"")</f>
        <v>0.38</v>
      </c>
      <c r="G818" s="13">
        <f>IFERROR(VALUE(Raw_Data!F818),"")</f>
        <v>3.9</v>
      </c>
      <c r="H818" s="14">
        <f>IFERROR(VALUE(SUBSTITUTE(Raw_Data!G818,",","")),"")</f>
        <v>6742</v>
      </c>
      <c r="I818" s="11">
        <f t="shared" si="48"/>
        <v>300</v>
      </c>
      <c r="J818" s="11">
        <f t="shared" si="49"/>
        <v>3364258</v>
      </c>
      <c r="K818" s="1">
        <f t="shared" si="50"/>
        <v>6742.0000817999999</v>
      </c>
      <c r="L818" s="15">
        <f t="shared" si="51"/>
        <v>0.38008180000000003</v>
      </c>
    </row>
    <row r="819" spans="1:12" ht="15" customHeight="1" x14ac:dyDescent="0.25">
      <c r="A819" s="10" t="str">
        <f>Raw_Data!A819</f>
        <v>TVARA LCD Writing Tablet 8.5 Inch E-Note Pad LCD Writing Tablet, Kids Drawing Pad 8.5 Inch Doodle Board, Toddler Boy and Girl Learning Gift for 3 4 5 6 Years Old, Black</v>
      </c>
      <c r="B819" s="10" t="str">
        <f>IFERROR(TRIM(LEFT(Raw_Data!A819,FIND(" ",Raw_Data!A819)-1)),Raw_Data!A819)</f>
        <v>TVARA</v>
      </c>
      <c r="C819" s="10" t="str">
        <f>IFERROR(LEFT(Raw_Data!B819,FIND("|",Raw_Data!B819)-1),Raw_Data!B819)</f>
        <v>Computers&amp;Accessories</v>
      </c>
      <c r="D819" s="11">
        <f>IFERROR(VALUE(SUBSTITUTE(SUBSTITUTE(TRIM(Raw_Data!C819),"₹",""),",","")),"")</f>
        <v>249</v>
      </c>
      <c r="E819" s="11">
        <f>IFERROR(VALUE(SUBSTITUTE(SUBSTITUTE(TRIM(Raw_Data!D819),"₹",""),",","")),"")</f>
        <v>600</v>
      </c>
      <c r="F819" s="12">
        <f>IFERROR(VALUE(SUBSTITUTE(Raw_Data!E819,"%",""))/100,"")</f>
        <v>0.59</v>
      </c>
      <c r="G819" s="13">
        <f>IFERROR(VALUE(Raw_Data!F819),"")</f>
        <v>4</v>
      </c>
      <c r="H819" s="14">
        <f>IFERROR(VALUE(SUBSTITUTE(Raw_Data!G819,",","")),"")</f>
        <v>1208</v>
      </c>
      <c r="I819" s="11">
        <f t="shared" si="48"/>
        <v>351</v>
      </c>
      <c r="J819" s="11">
        <f t="shared" si="49"/>
        <v>300792</v>
      </c>
      <c r="K819" s="1">
        <f t="shared" si="50"/>
        <v>1208.0000818999999</v>
      </c>
      <c r="L819" s="15">
        <f t="shared" si="51"/>
        <v>0.59008189999999994</v>
      </c>
    </row>
    <row r="820" spans="1:12" ht="15" customHeight="1" x14ac:dyDescent="0.25">
      <c r="A820" s="10" t="str">
        <f>Raw_Data!A820</f>
        <v>Ambrane 60W / 3A Type C Fast Charging Unbreakable 1.5m L Shaped Braided Cable, PD Technology, 480Mbps Data Transfer for Smartphones, Tablet, Laptops &amp; other type c devices (ABLC10, Black)</v>
      </c>
      <c r="B820" s="10" t="str">
        <f>IFERROR(TRIM(LEFT(Raw_Data!A820,FIND(" ",Raw_Data!A820)-1)),Raw_Data!A820)</f>
        <v>Ambrane</v>
      </c>
      <c r="C820" s="10" t="str">
        <f>IFERROR(LEFT(Raw_Data!B820,FIND("|",Raw_Data!B820)-1),Raw_Data!B820)</f>
        <v>Computers&amp;Accessories</v>
      </c>
      <c r="D820" s="11">
        <f>IFERROR(VALUE(SUBSTITUTE(SUBSTITUTE(TRIM(Raw_Data!C820),"₹",""),",","")),"")</f>
        <v>179</v>
      </c>
      <c r="E820" s="11">
        <f>IFERROR(VALUE(SUBSTITUTE(SUBSTITUTE(TRIM(Raw_Data!D820),"₹",""),",","")),"")</f>
        <v>499</v>
      </c>
      <c r="F820" s="12">
        <f>IFERROR(VALUE(SUBSTITUTE(Raw_Data!E820,"%",""))/100,"")</f>
        <v>0.64</v>
      </c>
      <c r="G820" s="13">
        <f>IFERROR(VALUE(Raw_Data!F820),"")</f>
        <v>4</v>
      </c>
      <c r="H820" s="14">
        <f>IFERROR(VALUE(SUBSTITUTE(Raw_Data!G820,",","")),"")</f>
        <v>1933</v>
      </c>
      <c r="I820" s="11">
        <f t="shared" si="48"/>
        <v>320</v>
      </c>
      <c r="J820" s="11">
        <f t="shared" si="49"/>
        <v>346007</v>
      </c>
      <c r="K820" s="1">
        <f t="shared" si="50"/>
        <v>1933.000082</v>
      </c>
      <c r="L820" s="15">
        <f t="shared" si="51"/>
        <v>0.64008200000000004</v>
      </c>
    </row>
    <row r="821" spans="1:12" ht="15" customHeight="1" x14ac:dyDescent="0.25">
      <c r="A821" s="10" t="str">
        <f>Raw_Data!A821</f>
        <v>Western Digital WD 1.5TB Elements Portable Hard Disk Drive, USB 3.0, Compatible with PC, PS4 and Xbox, External HDD (WDBU6Y0015BBK-WESN)</v>
      </c>
      <c r="B821" s="10" t="str">
        <f>IFERROR(TRIM(LEFT(Raw_Data!A821,FIND(" ",Raw_Data!A821)-1)),Raw_Data!A821)</f>
        <v>Western</v>
      </c>
      <c r="C821" s="10" t="str">
        <f>IFERROR(LEFT(Raw_Data!B821,FIND("|",Raw_Data!B821)-1),Raw_Data!B821)</f>
        <v>Computers&amp;Accessories</v>
      </c>
      <c r="D821" s="11">
        <f>IFERROR(VALUE(SUBSTITUTE(SUBSTITUTE(TRIM(Raw_Data!C821),"₹",""),",","")),"")</f>
        <v>4449</v>
      </c>
      <c r="E821" s="11">
        <f>IFERROR(VALUE(SUBSTITUTE(SUBSTITUTE(TRIM(Raw_Data!D821),"₹",""),",","")),"")</f>
        <v>5734</v>
      </c>
      <c r="F821" s="12">
        <f>IFERROR(VALUE(SUBSTITUTE(Raw_Data!E821,"%",""))/100,"")</f>
        <v>0.22</v>
      </c>
      <c r="G821" s="13">
        <f>IFERROR(VALUE(Raw_Data!F821),"")</f>
        <v>4.4000000000000004</v>
      </c>
      <c r="H821" s="14">
        <f>IFERROR(VALUE(SUBSTITUTE(Raw_Data!G821,",","")),"")</f>
        <v>25006</v>
      </c>
      <c r="I821" s="11">
        <f t="shared" si="48"/>
        <v>1285</v>
      </c>
      <c r="J821" s="11">
        <f t="shared" si="49"/>
        <v>111251694</v>
      </c>
      <c r="K821" s="1">
        <f t="shared" si="50"/>
        <v>25006.000082099999</v>
      </c>
      <c r="L821" s="15">
        <f t="shared" si="51"/>
        <v>0.2200821</v>
      </c>
    </row>
    <row r="822" spans="1:12" ht="15" customHeight="1" x14ac:dyDescent="0.25">
      <c r="A822" s="10" t="str">
        <f>Raw_Data!A822</f>
        <v>Redgear MP35 Speed-Type Gaming Mousepad (Black/Red)</v>
      </c>
      <c r="B822" s="10" t="str">
        <f>IFERROR(TRIM(LEFT(Raw_Data!A822,FIND(" ",Raw_Data!A822)-1)),Raw_Data!A822)</f>
        <v>Redgear</v>
      </c>
      <c r="C822" s="10" t="str">
        <f>IFERROR(LEFT(Raw_Data!B822,FIND("|",Raw_Data!B822)-1),Raw_Data!B822)</f>
        <v>Computers&amp;Accessories</v>
      </c>
      <c r="D822" s="11">
        <f>IFERROR(VALUE(SUBSTITUTE(SUBSTITUTE(TRIM(Raw_Data!C822),"₹",""),",","")),"")</f>
        <v>299</v>
      </c>
      <c r="E822" s="11">
        <f>IFERROR(VALUE(SUBSTITUTE(SUBSTITUTE(TRIM(Raw_Data!D822),"₹",""),",","")),"")</f>
        <v>550</v>
      </c>
      <c r="F822" s="12">
        <f>IFERROR(VALUE(SUBSTITUTE(Raw_Data!E822,"%",""))/100,"")</f>
        <v>0.46</v>
      </c>
      <c r="G822" s="13">
        <f>IFERROR(VALUE(Raw_Data!F822),"")</f>
        <v>4.5999999999999996</v>
      </c>
      <c r="H822" s="14">
        <f>IFERROR(VALUE(SUBSTITUTE(Raw_Data!G822,",","")),"")</f>
        <v>33434</v>
      </c>
      <c r="I822" s="11">
        <f t="shared" si="48"/>
        <v>251</v>
      </c>
      <c r="J822" s="11">
        <f t="shared" si="49"/>
        <v>9996766</v>
      </c>
      <c r="K822" s="1">
        <f t="shared" si="50"/>
        <v>33434.0000822</v>
      </c>
      <c r="L822" s="15">
        <f t="shared" si="51"/>
        <v>0.4600822</v>
      </c>
    </row>
    <row r="823" spans="1:12" ht="15" customHeight="1" x14ac:dyDescent="0.25">
      <c r="A823" s="10" t="str">
        <f>Raw_Data!A823</f>
        <v>Lenovo 400 Wireless Mouse, 1200DPI Optical Sensor, 2.4GHz Wireless Nano USB, 3-Button (Left,Right,Scroll) Upto 8M Left/Right &amp; 100K Scroll clicks &amp; 1yr Battery, Ambidextrous, Ergonomic GY50R91293</v>
      </c>
      <c r="B823" s="10" t="str">
        <f>IFERROR(TRIM(LEFT(Raw_Data!A823,FIND(" ",Raw_Data!A823)-1)),Raw_Data!A823)</f>
        <v>Lenovo</v>
      </c>
      <c r="C823" s="10" t="str">
        <f>IFERROR(LEFT(Raw_Data!B823,FIND("|",Raw_Data!B823)-1),Raw_Data!B823)</f>
        <v>Computers&amp;Accessories</v>
      </c>
      <c r="D823" s="11">
        <f>IFERROR(VALUE(SUBSTITUTE(SUBSTITUTE(TRIM(Raw_Data!C823),"₹",""),",","")),"")</f>
        <v>629</v>
      </c>
      <c r="E823" s="11">
        <f>IFERROR(VALUE(SUBSTITUTE(SUBSTITUTE(TRIM(Raw_Data!D823),"₹",""),",","")),"")</f>
        <v>1390</v>
      </c>
      <c r="F823" s="12">
        <f>IFERROR(VALUE(SUBSTITUTE(Raw_Data!E823,"%",""))/100,"")</f>
        <v>0.55000000000000004</v>
      </c>
      <c r="G823" s="13">
        <f>IFERROR(VALUE(Raw_Data!F823),"")</f>
        <v>4.4000000000000004</v>
      </c>
      <c r="H823" s="14">
        <f>IFERROR(VALUE(SUBSTITUTE(Raw_Data!G823,",","")),"")</f>
        <v>6301</v>
      </c>
      <c r="I823" s="11">
        <f t="shared" si="48"/>
        <v>761</v>
      </c>
      <c r="J823" s="11">
        <f t="shared" si="49"/>
        <v>3963329</v>
      </c>
      <c r="K823" s="1">
        <f t="shared" si="50"/>
        <v>6301.0000823</v>
      </c>
      <c r="L823" s="15">
        <f t="shared" si="51"/>
        <v>0.55008230000000002</v>
      </c>
    </row>
    <row r="824" spans="1:12" ht="15" customHeight="1" x14ac:dyDescent="0.25">
      <c r="A824" s="10" t="str">
        <f>Raw_Data!A824</f>
        <v>Logitech K480 Wireless Multi-Device Keyboard for Windows, macOS, iPadOS, Android or Chrome OS, Bluetooth, Compact, Compatible with PC, Mac, Laptop, Smartphone, Tablet - Black</v>
      </c>
      <c r="B824" s="10" t="str">
        <f>IFERROR(TRIM(LEFT(Raw_Data!A824,FIND(" ",Raw_Data!A824)-1)),Raw_Data!A824)</f>
        <v>Logitech</v>
      </c>
      <c r="C824" s="10" t="str">
        <f>IFERROR(LEFT(Raw_Data!B824,FIND("|",Raw_Data!B824)-1),Raw_Data!B824)</f>
        <v>Computers&amp;Accessories</v>
      </c>
      <c r="D824" s="11">
        <f>IFERROR(VALUE(SUBSTITUTE(SUBSTITUTE(TRIM(Raw_Data!C824),"₹",""),",","")),"")</f>
        <v>2595</v>
      </c>
      <c r="E824" s="11">
        <f>IFERROR(VALUE(SUBSTITUTE(SUBSTITUTE(TRIM(Raw_Data!D824),"₹",""),",","")),"")</f>
        <v>3295</v>
      </c>
      <c r="F824" s="12">
        <f>IFERROR(VALUE(SUBSTITUTE(Raw_Data!E824,"%",""))/100,"")</f>
        <v>0.21</v>
      </c>
      <c r="G824" s="13">
        <f>IFERROR(VALUE(Raw_Data!F824),"")</f>
        <v>4.4000000000000004</v>
      </c>
      <c r="H824" s="14">
        <f>IFERROR(VALUE(SUBSTITUTE(Raw_Data!G824,",","")),"")</f>
        <v>22618</v>
      </c>
      <c r="I824" s="11">
        <f t="shared" si="48"/>
        <v>700</v>
      </c>
      <c r="J824" s="11">
        <f t="shared" si="49"/>
        <v>58693710</v>
      </c>
      <c r="K824" s="1">
        <f t="shared" si="50"/>
        <v>22618.000082400002</v>
      </c>
      <c r="L824" s="15">
        <f t="shared" si="51"/>
        <v>0.2100824</v>
      </c>
    </row>
    <row r="825" spans="1:12" ht="15" customHeight="1" x14ac:dyDescent="0.25">
      <c r="A825" s="10" t="str">
        <f>Raw_Data!A825</f>
        <v>Zoul USB C 60W Fast Charging 3A 6ft/2M Long Type C Nylon Braided Data Cable Quick Charger Cable QC 3.0 for Samsung Galaxy M31S M30 S10 S9 S20 Plus, Note 10 9 8, A20e A40 A50 A70 (2M, Grey)</v>
      </c>
      <c r="B825" s="10" t="str">
        <f>IFERROR(TRIM(LEFT(Raw_Data!A825,FIND(" ",Raw_Data!A825)-1)),Raw_Data!A825)</f>
        <v>Zoul</v>
      </c>
      <c r="C825" s="10" t="str">
        <f>IFERROR(LEFT(Raw_Data!B825,FIND("|",Raw_Data!B825)-1),Raw_Data!B825)</f>
        <v>Computers&amp;Accessories</v>
      </c>
      <c r="D825" s="11">
        <f>IFERROR(VALUE(SUBSTITUTE(SUBSTITUTE(TRIM(Raw_Data!C825),"₹",""),",","")),"")</f>
        <v>389</v>
      </c>
      <c r="E825" s="11">
        <f>IFERROR(VALUE(SUBSTITUTE(SUBSTITUTE(TRIM(Raw_Data!D825),"₹",""),",","")),"")</f>
        <v>1099</v>
      </c>
      <c r="F825" s="12">
        <f>IFERROR(VALUE(SUBSTITUTE(Raw_Data!E825,"%",""))/100,"")</f>
        <v>0.65</v>
      </c>
      <c r="G825" s="13">
        <f>IFERROR(VALUE(Raw_Data!F825),"")</f>
        <v>4.3</v>
      </c>
      <c r="H825" s="14">
        <f>IFERROR(VALUE(SUBSTITUTE(Raw_Data!G825,",","")),"")</f>
        <v>974</v>
      </c>
      <c r="I825" s="11">
        <f t="shared" si="48"/>
        <v>710</v>
      </c>
      <c r="J825" s="11">
        <f t="shared" si="49"/>
        <v>378886</v>
      </c>
      <c r="K825" s="1">
        <f t="shared" si="50"/>
        <v>974.00008249999996</v>
      </c>
      <c r="L825" s="15">
        <f t="shared" si="51"/>
        <v>0.65008250000000001</v>
      </c>
    </row>
    <row r="826" spans="1:12" ht="15" customHeight="1" x14ac:dyDescent="0.25">
      <c r="A826" s="10" t="str">
        <f>Raw_Data!A826</f>
        <v>RESONATE RouterUPS CRU12V2A | Zero Drop | UPS for WiFi Router | Mini UPS | Up to 4 Hours PowerBackup | Battery Replacement Program | Router UPS Compatible with 12V &lt;2A Routers, FTTH, Modem, Set Top Box, Alexa, Mini Camera</v>
      </c>
      <c r="B826" s="10" t="str">
        <f>IFERROR(TRIM(LEFT(Raw_Data!A826,FIND(" ",Raw_Data!A826)-1)),Raw_Data!A826)</f>
        <v>RESONATE</v>
      </c>
      <c r="C826" s="10" t="str">
        <f>IFERROR(LEFT(Raw_Data!B826,FIND("|",Raw_Data!B826)-1),Raw_Data!B826)</f>
        <v>Computers&amp;Accessories</v>
      </c>
      <c r="D826" s="11">
        <f>IFERROR(VALUE(SUBSTITUTE(SUBSTITUTE(TRIM(Raw_Data!C826),"₹",""),",","")),"")</f>
        <v>1799</v>
      </c>
      <c r="E826" s="11">
        <f>IFERROR(VALUE(SUBSTITUTE(SUBSTITUTE(TRIM(Raw_Data!D826),"₹",""),",","")),"")</f>
        <v>2911</v>
      </c>
      <c r="F826" s="12">
        <f>IFERROR(VALUE(SUBSTITUTE(Raw_Data!E826,"%",""))/100,"")</f>
        <v>0.38</v>
      </c>
      <c r="G826" s="13">
        <f>IFERROR(VALUE(Raw_Data!F826),"")</f>
        <v>4.3</v>
      </c>
      <c r="H826" s="14">
        <f>IFERROR(VALUE(SUBSTITUTE(Raw_Data!G826,",","")),"")</f>
        <v>20342</v>
      </c>
      <c r="I826" s="11">
        <f t="shared" si="48"/>
        <v>1112</v>
      </c>
      <c r="J826" s="11">
        <f t="shared" si="49"/>
        <v>36595258</v>
      </c>
      <c r="K826" s="1">
        <f t="shared" si="50"/>
        <v>20342.0000826</v>
      </c>
      <c r="L826" s="15">
        <f t="shared" si="51"/>
        <v>0.38008259999999999</v>
      </c>
    </row>
    <row r="827" spans="1:12" ht="15" customHeight="1" x14ac:dyDescent="0.25">
      <c r="A827" s="10" t="str">
        <f>Raw_Data!A827</f>
        <v>3M Post-it Sticky Note Cube, 200 Sheets (4 Colors x 50 Sheets) | 3" x 3" Size | For notes, reminders, study, school and organizing</v>
      </c>
      <c r="B827" s="10" t="str">
        <f>IFERROR(TRIM(LEFT(Raw_Data!A827,FIND(" ",Raw_Data!A827)-1)),Raw_Data!A827)</f>
        <v>3M</v>
      </c>
      <c r="C827" s="10" t="str">
        <f>IFERROR(LEFT(Raw_Data!B827,FIND("|",Raw_Data!B827)-1),Raw_Data!B827)</f>
        <v>OfficeProducts</v>
      </c>
      <c r="D827" s="11">
        <f>IFERROR(VALUE(SUBSTITUTE(SUBSTITUTE(TRIM(Raw_Data!C827),"₹",""),",","")),"")</f>
        <v>90</v>
      </c>
      <c r="E827" s="11">
        <f>IFERROR(VALUE(SUBSTITUTE(SUBSTITUTE(TRIM(Raw_Data!D827),"₹",""),",","")),"")</f>
        <v>175</v>
      </c>
      <c r="F827" s="12">
        <f>IFERROR(VALUE(SUBSTITUTE(Raw_Data!E827,"%",""))/100,"")</f>
        <v>0.49</v>
      </c>
      <c r="G827" s="13">
        <f>IFERROR(VALUE(Raw_Data!F827),"")</f>
        <v>4.4000000000000004</v>
      </c>
      <c r="H827" s="14">
        <f>IFERROR(VALUE(SUBSTITUTE(Raw_Data!G827,",","")),"")</f>
        <v>7429</v>
      </c>
      <c r="I827" s="11">
        <f t="shared" si="48"/>
        <v>85</v>
      </c>
      <c r="J827" s="11">
        <f t="shared" si="49"/>
        <v>668610</v>
      </c>
      <c r="K827" s="1">
        <f t="shared" si="50"/>
        <v>7429.0000827000003</v>
      </c>
      <c r="L827" s="15">
        <f t="shared" si="51"/>
        <v>0.49008269999999998</v>
      </c>
    </row>
    <row r="828" spans="1:12" ht="15" customHeight="1" x14ac:dyDescent="0.25">
      <c r="A828" s="10" t="str">
        <f>Raw_Data!A828</f>
        <v>OFIXO Multi-Purpose Laptop Table/Study Table/Bed Table/Foldable and Portable Wooden/Writing Desk (Wooden)</v>
      </c>
      <c r="B828" s="10" t="str">
        <f>IFERROR(TRIM(LEFT(Raw_Data!A828,FIND(" ",Raw_Data!A828)-1)),Raw_Data!A828)</f>
        <v>OFIXO</v>
      </c>
      <c r="C828" s="10" t="str">
        <f>IFERROR(LEFT(Raw_Data!B828,FIND("|",Raw_Data!B828)-1),Raw_Data!B828)</f>
        <v>Computers&amp;Accessories</v>
      </c>
      <c r="D828" s="11">
        <f>IFERROR(VALUE(SUBSTITUTE(SUBSTITUTE(TRIM(Raw_Data!C828),"₹",""),",","")),"")</f>
        <v>599</v>
      </c>
      <c r="E828" s="11">
        <f>IFERROR(VALUE(SUBSTITUTE(SUBSTITUTE(TRIM(Raw_Data!D828),"₹",""),",","")),"")</f>
        <v>599</v>
      </c>
      <c r="F828" s="12">
        <f>IFERROR(VALUE(SUBSTITUTE(Raw_Data!E828,"%",""))/100,"")</f>
        <v>0</v>
      </c>
      <c r="G828" s="13">
        <f>IFERROR(VALUE(Raw_Data!F828),"")</f>
        <v>4</v>
      </c>
      <c r="H828" s="14">
        <f>IFERROR(VALUE(SUBSTITUTE(Raw_Data!G828,",","")),"")</f>
        <v>26423</v>
      </c>
      <c r="I828" s="11">
        <f t="shared" si="48"/>
        <v>0</v>
      </c>
      <c r="J828" s="11">
        <f t="shared" si="49"/>
        <v>15827377</v>
      </c>
      <c r="K828" s="1">
        <f t="shared" si="50"/>
        <v>26423.000082800001</v>
      </c>
      <c r="L828" s="15">
        <f t="shared" si="51"/>
        <v>8.2799999999999993E-5</v>
      </c>
    </row>
    <row r="829" spans="1:12" ht="15" customHeight="1" x14ac:dyDescent="0.25">
      <c r="A829" s="10" t="str">
        <f>Raw_Data!A829</f>
        <v>Fire-Boltt Ninja Calling 1.69" Bluetooth Calling Smart Watch, Dial Pad, Speaker, AI Voice Assistant with 450 NITS Peak Brightness, Wrist Gaming &amp; 100+ Watch Faces with SpO2, HR, Multiple Sports Mode</v>
      </c>
      <c r="B829" s="10" t="str">
        <f>IFERROR(TRIM(LEFT(Raw_Data!A829,FIND(" ",Raw_Data!A829)-1)),Raw_Data!A829)</f>
        <v>Fire-Boltt</v>
      </c>
      <c r="C829" s="10" t="str">
        <f>IFERROR(LEFT(Raw_Data!B829,FIND("|",Raw_Data!B829)-1),Raw_Data!B829)</f>
        <v>Electronics</v>
      </c>
      <c r="D829" s="11">
        <f>IFERROR(VALUE(SUBSTITUTE(SUBSTITUTE(TRIM(Raw_Data!C829),"₹",""),",","")),"")</f>
        <v>1999</v>
      </c>
      <c r="E829" s="11">
        <f>IFERROR(VALUE(SUBSTITUTE(SUBSTITUTE(TRIM(Raw_Data!D829),"₹",""),",","")),"")</f>
        <v>7999</v>
      </c>
      <c r="F829" s="12">
        <f>IFERROR(VALUE(SUBSTITUTE(Raw_Data!E829,"%",""))/100,"")</f>
        <v>0.75</v>
      </c>
      <c r="G829" s="13">
        <f>IFERROR(VALUE(Raw_Data!F829),"")</f>
        <v>4.2</v>
      </c>
      <c r="H829" s="14">
        <f>IFERROR(VALUE(SUBSTITUTE(Raw_Data!G829,",","")),"")</f>
        <v>31305</v>
      </c>
      <c r="I829" s="11">
        <f t="shared" si="48"/>
        <v>6000</v>
      </c>
      <c r="J829" s="11">
        <f t="shared" si="49"/>
        <v>62578695</v>
      </c>
      <c r="K829" s="1">
        <f t="shared" si="50"/>
        <v>31305.000082899998</v>
      </c>
      <c r="L829" s="15">
        <f t="shared" si="51"/>
        <v>0.7500829</v>
      </c>
    </row>
    <row r="830" spans="1:12" ht="15" customHeight="1" x14ac:dyDescent="0.25">
      <c r="A830" s="10" t="str">
        <f>Raw_Data!A830</f>
        <v>Airtel AMF-311WW Data Card (Black), 4g Hotspot Support with 2300 Mah Battery</v>
      </c>
      <c r="B830" s="10" t="str">
        <f>IFERROR(TRIM(LEFT(Raw_Data!A830,FIND(" ",Raw_Data!A830)-1)),Raw_Data!A830)</f>
        <v>Airtel</v>
      </c>
      <c r="C830" s="10" t="str">
        <f>IFERROR(LEFT(Raw_Data!B830,FIND("|",Raw_Data!B830)-1),Raw_Data!B830)</f>
        <v>Computers&amp;Accessories</v>
      </c>
      <c r="D830" s="11">
        <f>IFERROR(VALUE(SUBSTITUTE(SUBSTITUTE(TRIM(Raw_Data!C830),"₹",""),",","")),"")</f>
        <v>2099</v>
      </c>
      <c r="E830" s="11">
        <f>IFERROR(VALUE(SUBSTITUTE(SUBSTITUTE(TRIM(Raw_Data!D830),"₹",""),",","")),"")</f>
        <v>3250</v>
      </c>
      <c r="F830" s="12">
        <f>IFERROR(VALUE(SUBSTITUTE(Raw_Data!E830,"%",""))/100,"")</f>
        <v>0.35</v>
      </c>
      <c r="G830" s="13">
        <f>IFERROR(VALUE(Raw_Data!F830),"")</f>
        <v>3.8</v>
      </c>
      <c r="H830" s="14">
        <f>IFERROR(VALUE(SUBSTITUTE(Raw_Data!G830,",","")),"")</f>
        <v>11213</v>
      </c>
      <c r="I830" s="11">
        <f t="shared" si="48"/>
        <v>1151</v>
      </c>
      <c r="J830" s="11">
        <f t="shared" si="49"/>
        <v>23536087</v>
      </c>
      <c r="K830" s="1">
        <f t="shared" si="50"/>
        <v>11213.000083000001</v>
      </c>
      <c r="L830" s="15">
        <f t="shared" si="51"/>
        <v>0.35008299999999998</v>
      </c>
    </row>
    <row r="831" spans="1:12" ht="15" customHeight="1" x14ac:dyDescent="0.25">
      <c r="A831" s="10" t="str">
        <f>Raw_Data!A831</f>
        <v>Gizga Essentials Laptop Power Cable Cord- 3 Pin Adapter Isi Certified(1 Meter/3.3 Feet)</v>
      </c>
      <c r="B831" s="10" t="str">
        <f>IFERROR(TRIM(LEFT(Raw_Data!A831,FIND(" ",Raw_Data!A831)-1)),Raw_Data!A831)</f>
        <v>Gizga</v>
      </c>
      <c r="C831" s="10" t="str">
        <f>IFERROR(LEFT(Raw_Data!B831,FIND("|",Raw_Data!B831)-1),Raw_Data!B831)</f>
        <v>Computers&amp;Accessories</v>
      </c>
      <c r="D831" s="11">
        <f>IFERROR(VALUE(SUBSTITUTE(SUBSTITUTE(TRIM(Raw_Data!C831),"₹",""),",","")),"")</f>
        <v>179</v>
      </c>
      <c r="E831" s="11">
        <f>IFERROR(VALUE(SUBSTITUTE(SUBSTITUTE(TRIM(Raw_Data!D831),"₹",""),",","")),"")</f>
        <v>499</v>
      </c>
      <c r="F831" s="12">
        <f>IFERROR(VALUE(SUBSTITUTE(Raw_Data!E831,"%",""))/100,"")</f>
        <v>0.64</v>
      </c>
      <c r="G831" s="13">
        <f>IFERROR(VALUE(Raw_Data!F831),"")</f>
        <v>4.0999999999999996</v>
      </c>
      <c r="H831" s="14">
        <f>IFERROR(VALUE(SUBSTITUTE(Raw_Data!G831,",","")),"")</f>
        <v>10174</v>
      </c>
      <c r="I831" s="11">
        <f t="shared" si="48"/>
        <v>320</v>
      </c>
      <c r="J831" s="11">
        <f t="shared" si="49"/>
        <v>1821146</v>
      </c>
      <c r="K831" s="1">
        <f t="shared" si="50"/>
        <v>10174.0000831</v>
      </c>
      <c r="L831" s="15">
        <f t="shared" si="51"/>
        <v>0.64008310000000002</v>
      </c>
    </row>
    <row r="832" spans="1:12" ht="15" customHeight="1" x14ac:dyDescent="0.25">
      <c r="A832" s="10" t="str">
        <f>Raw_Data!A832</f>
        <v>Logitech MK270r USB Wireless Keyboard and Mouse Set for Windows, 2.4 GHz Wireless, Spill-resistant Design, 8 Multimedia &amp; Shortcut Keys, 2-Year Battery Life, PC/Laptop- Black</v>
      </c>
      <c r="B832" s="10" t="str">
        <f>IFERROR(TRIM(LEFT(Raw_Data!A832,FIND(" ",Raw_Data!A832)-1)),Raw_Data!A832)</f>
        <v>Logitech</v>
      </c>
      <c r="C832" s="10" t="str">
        <f>IFERROR(LEFT(Raw_Data!B832,FIND("|",Raw_Data!B832)-1),Raw_Data!B832)</f>
        <v>Computers&amp;Accessories</v>
      </c>
      <c r="D832" s="11">
        <f>IFERROR(VALUE(SUBSTITUTE(SUBSTITUTE(TRIM(Raw_Data!C832),"₹",""),",","")),"")</f>
        <v>1345</v>
      </c>
      <c r="E832" s="11">
        <f>IFERROR(VALUE(SUBSTITUTE(SUBSTITUTE(TRIM(Raw_Data!D832),"₹",""),",","")),"")</f>
        <v>2295</v>
      </c>
      <c r="F832" s="12">
        <f>IFERROR(VALUE(SUBSTITUTE(Raw_Data!E832,"%",""))/100,"")</f>
        <v>0.41</v>
      </c>
      <c r="G832" s="13">
        <f>IFERROR(VALUE(Raw_Data!F832),"")</f>
        <v>4.2</v>
      </c>
      <c r="H832" s="14">
        <f>IFERROR(VALUE(SUBSTITUTE(Raw_Data!G832,",","")),"")</f>
        <v>17413</v>
      </c>
      <c r="I832" s="11">
        <f t="shared" si="48"/>
        <v>950</v>
      </c>
      <c r="J832" s="11">
        <f t="shared" si="49"/>
        <v>23420485</v>
      </c>
      <c r="K832" s="1">
        <f t="shared" si="50"/>
        <v>17413.000083200001</v>
      </c>
      <c r="L832" s="15">
        <f t="shared" si="51"/>
        <v>0.41008319999999998</v>
      </c>
    </row>
    <row r="833" spans="1:12" ht="15" customHeight="1" x14ac:dyDescent="0.25">
      <c r="A833" s="10" t="str">
        <f>Raw_Data!A833</f>
        <v>DIGITEK® (DTR-200MT) (18 CM) Portable &amp; Flexible Mini Tripod with Mobile Holder &amp; 360 Degree Ball Head, For Smart Phones, Compact Cameras, GoPro, Maximum Operating Height: 7.87 Inch, Maximum Load Upto: 1 kgs</v>
      </c>
      <c r="B833" s="10" t="str">
        <f>IFERROR(TRIM(LEFT(Raw_Data!A833,FIND(" ",Raw_Data!A833)-1)),Raw_Data!A833)</f>
        <v>DIGITEK®</v>
      </c>
      <c r="C833" s="10" t="str">
        <f>IFERROR(LEFT(Raw_Data!B833,FIND("|",Raw_Data!B833)-1),Raw_Data!B833)</f>
        <v>Electronics</v>
      </c>
      <c r="D833" s="11">
        <f>IFERROR(VALUE(SUBSTITUTE(SUBSTITUTE(TRIM(Raw_Data!C833),"₹",""),",","")),"")</f>
        <v>349</v>
      </c>
      <c r="E833" s="11">
        <f>IFERROR(VALUE(SUBSTITUTE(SUBSTITUTE(TRIM(Raw_Data!D833),"₹",""),",","")),"")</f>
        <v>995</v>
      </c>
      <c r="F833" s="12">
        <f>IFERROR(VALUE(SUBSTITUTE(Raw_Data!E833,"%",""))/100,"")</f>
        <v>0.65</v>
      </c>
      <c r="G833" s="13">
        <f>IFERROR(VALUE(Raw_Data!F833),"")</f>
        <v>4.2</v>
      </c>
      <c r="H833" s="14">
        <f>IFERROR(VALUE(SUBSTITUTE(Raw_Data!G833,",","")),"")</f>
        <v>6676</v>
      </c>
      <c r="I833" s="11">
        <f t="shared" si="48"/>
        <v>646</v>
      </c>
      <c r="J833" s="11">
        <f t="shared" si="49"/>
        <v>2329924</v>
      </c>
      <c r="K833" s="1">
        <f t="shared" si="50"/>
        <v>6676.0000833000004</v>
      </c>
      <c r="L833" s="15">
        <f t="shared" si="51"/>
        <v>0.65008330000000003</v>
      </c>
    </row>
    <row r="834" spans="1:12" ht="15" customHeight="1" x14ac:dyDescent="0.25">
      <c r="A834" s="10" t="str">
        <f>Raw_Data!A834</f>
        <v>FEDUS Cat6 Ethernet Cable, 10 Meter High Speed 550MHZ / 10 Gigabit Speed UTP LAN Cable, Network Cable Internet Cable RJ45 Cable LAN Wire, Patch Computer Cord Gigabit Category 6 Wires for Modem, Router</v>
      </c>
      <c r="B834" s="10" t="str">
        <f>IFERROR(TRIM(LEFT(Raw_Data!A834,FIND(" ",Raw_Data!A834)-1)),Raw_Data!A834)</f>
        <v>FEDUS</v>
      </c>
      <c r="C834" s="10" t="str">
        <f>IFERROR(LEFT(Raw_Data!B834,FIND("|",Raw_Data!B834)-1),Raw_Data!B834)</f>
        <v>Computers&amp;Accessories</v>
      </c>
      <c r="D834" s="11">
        <f>IFERROR(VALUE(SUBSTITUTE(SUBSTITUTE(TRIM(Raw_Data!C834),"₹",""),",","")),"")</f>
        <v>287</v>
      </c>
      <c r="E834" s="11">
        <f>IFERROR(VALUE(SUBSTITUTE(SUBSTITUTE(TRIM(Raw_Data!D834),"₹",""),",","")),"")</f>
        <v>499</v>
      </c>
      <c r="F834" s="12">
        <f>IFERROR(VALUE(SUBSTITUTE(Raw_Data!E834,"%",""))/100,"")</f>
        <v>0.42</v>
      </c>
      <c r="G834" s="13">
        <f>IFERROR(VALUE(Raw_Data!F834),"")</f>
        <v>4.4000000000000004</v>
      </c>
      <c r="H834" s="14">
        <f>IFERROR(VALUE(SUBSTITUTE(Raw_Data!G834,",","")),"")</f>
        <v>8076</v>
      </c>
      <c r="I834" s="11">
        <f t="shared" ref="I834:I897" si="52">IFERROR(E834-D834,"")</f>
        <v>212</v>
      </c>
      <c r="J834" s="11">
        <f t="shared" ref="J834:J897" si="53">IFERROR(D834*H834,"")</f>
        <v>2317812</v>
      </c>
      <c r="K834" s="1">
        <f t="shared" ref="K834:K897" si="54">IF(ISNUMBER(H834),H834+ROW()/10000000,"")</f>
        <v>8076.0000834000002</v>
      </c>
      <c r="L834" s="15">
        <f t="shared" ref="L834:L897" si="55">IF(ISNUMBER(F834),F834+ROW()/10000000,"")</f>
        <v>0.4200834</v>
      </c>
    </row>
    <row r="835" spans="1:12" ht="15" customHeight="1" x14ac:dyDescent="0.25">
      <c r="A835" s="10" t="str">
        <f>Raw_Data!A835</f>
        <v>Samsung Original Type C to C Cable - 3.28 Feet (1 Meter), White</v>
      </c>
      <c r="B835" s="10" t="str">
        <f>IFERROR(TRIM(LEFT(Raw_Data!A835,FIND(" ",Raw_Data!A835)-1)),Raw_Data!A835)</f>
        <v>Samsung</v>
      </c>
      <c r="C835" s="10" t="str">
        <f>IFERROR(LEFT(Raw_Data!B835,FIND("|",Raw_Data!B835)-1),Raw_Data!B835)</f>
        <v>Computers&amp;Accessories</v>
      </c>
      <c r="D835" s="11">
        <f>IFERROR(VALUE(SUBSTITUTE(SUBSTITUTE(TRIM(Raw_Data!C835),"₹",""),",","")),"")</f>
        <v>599</v>
      </c>
      <c r="E835" s="11">
        <f>IFERROR(VALUE(SUBSTITUTE(SUBSTITUTE(TRIM(Raw_Data!D835),"₹",""),",","")),"")</f>
        <v>599</v>
      </c>
      <c r="F835" s="12">
        <f>IFERROR(VALUE(SUBSTITUTE(Raw_Data!E835,"%",""))/100,"")</f>
        <v>0</v>
      </c>
      <c r="G835" s="13">
        <f>IFERROR(VALUE(Raw_Data!F835),"")</f>
        <v>4.3</v>
      </c>
      <c r="H835" s="14">
        <f>IFERROR(VALUE(SUBSTITUTE(Raw_Data!G835,",","")),"")</f>
        <v>355</v>
      </c>
      <c r="I835" s="11">
        <f t="shared" si="52"/>
        <v>0</v>
      </c>
      <c r="J835" s="11">
        <f t="shared" si="53"/>
        <v>212645</v>
      </c>
      <c r="K835" s="1">
        <f t="shared" si="54"/>
        <v>355.00008350000002</v>
      </c>
      <c r="L835" s="15">
        <f t="shared" si="55"/>
        <v>8.3499999999999997E-5</v>
      </c>
    </row>
    <row r="836" spans="1:12" ht="15" customHeight="1" x14ac:dyDescent="0.25">
      <c r="A836" s="10" t="str">
        <f>Raw_Data!A836</f>
        <v>Kingston DataTraveler Exodia DTX/32 GB Pen Drive USB 3.2 Gen 1 (Multicolor)</v>
      </c>
      <c r="B836" s="10" t="str">
        <f>IFERROR(TRIM(LEFT(Raw_Data!A836,FIND(" ",Raw_Data!A836)-1)),Raw_Data!A836)</f>
        <v>Kingston</v>
      </c>
      <c r="C836" s="10" t="str">
        <f>IFERROR(LEFT(Raw_Data!B836,FIND("|",Raw_Data!B836)-1),Raw_Data!B836)</f>
        <v>Computers&amp;Accessories</v>
      </c>
      <c r="D836" s="11">
        <f>IFERROR(VALUE(SUBSTITUTE(SUBSTITUTE(TRIM(Raw_Data!C836),"₹",""),",","")),"")</f>
        <v>349</v>
      </c>
      <c r="E836" s="11">
        <f>IFERROR(VALUE(SUBSTITUTE(SUBSTITUTE(TRIM(Raw_Data!D836),"₹",""),",","")),"")</f>
        <v>450</v>
      </c>
      <c r="F836" s="12">
        <f>IFERROR(VALUE(SUBSTITUTE(Raw_Data!E836,"%",""))/100,"")</f>
        <v>0.22</v>
      </c>
      <c r="G836" s="13">
        <f>IFERROR(VALUE(Raw_Data!F836),"")</f>
        <v>4.0999999999999996</v>
      </c>
      <c r="H836" s="14">
        <f>IFERROR(VALUE(SUBSTITUTE(Raw_Data!G836,",","")),"")</f>
        <v>18656</v>
      </c>
      <c r="I836" s="11">
        <f t="shared" si="52"/>
        <v>101</v>
      </c>
      <c r="J836" s="11">
        <f t="shared" si="53"/>
        <v>6510944</v>
      </c>
      <c r="K836" s="1">
        <f t="shared" si="54"/>
        <v>18656.0000836</v>
      </c>
      <c r="L836" s="15">
        <f t="shared" si="55"/>
        <v>0.22008359999999999</v>
      </c>
    </row>
    <row r="837" spans="1:12" ht="15" customHeight="1" x14ac:dyDescent="0.25">
      <c r="A837" s="10" t="str">
        <f>Raw_Data!A837</f>
        <v>Duracell Rechargeable AA 2500mAh Batteries, 4 Pcs</v>
      </c>
      <c r="B837" s="10" t="str">
        <f>IFERROR(TRIM(LEFT(Raw_Data!A837,FIND(" ",Raw_Data!A837)-1)),Raw_Data!A837)</f>
        <v>Duracell</v>
      </c>
      <c r="C837" s="10" t="str">
        <f>IFERROR(LEFT(Raw_Data!B837,FIND("|",Raw_Data!B837)-1),Raw_Data!B837)</f>
        <v>Electronics</v>
      </c>
      <c r="D837" s="11">
        <f>IFERROR(VALUE(SUBSTITUTE(SUBSTITUTE(TRIM(Raw_Data!C837),"₹",""),",","")),"")</f>
        <v>879</v>
      </c>
      <c r="E837" s="11">
        <f>IFERROR(VALUE(SUBSTITUTE(SUBSTITUTE(TRIM(Raw_Data!D837),"₹",""),",","")),"")</f>
        <v>1109</v>
      </c>
      <c r="F837" s="12">
        <f>IFERROR(VALUE(SUBSTITUTE(Raw_Data!E837,"%",""))/100,"")</f>
        <v>0.21</v>
      </c>
      <c r="G837" s="13">
        <f>IFERROR(VALUE(Raw_Data!F837),"")</f>
        <v>4.4000000000000004</v>
      </c>
      <c r="H837" s="14">
        <f>IFERROR(VALUE(SUBSTITUTE(Raw_Data!G837,",","")),"")</f>
        <v>31599</v>
      </c>
      <c r="I837" s="11">
        <f t="shared" si="52"/>
        <v>230</v>
      </c>
      <c r="J837" s="11">
        <f t="shared" si="53"/>
        <v>27775521</v>
      </c>
      <c r="K837" s="1">
        <f t="shared" si="54"/>
        <v>31599.000083700001</v>
      </c>
      <c r="L837" s="15">
        <f t="shared" si="55"/>
        <v>0.21008369999999998</v>
      </c>
    </row>
    <row r="838" spans="1:12" ht="15" customHeight="1" x14ac:dyDescent="0.25">
      <c r="A838" s="10" t="str">
        <f>Raw_Data!A838</f>
        <v>pTron Solero T351 3.5Amps Fast Charging Type-C to Type-C PD Data &amp; Charging USB Cable, Made in India, 480Mbps Data Sync, Durable 1 Meter Long Cable for Type-C Smartphones, Tablets &amp; Laptops (Black)</v>
      </c>
      <c r="B838" s="10" t="str">
        <f>IFERROR(TRIM(LEFT(Raw_Data!A838,FIND(" ",Raw_Data!A838)-1)),Raw_Data!A838)</f>
        <v>pTron</v>
      </c>
      <c r="C838" s="10" t="str">
        <f>IFERROR(LEFT(Raw_Data!B838,FIND("|",Raw_Data!B838)-1),Raw_Data!B838)</f>
        <v>Computers&amp;Accessories</v>
      </c>
      <c r="D838" s="11">
        <f>IFERROR(VALUE(SUBSTITUTE(SUBSTITUTE(TRIM(Raw_Data!C838),"₹",""),",","")),"")</f>
        <v>199</v>
      </c>
      <c r="E838" s="11">
        <f>IFERROR(VALUE(SUBSTITUTE(SUBSTITUTE(TRIM(Raw_Data!D838),"₹",""),",","")),"")</f>
        <v>999</v>
      </c>
      <c r="F838" s="12">
        <f>IFERROR(VALUE(SUBSTITUTE(Raw_Data!E838,"%",""))/100,"")</f>
        <v>0.8</v>
      </c>
      <c r="G838" s="13">
        <f>IFERROR(VALUE(Raw_Data!F838),"")</f>
        <v>3.9</v>
      </c>
      <c r="H838" s="14">
        <f>IFERROR(VALUE(SUBSTITUTE(Raw_Data!G838,",","")),"")</f>
        <v>1075</v>
      </c>
      <c r="I838" s="11">
        <f t="shared" si="52"/>
        <v>800</v>
      </c>
      <c r="J838" s="11">
        <f t="shared" si="53"/>
        <v>213925</v>
      </c>
      <c r="K838" s="1">
        <f t="shared" si="54"/>
        <v>1075.0000838000001</v>
      </c>
      <c r="L838" s="15">
        <f t="shared" si="55"/>
        <v>0.80008380000000001</v>
      </c>
    </row>
    <row r="839" spans="1:12" ht="15" customHeight="1" x14ac:dyDescent="0.25">
      <c r="A839" s="10" t="str">
        <f>Raw_Data!A839</f>
        <v>ENVIE® (AA10004PLNi-CD) AA Rechargeable Batteries, Low Self Discharge, AA 1000mAh Ni-CD (Pack of 4)</v>
      </c>
      <c r="B839" s="10" t="str">
        <f>IFERROR(TRIM(LEFT(Raw_Data!A839,FIND(" ",Raw_Data!A839)-1)),Raw_Data!A839)</f>
        <v>ENVIE®</v>
      </c>
      <c r="C839" s="10" t="str">
        <f>IFERROR(LEFT(Raw_Data!B839,FIND("|",Raw_Data!B839)-1),Raw_Data!B839)</f>
        <v>Electronics</v>
      </c>
      <c r="D839" s="11">
        <f>IFERROR(VALUE(SUBSTITUTE(SUBSTITUTE(TRIM(Raw_Data!C839),"₹",""),",","")),"")</f>
        <v>250</v>
      </c>
      <c r="E839" s="11">
        <f>IFERROR(VALUE(SUBSTITUTE(SUBSTITUTE(TRIM(Raw_Data!D839),"₹",""),",","")),"")</f>
        <v>250</v>
      </c>
      <c r="F839" s="12">
        <f>IFERROR(VALUE(SUBSTITUTE(Raw_Data!E839,"%",""))/100,"")</f>
        <v>0</v>
      </c>
      <c r="G839" s="13">
        <f>IFERROR(VALUE(Raw_Data!F839),"")</f>
        <v>3.9</v>
      </c>
      <c r="H839" s="14">
        <f>IFERROR(VALUE(SUBSTITUTE(Raw_Data!G839,",","")),"")</f>
        <v>13971</v>
      </c>
      <c r="I839" s="11">
        <f t="shared" si="52"/>
        <v>0</v>
      </c>
      <c r="J839" s="11">
        <f t="shared" si="53"/>
        <v>3492750</v>
      </c>
      <c r="K839" s="1">
        <f t="shared" si="54"/>
        <v>13971.0000839</v>
      </c>
      <c r="L839" s="15">
        <f t="shared" si="55"/>
        <v>8.3900000000000006E-5</v>
      </c>
    </row>
    <row r="840" spans="1:12" ht="15" customHeight="1" x14ac:dyDescent="0.25">
      <c r="A840" s="10" t="str">
        <f>Raw_Data!A840</f>
        <v>ZEBRONICS Zeb-Buds 30 3.5Mm Stereo Wired in Ear Earphones with Mic for Calling, Volume Control, Multifunction Button, 14Mm Drivers, Stylish Eartip,1.2 Meter Durable Cable and Lightweight Design(Red)</v>
      </c>
      <c r="B840" s="10" t="str">
        <f>IFERROR(TRIM(LEFT(Raw_Data!A840,FIND(" ",Raw_Data!A840)-1)),Raw_Data!A840)</f>
        <v>ZEBRONICS</v>
      </c>
      <c r="C840" s="10" t="str">
        <f>IFERROR(LEFT(Raw_Data!B840,FIND("|",Raw_Data!B840)-1),Raw_Data!B840)</f>
        <v>Electronics</v>
      </c>
      <c r="D840" s="11">
        <f>IFERROR(VALUE(SUBSTITUTE(SUBSTITUTE(TRIM(Raw_Data!C840),"₹",""),",","")),"")</f>
        <v>199</v>
      </c>
      <c r="E840" s="11">
        <f>IFERROR(VALUE(SUBSTITUTE(SUBSTITUTE(TRIM(Raw_Data!D840),"₹",""),",","")),"")</f>
        <v>499</v>
      </c>
      <c r="F840" s="12">
        <f>IFERROR(VALUE(SUBSTITUTE(Raw_Data!E840,"%",""))/100,"")</f>
        <v>0.6</v>
      </c>
      <c r="G840" s="13">
        <f>IFERROR(VALUE(Raw_Data!F840),"")</f>
        <v>3.6</v>
      </c>
      <c r="H840" s="14">
        <f>IFERROR(VALUE(SUBSTITUTE(Raw_Data!G840,",","")),"")</f>
        <v>2492</v>
      </c>
      <c r="I840" s="11">
        <f t="shared" si="52"/>
        <v>300</v>
      </c>
      <c r="J840" s="11">
        <f t="shared" si="53"/>
        <v>495908</v>
      </c>
      <c r="K840" s="1">
        <f t="shared" si="54"/>
        <v>2492.0000839999998</v>
      </c>
      <c r="L840" s="15">
        <f t="shared" si="55"/>
        <v>0.60008399999999995</v>
      </c>
    </row>
    <row r="841" spans="1:12" ht="15" customHeight="1" x14ac:dyDescent="0.25">
      <c r="A841" s="10" t="str">
        <f>Raw_Data!A841</f>
        <v>Amazonbasics Nylon Braided Usb-C To Lightning Cable, Fast Charging Mfi Certified Smartphone, Iphone Charger (6-Foot, Dark Grey)</v>
      </c>
      <c r="B841" s="10" t="str">
        <f>IFERROR(TRIM(LEFT(Raw_Data!A841,FIND(" ",Raw_Data!A841)-1)),Raw_Data!A841)</f>
        <v>Amazonbasics</v>
      </c>
      <c r="C841" s="10" t="str">
        <f>IFERROR(LEFT(Raw_Data!B841,FIND("|",Raw_Data!B841)-1),Raw_Data!B841)</f>
        <v>Computers&amp;Accessories</v>
      </c>
      <c r="D841" s="11">
        <f>IFERROR(VALUE(SUBSTITUTE(SUBSTITUTE(TRIM(Raw_Data!C841),"₹",""),",","")),"")</f>
        <v>899</v>
      </c>
      <c r="E841" s="11">
        <f>IFERROR(VALUE(SUBSTITUTE(SUBSTITUTE(TRIM(Raw_Data!D841),"₹",""),",","")),"")</f>
        <v>1900</v>
      </c>
      <c r="F841" s="12">
        <f>IFERROR(VALUE(SUBSTITUTE(Raw_Data!E841,"%",""))/100,"")</f>
        <v>0.53</v>
      </c>
      <c r="G841" s="13">
        <f>IFERROR(VALUE(Raw_Data!F841),"")</f>
        <v>4.4000000000000004</v>
      </c>
      <c r="H841" s="14">
        <f>IFERROR(VALUE(SUBSTITUTE(Raw_Data!G841,",","")),"")</f>
        <v>13552</v>
      </c>
      <c r="I841" s="11">
        <f t="shared" si="52"/>
        <v>1001</v>
      </c>
      <c r="J841" s="11">
        <f t="shared" si="53"/>
        <v>12183248</v>
      </c>
      <c r="K841" s="1">
        <f t="shared" si="54"/>
        <v>13552.0000841</v>
      </c>
      <c r="L841" s="15">
        <f t="shared" si="55"/>
        <v>0.53008410000000006</v>
      </c>
    </row>
    <row r="842" spans="1:12" ht="15" customHeight="1" x14ac:dyDescent="0.25">
      <c r="A842" s="10" t="str">
        <f>Raw_Data!A842</f>
        <v>Sounce 65W OnePlus Dash Warp Charge Cable, 6.5A Type-C to USB C PD Data Sync Fast Charging Cable Compatible with One Plus 8T/ 9/ 9R/ 9 pro/ 9RT/ 10R/ Nord &amp; for All Type C Devices – Red, 1 Meter</v>
      </c>
      <c r="B842" s="10" t="str">
        <f>IFERROR(TRIM(LEFT(Raw_Data!A842,FIND(" ",Raw_Data!A842)-1)),Raw_Data!A842)</f>
        <v>Sounce</v>
      </c>
      <c r="C842" s="10" t="str">
        <f>IFERROR(LEFT(Raw_Data!B842,FIND("|",Raw_Data!B842)-1),Raw_Data!B842)</f>
        <v>Computers&amp;Accessories</v>
      </c>
      <c r="D842" s="11">
        <f>IFERROR(VALUE(SUBSTITUTE(SUBSTITUTE(TRIM(Raw_Data!C842),"₹",""),",","")),"")</f>
        <v>199</v>
      </c>
      <c r="E842" s="11">
        <f>IFERROR(VALUE(SUBSTITUTE(SUBSTITUTE(TRIM(Raw_Data!D842),"₹",""),",","")),"")</f>
        <v>999</v>
      </c>
      <c r="F842" s="12">
        <f>IFERROR(VALUE(SUBSTITUTE(Raw_Data!E842,"%",""))/100,"")</f>
        <v>0.8</v>
      </c>
      <c r="G842" s="13">
        <f>IFERROR(VALUE(Raw_Data!F842),"")</f>
        <v>4</v>
      </c>
      <c r="H842" s="14">
        <f>IFERROR(VALUE(SUBSTITUTE(Raw_Data!G842,",","")),"")</f>
        <v>575</v>
      </c>
      <c r="I842" s="11">
        <f t="shared" si="52"/>
        <v>800</v>
      </c>
      <c r="J842" s="11">
        <f t="shared" si="53"/>
        <v>114425</v>
      </c>
      <c r="K842" s="1">
        <f t="shared" si="54"/>
        <v>575.00008419999995</v>
      </c>
      <c r="L842" s="15">
        <f t="shared" si="55"/>
        <v>0.80008420000000002</v>
      </c>
    </row>
    <row r="843" spans="1:12" ht="15" customHeight="1" x14ac:dyDescent="0.25">
      <c r="A843" s="10" t="str">
        <f>Raw_Data!A843</f>
        <v>LAPSTER Accessories Power Cable Cord 2 Pin Laptop Adapter and Tape Recorder 1.5M</v>
      </c>
      <c r="B843" s="10" t="str">
        <f>IFERROR(TRIM(LEFT(Raw_Data!A843,FIND(" ",Raw_Data!A843)-1)),Raw_Data!A843)</f>
        <v>LAPSTER</v>
      </c>
      <c r="C843" s="10" t="str">
        <f>IFERROR(LEFT(Raw_Data!B843,FIND("|",Raw_Data!B843)-1),Raw_Data!B843)</f>
        <v>Computers&amp;Accessories</v>
      </c>
      <c r="D843" s="11">
        <f>IFERROR(VALUE(SUBSTITUTE(SUBSTITUTE(TRIM(Raw_Data!C843),"₹",""),",","")),"")</f>
        <v>149</v>
      </c>
      <c r="E843" s="11">
        <f>IFERROR(VALUE(SUBSTITUTE(SUBSTITUTE(TRIM(Raw_Data!D843),"₹",""),",","")),"")</f>
        <v>999</v>
      </c>
      <c r="F843" s="12">
        <f>IFERROR(VALUE(SUBSTITUTE(Raw_Data!E843,"%",""))/100,"")</f>
        <v>0.85</v>
      </c>
      <c r="G843" s="13">
        <f>IFERROR(VALUE(Raw_Data!F843),"")</f>
        <v>3.5</v>
      </c>
      <c r="H843" s="14">
        <f>IFERROR(VALUE(SUBSTITUTE(Raw_Data!G843,",","")),"")</f>
        <v>2523</v>
      </c>
      <c r="I843" s="11">
        <f t="shared" si="52"/>
        <v>850</v>
      </c>
      <c r="J843" s="11">
        <f t="shared" si="53"/>
        <v>375927</v>
      </c>
      <c r="K843" s="1">
        <f t="shared" si="54"/>
        <v>2523.0000842999998</v>
      </c>
      <c r="L843" s="15">
        <f t="shared" si="55"/>
        <v>0.85008430000000001</v>
      </c>
    </row>
    <row r="844" spans="1:12" ht="15" customHeight="1" x14ac:dyDescent="0.25">
      <c r="A844" s="10" t="str">
        <f>Raw_Data!A844</f>
        <v>Portronics Ruffpad 12E Re-Writable LCD Writing Pad with 30.4cm (12 inch) Writing Area, Single Tap Erase, Smart Lock, Long Battery Life, India's first notepad to save and share your child's first creatives via Ruffpad app on your Smartphone(Black)</v>
      </c>
      <c r="B844" s="10" t="str">
        <f>IFERROR(TRIM(LEFT(Raw_Data!A844,FIND(" ",Raw_Data!A844)-1)),Raw_Data!A844)</f>
        <v>Portronics</v>
      </c>
      <c r="C844" s="10" t="str">
        <f>IFERROR(LEFT(Raw_Data!B844,FIND("|",Raw_Data!B844)-1),Raw_Data!B844)</f>
        <v>Computers&amp;Accessories</v>
      </c>
      <c r="D844" s="11">
        <f>IFERROR(VALUE(SUBSTITUTE(SUBSTITUTE(TRIM(Raw_Data!C844),"₹",""),",","")),"")</f>
        <v>469</v>
      </c>
      <c r="E844" s="11">
        <f>IFERROR(VALUE(SUBSTITUTE(SUBSTITUTE(TRIM(Raw_Data!D844),"₹",""),",","")),"")</f>
        <v>1499</v>
      </c>
      <c r="F844" s="12">
        <f>IFERROR(VALUE(SUBSTITUTE(Raw_Data!E844,"%",""))/100,"")</f>
        <v>0.69</v>
      </c>
      <c r="G844" s="13">
        <f>IFERROR(VALUE(Raw_Data!F844),"")</f>
        <v>4.0999999999999996</v>
      </c>
      <c r="H844" s="14">
        <f>IFERROR(VALUE(SUBSTITUTE(Raw_Data!G844,",","")),"")</f>
        <v>352</v>
      </c>
      <c r="I844" s="11">
        <f t="shared" si="52"/>
        <v>1030</v>
      </c>
      <c r="J844" s="11">
        <f t="shared" si="53"/>
        <v>165088</v>
      </c>
      <c r="K844" s="1">
        <f t="shared" si="54"/>
        <v>352.00008439999999</v>
      </c>
      <c r="L844" s="15">
        <f t="shared" si="55"/>
        <v>0.69008439999999993</v>
      </c>
    </row>
    <row r="845" spans="1:12" ht="15" customHeight="1" x14ac:dyDescent="0.25">
      <c r="A845" s="10" t="str">
        <f>Raw_Data!A845</f>
        <v>Verilux® USB C Hub Multiport Adapter- 6 in 1 Portable Aluminum Type C Hub with 4K HDMI Output, USB 2.0/3.0 Ports, SD/Micro SD Card Reader Compatible for MacBook Pro 2016-2020, MacBook Air 2018-2020, Type-C Devices</v>
      </c>
      <c r="B845" s="10" t="str">
        <f>IFERROR(TRIM(LEFT(Raw_Data!A845,FIND(" ",Raw_Data!A845)-1)),Raw_Data!A845)</f>
        <v>Verilux®</v>
      </c>
      <c r="C845" s="10" t="str">
        <f>IFERROR(LEFT(Raw_Data!B845,FIND("|",Raw_Data!B845)-1),Raw_Data!B845)</f>
        <v>Computers&amp;Accessories</v>
      </c>
      <c r="D845" s="11">
        <f>IFERROR(VALUE(SUBSTITUTE(SUBSTITUTE(TRIM(Raw_Data!C845),"₹",""),",","")),"")</f>
        <v>1187</v>
      </c>
      <c r="E845" s="11">
        <f>IFERROR(VALUE(SUBSTITUTE(SUBSTITUTE(TRIM(Raw_Data!D845),"₹",""),",","")),"")</f>
        <v>1929</v>
      </c>
      <c r="F845" s="12">
        <f>IFERROR(VALUE(SUBSTITUTE(Raw_Data!E845,"%",""))/100,"")</f>
        <v>0.38</v>
      </c>
      <c r="G845" s="13">
        <f>IFERROR(VALUE(Raw_Data!F845),"")</f>
        <v>4.0999999999999996</v>
      </c>
      <c r="H845" s="14">
        <f>IFERROR(VALUE(SUBSTITUTE(Raw_Data!G845,",","")),"")</f>
        <v>1662</v>
      </c>
      <c r="I845" s="11">
        <f t="shared" si="52"/>
        <v>742</v>
      </c>
      <c r="J845" s="11">
        <f t="shared" si="53"/>
        <v>1972794</v>
      </c>
      <c r="K845" s="1">
        <f t="shared" si="54"/>
        <v>1662.0000845</v>
      </c>
      <c r="L845" s="15">
        <f t="shared" si="55"/>
        <v>0.38008449999999999</v>
      </c>
    </row>
    <row r="846" spans="1:12" ht="15" customHeight="1" x14ac:dyDescent="0.25">
      <c r="A846" s="10" t="str">
        <f>Raw_Data!A846</f>
        <v>Zebronics Zeb Wonderbar 10 USB Powered 2.0 Computer Speaker with RGB Lights</v>
      </c>
      <c r="B846" s="10" t="str">
        <f>IFERROR(TRIM(LEFT(Raw_Data!A846,FIND(" ",Raw_Data!A846)-1)),Raw_Data!A846)</f>
        <v>Zebronics</v>
      </c>
      <c r="C846" s="10" t="str">
        <f>IFERROR(LEFT(Raw_Data!B846,FIND("|",Raw_Data!B846)-1),Raw_Data!B846)</f>
        <v>Computers&amp;Accessories</v>
      </c>
      <c r="D846" s="11">
        <f>IFERROR(VALUE(SUBSTITUTE(SUBSTITUTE(TRIM(Raw_Data!C846),"₹",""),",","")),"")</f>
        <v>849</v>
      </c>
      <c r="E846" s="11">
        <f>IFERROR(VALUE(SUBSTITUTE(SUBSTITUTE(TRIM(Raw_Data!D846),"₹",""),",","")),"")</f>
        <v>1499</v>
      </c>
      <c r="F846" s="12">
        <f>IFERROR(VALUE(SUBSTITUTE(Raw_Data!E846,"%",""))/100,"")</f>
        <v>0.43</v>
      </c>
      <c r="G846" s="13">
        <f>IFERROR(VALUE(Raw_Data!F846),"")</f>
        <v>4</v>
      </c>
      <c r="H846" s="14">
        <f>IFERROR(VALUE(SUBSTITUTE(Raw_Data!G846,",","")),"")</f>
        <v>7352</v>
      </c>
      <c r="I846" s="11">
        <f t="shared" si="52"/>
        <v>650</v>
      </c>
      <c r="J846" s="11">
        <f t="shared" si="53"/>
        <v>6241848</v>
      </c>
      <c r="K846" s="1">
        <f t="shared" si="54"/>
        <v>7352.0000846000003</v>
      </c>
      <c r="L846" s="15">
        <f t="shared" si="55"/>
        <v>0.43008459999999998</v>
      </c>
    </row>
    <row r="847" spans="1:12" ht="15" customHeight="1" x14ac:dyDescent="0.25">
      <c r="A847" s="10" t="str">
        <f>Raw_Data!A847</f>
        <v>HP Wired Mouse 100 with 1600 DPI Optical Sensor, USB Plug-and -Play,ambidextrous Design, Built-in Scrolling and 3 Handy Buttons. 3-Years Warranty (6VY96AA)</v>
      </c>
      <c r="B847" s="10" t="str">
        <f>IFERROR(TRIM(LEFT(Raw_Data!A847,FIND(" ",Raw_Data!A847)-1)),Raw_Data!A847)</f>
        <v>HP</v>
      </c>
      <c r="C847" s="10" t="str">
        <f>IFERROR(LEFT(Raw_Data!B847,FIND("|",Raw_Data!B847)-1),Raw_Data!B847)</f>
        <v>Computers&amp;Accessories</v>
      </c>
      <c r="D847" s="11">
        <f>IFERROR(VALUE(SUBSTITUTE(SUBSTITUTE(TRIM(Raw_Data!C847),"₹",""),",","")),"")</f>
        <v>328</v>
      </c>
      <c r="E847" s="11">
        <f>IFERROR(VALUE(SUBSTITUTE(SUBSTITUTE(TRIM(Raw_Data!D847),"₹",""),",","")),"")</f>
        <v>399</v>
      </c>
      <c r="F847" s="12">
        <f>IFERROR(VALUE(SUBSTITUTE(Raw_Data!E847,"%",""))/100,"")</f>
        <v>0.18</v>
      </c>
      <c r="G847" s="13">
        <f>IFERROR(VALUE(Raw_Data!F847),"")</f>
        <v>4.0999999999999996</v>
      </c>
      <c r="H847" s="14">
        <f>IFERROR(VALUE(SUBSTITUTE(Raw_Data!G847,",","")),"")</f>
        <v>3441</v>
      </c>
      <c r="I847" s="11">
        <f t="shared" si="52"/>
        <v>71</v>
      </c>
      <c r="J847" s="11">
        <f t="shared" si="53"/>
        <v>1128648</v>
      </c>
      <c r="K847" s="1">
        <f t="shared" si="54"/>
        <v>3441.0000847000001</v>
      </c>
      <c r="L847" s="15">
        <f t="shared" si="55"/>
        <v>0.18008469999999999</v>
      </c>
    </row>
    <row r="848" spans="1:12" ht="15" customHeight="1" x14ac:dyDescent="0.25">
      <c r="A848" s="10" t="str">
        <f>Raw_Data!A848</f>
        <v>Anjaney Enterprise Smart Multipurpose Foldable Laptop Table with Cup Holder, Study Table, Bed Table, Breakfast Table, Foldable and Portable/Ergonomic &amp; Rounded Edges/Non-Slip (Black)</v>
      </c>
      <c r="B848" s="10" t="str">
        <f>IFERROR(TRIM(LEFT(Raw_Data!A848,FIND(" ",Raw_Data!A848)-1)),Raw_Data!A848)</f>
        <v>Anjaney</v>
      </c>
      <c r="C848" s="10" t="str">
        <f>IFERROR(LEFT(Raw_Data!B848,FIND("|",Raw_Data!B848)-1),Raw_Data!B848)</f>
        <v>Computers&amp;Accessories</v>
      </c>
      <c r="D848" s="11">
        <f>IFERROR(VALUE(SUBSTITUTE(SUBSTITUTE(TRIM(Raw_Data!C848),"₹",""),",","")),"")</f>
        <v>269</v>
      </c>
      <c r="E848" s="11">
        <f>IFERROR(VALUE(SUBSTITUTE(SUBSTITUTE(TRIM(Raw_Data!D848),"₹",""),",","")),"")</f>
        <v>699</v>
      </c>
      <c r="F848" s="12">
        <f>IFERROR(VALUE(SUBSTITUTE(Raw_Data!E848,"%",""))/100,"")</f>
        <v>0.62</v>
      </c>
      <c r="G848" s="13">
        <f>IFERROR(VALUE(Raw_Data!F848),"")</f>
        <v>4</v>
      </c>
      <c r="H848" s="14">
        <f>IFERROR(VALUE(SUBSTITUTE(Raw_Data!G848,",","")),"")</f>
        <v>93</v>
      </c>
      <c r="I848" s="11">
        <f t="shared" si="52"/>
        <v>430</v>
      </c>
      <c r="J848" s="11">
        <f t="shared" si="53"/>
        <v>25017</v>
      </c>
      <c r="K848" s="1">
        <f t="shared" si="54"/>
        <v>93.000084799999996</v>
      </c>
      <c r="L848" s="15">
        <f t="shared" si="55"/>
        <v>0.62008479999999999</v>
      </c>
    </row>
    <row r="849" spans="1:12" ht="15" customHeight="1" x14ac:dyDescent="0.25">
      <c r="A849" s="10" t="str">
        <f>Raw_Data!A849</f>
        <v>ENVIE ECR-20 Charger for AA &amp; AAA Rechargeable Batteries</v>
      </c>
      <c r="B849" s="10" t="str">
        <f>IFERROR(TRIM(LEFT(Raw_Data!A849,FIND(" ",Raw_Data!A849)-1)),Raw_Data!A849)</f>
        <v>ENVIE</v>
      </c>
      <c r="C849" s="10" t="str">
        <f>IFERROR(LEFT(Raw_Data!B849,FIND("|",Raw_Data!B849)-1),Raw_Data!B849)</f>
        <v>Electronics</v>
      </c>
      <c r="D849" s="11">
        <f>IFERROR(VALUE(SUBSTITUTE(SUBSTITUTE(TRIM(Raw_Data!C849),"₹",""),",","")),"")</f>
        <v>299</v>
      </c>
      <c r="E849" s="11">
        <f>IFERROR(VALUE(SUBSTITUTE(SUBSTITUTE(TRIM(Raw_Data!D849),"₹",""),",","")),"")</f>
        <v>400</v>
      </c>
      <c r="F849" s="12">
        <f>IFERROR(VALUE(SUBSTITUTE(Raw_Data!E849,"%",""))/100,"")</f>
        <v>0.25</v>
      </c>
      <c r="G849" s="13">
        <f>IFERROR(VALUE(Raw_Data!F849),"")</f>
        <v>3.8</v>
      </c>
      <c r="H849" s="14">
        <f>IFERROR(VALUE(SUBSTITUTE(Raw_Data!G849,",","")),"")</f>
        <v>40895</v>
      </c>
      <c r="I849" s="11">
        <f t="shared" si="52"/>
        <v>101</v>
      </c>
      <c r="J849" s="11">
        <f t="shared" si="53"/>
        <v>12227605</v>
      </c>
      <c r="K849" s="1">
        <f t="shared" si="54"/>
        <v>40895.000084899999</v>
      </c>
      <c r="L849" s="15">
        <f t="shared" si="55"/>
        <v>0.2500849</v>
      </c>
    </row>
    <row r="850" spans="1:12" ht="15" customHeight="1" x14ac:dyDescent="0.25">
      <c r="A850" s="10" t="str">
        <f>Raw_Data!A850</f>
        <v>ProElite Faux Leather Smart Flip Case Cover for Apple iPad 10.2" 9th Gen (2021) / 8th Gen / 7th Gen with Stylus Pen, Black</v>
      </c>
      <c r="B850" s="10" t="str">
        <f>IFERROR(TRIM(LEFT(Raw_Data!A850,FIND(" ",Raw_Data!A850)-1)),Raw_Data!A850)</f>
        <v>ProElite</v>
      </c>
      <c r="C850" s="10" t="str">
        <f>IFERROR(LEFT(Raw_Data!B850,FIND("|",Raw_Data!B850)-1),Raw_Data!B850)</f>
        <v>Computers&amp;Accessories</v>
      </c>
      <c r="D850" s="11">
        <f>IFERROR(VALUE(SUBSTITUTE(SUBSTITUTE(TRIM(Raw_Data!C850),"₹",""),",","")),"")</f>
        <v>549</v>
      </c>
      <c r="E850" s="11">
        <f>IFERROR(VALUE(SUBSTITUTE(SUBSTITUTE(TRIM(Raw_Data!D850),"₹",""),",","")),"")</f>
        <v>1499</v>
      </c>
      <c r="F850" s="12">
        <f>IFERROR(VALUE(SUBSTITUTE(Raw_Data!E850,"%",""))/100,"")</f>
        <v>0.63</v>
      </c>
      <c r="G850" s="13">
        <f>IFERROR(VALUE(Raw_Data!F850),"")</f>
        <v>4.3</v>
      </c>
      <c r="H850" s="14">
        <f>IFERROR(VALUE(SUBSTITUTE(Raw_Data!G850,",","")),"")</f>
        <v>11006</v>
      </c>
      <c r="I850" s="11">
        <f t="shared" si="52"/>
        <v>950</v>
      </c>
      <c r="J850" s="11">
        <f t="shared" si="53"/>
        <v>6042294</v>
      </c>
      <c r="K850" s="1">
        <f t="shared" si="54"/>
        <v>11006.000085</v>
      </c>
      <c r="L850" s="15">
        <f t="shared" si="55"/>
        <v>0.63008500000000001</v>
      </c>
    </row>
    <row r="851" spans="1:12" ht="15" customHeight="1" x14ac:dyDescent="0.25">
      <c r="A851" s="10" t="str">
        <f>Raw_Data!A851</f>
        <v>Classmate Pulse 6 Subject Notebook - Unruled, 300 Pages, Spiral Binding, 240mm*180mm</v>
      </c>
      <c r="B851" s="10" t="str">
        <f>IFERROR(TRIM(LEFT(Raw_Data!A851,FIND(" ",Raw_Data!A851)-1)),Raw_Data!A851)</f>
        <v>Classmate</v>
      </c>
      <c r="C851" s="10" t="str">
        <f>IFERROR(LEFT(Raw_Data!B851,FIND("|",Raw_Data!B851)-1),Raw_Data!B851)</f>
        <v>OfficeProducts</v>
      </c>
      <c r="D851" s="11">
        <f>IFERROR(VALUE(SUBSTITUTE(SUBSTITUTE(TRIM(Raw_Data!C851),"₹",""),",","")),"")</f>
        <v>114</v>
      </c>
      <c r="E851" s="11">
        <f>IFERROR(VALUE(SUBSTITUTE(SUBSTITUTE(TRIM(Raw_Data!D851),"₹",""),",","")),"")</f>
        <v>120</v>
      </c>
      <c r="F851" s="12">
        <f>IFERROR(VALUE(SUBSTITUTE(Raw_Data!E851,"%",""))/100,"")</f>
        <v>0.05</v>
      </c>
      <c r="G851" s="13">
        <f>IFERROR(VALUE(Raw_Data!F851),"")</f>
        <v>4.2</v>
      </c>
      <c r="H851" s="14">
        <f>IFERROR(VALUE(SUBSTITUTE(Raw_Data!G851,",","")),"")</f>
        <v>8938</v>
      </c>
      <c r="I851" s="11">
        <f t="shared" si="52"/>
        <v>6</v>
      </c>
      <c r="J851" s="11">
        <f t="shared" si="53"/>
        <v>1018932</v>
      </c>
      <c r="K851" s="1">
        <f t="shared" si="54"/>
        <v>8938.0000851000004</v>
      </c>
      <c r="L851" s="15">
        <f t="shared" si="55"/>
        <v>5.00851E-2</v>
      </c>
    </row>
    <row r="852" spans="1:12" ht="15" customHeight="1" x14ac:dyDescent="0.25">
      <c r="A852" s="10" t="str">
        <f>Raw_Data!A852</f>
        <v>Pentonic Multicolor Ball Point Pen, Pack of 10</v>
      </c>
      <c r="B852" s="10" t="str">
        <f>IFERROR(TRIM(LEFT(Raw_Data!A852,FIND(" ",Raw_Data!A852)-1)),Raw_Data!A852)</f>
        <v>Pentonic</v>
      </c>
      <c r="C852" s="10" t="str">
        <f>IFERROR(LEFT(Raw_Data!B852,FIND("|",Raw_Data!B852)-1),Raw_Data!B852)</f>
        <v>OfficeProducts</v>
      </c>
      <c r="D852" s="11">
        <f>IFERROR(VALUE(SUBSTITUTE(SUBSTITUTE(TRIM(Raw_Data!C852),"₹",""),",","")),"")</f>
        <v>120</v>
      </c>
      <c r="E852" s="11">
        <f>IFERROR(VALUE(SUBSTITUTE(SUBSTITUTE(TRIM(Raw_Data!D852),"₹",""),",","")),"")</f>
        <v>120</v>
      </c>
      <c r="F852" s="12">
        <f>IFERROR(VALUE(SUBSTITUTE(Raw_Data!E852,"%",""))/100,"")</f>
        <v>0</v>
      </c>
      <c r="G852" s="13">
        <f>IFERROR(VALUE(Raw_Data!F852),"")</f>
        <v>4.0999999999999996</v>
      </c>
      <c r="H852" s="14">
        <f>IFERROR(VALUE(SUBSTITUTE(Raw_Data!G852,",","")),"")</f>
        <v>4308</v>
      </c>
      <c r="I852" s="11">
        <f t="shared" si="52"/>
        <v>0</v>
      </c>
      <c r="J852" s="11">
        <f t="shared" si="53"/>
        <v>516960</v>
      </c>
      <c r="K852" s="1">
        <f t="shared" si="54"/>
        <v>4308.0000852000003</v>
      </c>
      <c r="L852" s="15">
        <f t="shared" si="55"/>
        <v>8.5199999999999997E-5</v>
      </c>
    </row>
    <row r="853" spans="1:12" ht="15" customHeight="1" x14ac:dyDescent="0.25">
      <c r="A853" s="10" t="str">
        <f>Raw_Data!A853</f>
        <v>Duracell Type C To Type C 5A (100W) Braided Sync &amp; Fast Charging Cable, 3.9 Feet (1.2M). USB C to C Cable, Supports PD &amp; QC 3.0 Charging, 5 GBPS Data Transmission – Black</v>
      </c>
      <c r="B853" s="10" t="str">
        <f>IFERROR(TRIM(LEFT(Raw_Data!A853,FIND(" ",Raw_Data!A853)-1)),Raw_Data!A853)</f>
        <v>Duracell</v>
      </c>
      <c r="C853" s="10" t="str">
        <f>IFERROR(LEFT(Raw_Data!B853,FIND("|",Raw_Data!B853)-1),Raw_Data!B853)</f>
        <v>Computers&amp;Accessories</v>
      </c>
      <c r="D853" s="11">
        <f>IFERROR(VALUE(SUBSTITUTE(SUBSTITUTE(TRIM(Raw_Data!C853),"₹",""),",","")),"")</f>
        <v>970</v>
      </c>
      <c r="E853" s="11">
        <f>IFERROR(VALUE(SUBSTITUTE(SUBSTITUTE(TRIM(Raw_Data!D853),"₹",""),",","")),"")</f>
        <v>1999</v>
      </c>
      <c r="F853" s="12">
        <f>IFERROR(VALUE(SUBSTITUTE(Raw_Data!E853,"%",""))/100,"")</f>
        <v>0.51</v>
      </c>
      <c r="G853" s="13">
        <f>IFERROR(VALUE(Raw_Data!F853),"")</f>
        <v>4.2</v>
      </c>
      <c r="H853" s="14">
        <f>IFERROR(VALUE(SUBSTITUTE(Raw_Data!G853,",","")),"")</f>
        <v>462</v>
      </c>
      <c r="I853" s="11">
        <f t="shared" si="52"/>
        <v>1029</v>
      </c>
      <c r="J853" s="11">
        <f t="shared" si="53"/>
        <v>448140</v>
      </c>
      <c r="K853" s="1">
        <f t="shared" si="54"/>
        <v>462.00008530000002</v>
      </c>
      <c r="L853" s="15">
        <f t="shared" si="55"/>
        <v>0.51008529999999996</v>
      </c>
    </row>
    <row r="854" spans="1:12" ht="15" customHeight="1" x14ac:dyDescent="0.25">
      <c r="A854" s="10" t="str">
        <f>Raw_Data!A854</f>
        <v>AmazonBasics USB 2.0 Cable - A-Male to B-Male - for Personal Computer, Printer- 6 Feet (1.8 Meters), Black</v>
      </c>
      <c r="B854" s="10" t="str">
        <f>IFERROR(TRIM(LEFT(Raw_Data!A854,FIND(" ",Raw_Data!A854)-1)),Raw_Data!A854)</f>
        <v>AmazonBasics</v>
      </c>
      <c r="C854" s="10" t="str">
        <f>IFERROR(LEFT(Raw_Data!B854,FIND("|",Raw_Data!B854)-1),Raw_Data!B854)</f>
        <v>Computers&amp;Accessories</v>
      </c>
      <c r="D854" s="11">
        <f>IFERROR(VALUE(SUBSTITUTE(SUBSTITUTE(TRIM(Raw_Data!C854),"₹",""),",","")),"")</f>
        <v>209</v>
      </c>
      <c r="E854" s="11">
        <f>IFERROR(VALUE(SUBSTITUTE(SUBSTITUTE(TRIM(Raw_Data!D854),"₹",""),",","")),"")</f>
        <v>695</v>
      </c>
      <c r="F854" s="12">
        <f>IFERROR(VALUE(SUBSTITUTE(Raw_Data!E854,"%",""))/100,"")</f>
        <v>0.7</v>
      </c>
      <c r="G854" s="13">
        <f>IFERROR(VALUE(Raw_Data!F854),"")</f>
        <v>4.5</v>
      </c>
      <c r="H854" s="14">
        <f>IFERROR(VALUE(SUBSTITUTE(Raw_Data!G854,",","")),"")</f>
        <v>107686</v>
      </c>
      <c r="I854" s="11">
        <f t="shared" si="52"/>
        <v>486</v>
      </c>
      <c r="J854" s="11">
        <f t="shared" si="53"/>
        <v>22506374</v>
      </c>
      <c r="K854" s="1">
        <f t="shared" si="54"/>
        <v>107686.0000854</v>
      </c>
      <c r="L854" s="15">
        <f t="shared" si="55"/>
        <v>0.70008539999999997</v>
      </c>
    </row>
    <row r="855" spans="1:12" ht="15" customHeight="1" x14ac:dyDescent="0.25">
      <c r="A855" s="10" t="str">
        <f>Raw_Data!A855</f>
        <v>Logitech Pebble M350 Wireless Mouse with Bluetooth or USB - Silent, Slim Computer Mouse with Quiet Click for Laptop, Notebook, PC and Mac - Graphite</v>
      </c>
      <c r="B855" s="10" t="str">
        <f>IFERROR(TRIM(LEFT(Raw_Data!A855,FIND(" ",Raw_Data!A855)-1)),Raw_Data!A855)</f>
        <v>Logitech</v>
      </c>
      <c r="C855" s="10" t="str">
        <f>IFERROR(LEFT(Raw_Data!B855,FIND("|",Raw_Data!B855)-1),Raw_Data!B855)</f>
        <v>Computers&amp;Accessories</v>
      </c>
      <c r="D855" s="11">
        <f>IFERROR(VALUE(SUBSTITUTE(SUBSTITUTE(TRIM(Raw_Data!C855),"₹",""),",","")),"")</f>
        <v>1490</v>
      </c>
      <c r="E855" s="11">
        <f>IFERROR(VALUE(SUBSTITUTE(SUBSTITUTE(TRIM(Raw_Data!D855),"₹",""),",","")),"")</f>
        <v>2295</v>
      </c>
      <c r="F855" s="12">
        <f>IFERROR(VALUE(SUBSTITUTE(Raw_Data!E855,"%",""))/100,"")</f>
        <v>0.35</v>
      </c>
      <c r="G855" s="13">
        <f>IFERROR(VALUE(Raw_Data!F855),"")</f>
        <v>4.5999999999999996</v>
      </c>
      <c r="H855" s="14">
        <f>IFERROR(VALUE(SUBSTITUTE(Raw_Data!G855,",","")),"")</f>
        <v>10652</v>
      </c>
      <c r="I855" s="11">
        <f t="shared" si="52"/>
        <v>805</v>
      </c>
      <c r="J855" s="11">
        <f t="shared" si="53"/>
        <v>15871480</v>
      </c>
      <c r="K855" s="1">
        <f t="shared" si="54"/>
        <v>10652.0000855</v>
      </c>
      <c r="L855" s="15">
        <f t="shared" si="55"/>
        <v>0.35008549999999999</v>
      </c>
    </row>
    <row r="856" spans="1:12" ht="15" customHeight="1" x14ac:dyDescent="0.25">
      <c r="A856" s="10" t="str">
        <f>Raw_Data!A856</f>
        <v>Apsara Platinum Pencils Value Pack - Pack of 20</v>
      </c>
      <c r="B856" s="10" t="str">
        <f>IFERROR(TRIM(LEFT(Raw_Data!A856,FIND(" ",Raw_Data!A856)-1)),Raw_Data!A856)</f>
        <v>Apsara</v>
      </c>
      <c r="C856" s="10" t="str">
        <f>IFERROR(LEFT(Raw_Data!B856,FIND("|",Raw_Data!B856)-1),Raw_Data!B856)</f>
        <v>Home&amp;Kitchen</v>
      </c>
      <c r="D856" s="11">
        <f>IFERROR(VALUE(SUBSTITUTE(SUBSTITUTE(TRIM(Raw_Data!C856),"₹",""),",","")),"")</f>
        <v>99</v>
      </c>
      <c r="E856" s="11">
        <f>IFERROR(VALUE(SUBSTITUTE(SUBSTITUTE(TRIM(Raw_Data!D856),"₹",""),",","")),"")</f>
        <v>99</v>
      </c>
      <c r="F856" s="12">
        <f>IFERROR(VALUE(SUBSTITUTE(Raw_Data!E856,"%",""))/100,"")</f>
        <v>0</v>
      </c>
      <c r="G856" s="13">
        <f>IFERROR(VALUE(Raw_Data!F856),"")</f>
        <v>4.3</v>
      </c>
      <c r="H856" s="14">
        <f>IFERROR(VALUE(SUBSTITUTE(Raw_Data!G856,",","")),"")</f>
        <v>5036</v>
      </c>
      <c r="I856" s="11">
        <f t="shared" si="52"/>
        <v>0</v>
      </c>
      <c r="J856" s="11">
        <f t="shared" si="53"/>
        <v>498564</v>
      </c>
      <c r="K856" s="1">
        <f t="shared" si="54"/>
        <v>5036.0000855999997</v>
      </c>
      <c r="L856" s="15">
        <f t="shared" si="55"/>
        <v>8.5599999999999994E-5</v>
      </c>
    </row>
    <row r="857" spans="1:12" ht="15" customHeight="1" x14ac:dyDescent="0.25">
      <c r="A857" s="10" t="str">
        <f>Raw_Data!A857</f>
        <v>Zebronics Zeb-Power Wired USB Mouse, 3-Button, 1200 DPI Optical Sensor, Plug &amp; Play, for Windows/Mac</v>
      </c>
      <c r="B857" s="10" t="str">
        <f>IFERROR(TRIM(LEFT(Raw_Data!A857,FIND(" ",Raw_Data!A857)-1)),Raw_Data!A857)</f>
        <v>Zebronics</v>
      </c>
      <c r="C857" s="10" t="str">
        <f>IFERROR(LEFT(Raw_Data!B857,FIND("|",Raw_Data!B857)-1),Raw_Data!B857)</f>
        <v>Computers&amp;Accessories</v>
      </c>
      <c r="D857" s="11">
        <f>IFERROR(VALUE(SUBSTITUTE(SUBSTITUTE(TRIM(Raw_Data!C857),"₹",""),",","")),"")</f>
        <v>149</v>
      </c>
      <c r="E857" s="11">
        <f>IFERROR(VALUE(SUBSTITUTE(SUBSTITUTE(TRIM(Raw_Data!D857),"₹",""),",","")),"")</f>
        <v>249</v>
      </c>
      <c r="F857" s="12">
        <f>IFERROR(VALUE(SUBSTITUTE(Raw_Data!E857,"%",""))/100,"")</f>
        <v>0.4</v>
      </c>
      <c r="G857" s="13">
        <f>IFERROR(VALUE(Raw_Data!F857),"")</f>
        <v>4</v>
      </c>
      <c r="H857" s="14">
        <f>IFERROR(VALUE(SUBSTITUTE(Raw_Data!G857,",","")),"")</f>
        <v>5057</v>
      </c>
      <c r="I857" s="11">
        <f t="shared" si="52"/>
        <v>100</v>
      </c>
      <c r="J857" s="11">
        <f t="shared" si="53"/>
        <v>753493</v>
      </c>
      <c r="K857" s="1">
        <f t="shared" si="54"/>
        <v>5057.0000857000005</v>
      </c>
      <c r="L857" s="15">
        <f t="shared" si="55"/>
        <v>0.40008570000000004</v>
      </c>
    </row>
    <row r="858" spans="1:12" ht="15" customHeight="1" x14ac:dyDescent="0.25">
      <c r="A858" s="10" t="str">
        <f>Raw_Data!A858</f>
        <v>Ant Esports GM320 RGB Optical Wired Gaming Mouse | 8 Programmable Buttons | 12800 DPI</v>
      </c>
      <c r="B858" s="10" t="str">
        <f>IFERROR(TRIM(LEFT(Raw_Data!A858,FIND(" ",Raw_Data!A858)-1)),Raw_Data!A858)</f>
        <v>Ant</v>
      </c>
      <c r="C858" s="10" t="str">
        <f>IFERROR(LEFT(Raw_Data!B858,FIND("|",Raw_Data!B858)-1),Raw_Data!B858)</f>
        <v>Computers&amp;Accessories</v>
      </c>
      <c r="D858" s="11">
        <f>IFERROR(VALUE(SUBSTITUTE(SUBSTITUTE(TRIM(Raw_Data!C858),"₹",""),",","")),"")</f>
        <v>575</v>
      </c>
      <c r="E858" s="11">
        <f>IFERROR(VALUE(SUBSTITUTE(SUBSTITUTE(TRIM(Raw_Data!D858),"₹",""),",","")),"")</f>
        <v>2799</v>
      </c>
      <c r="F858" s="12">
        <f>IFERROR(VALUE(SUBSTITUTE(Raw_Data!E858,"%",""))/100,"")</f>
        <v>0.79</v>
      </c>
      <c r="G858" s="13">
        <f>IFERROR(VALUE(Raw_Data!F858),"")</f>
        <v>4.2</v>
      </c>
      <c r="H858" s="14">
        <f>IFERROR(VALUE(SUBSTITUTE(Raw_Data!G858,",","")),"")</f>
        <v>8537</v>
      </c>
      <c r="I858" s="11">
        <f t="shared" si="52"/>
        <v>2224</v>
      </c>
      <c r="J858" s="11">
        <f t="shared" si="53"/>
        <v>4908775</v>
      </c>
      <c r="K858" s="1">
        <f t="shared" si="54"/>
        <v>8537.0000858000003</v>
      </c>
      <c r="L858" s="15">
        <f t="shared" si="55"/>
        <v>0.79008580000000006</v>
      </c>
    </row>
    <row r="859" spans="1:12" ht="15" customHeight="1" x14ac:dyDescent="0.25">
      <c r="A859" s="10" t="str">
        <f>Raw_Data!A859</f>
        <v>Wecool Nylon Braided Multifunction Fast Charging Cable For Android Smartphone, Ios And Type C Usb Devices, 3 In 1 Charging Cable, 3A, (3 Feet) (Black)</v>
      </c>
      <c r="B859" s="10" t="str">
        <f>IFERROR(TRIM(LEFT(Raw_Data!A859,FIND(" ",Raw_Data!A859)-1)),Raw_Data!A859)</f>
        <v>Wecool</v>
      </c>
      <c r="C859" s="10" t="str">
        <f>IFERROR(LEFT(Raw_Data!B859,FIND("|",Raw_Data!B859)-1),Raw_Data!B859)</f>
        <v>Computers&amp;Accessories</v>
      </c>
      <c r="D859" s="11">
        <f>IFERROR(VALUE(SUBSTITUTE(SUBSTITUTE(TRIM(Raw_Data!C859),"₹",""),",","")),"")</f>
        <v>333</v>
      </c>
      <c r="E859" s="11">
        <f>IFERROR(VALUE(SUBSTITUTE(SUBSTITUTE(TRIM(Raw_Data!D859),"₹",""),",","")),"")</f>
        <v>999</v>
      </c>
      <c r="F859" s="12">
        <f>IFERROR(VALUE(SUBSTITUTE(Raw_Data!E859,"%",""))/100,"")</f>
        <v>0.67</v>
      </c>
      <c r="G859" s="13">
        <f>IFERROR(VALUE(Raw_Data!F859),"")</f>
        <v>3.3</v>
      </c>
      <c r="H859" s="14">
        <f>IFERROR(VALUE(SUBSTITUTE(Raw_Data!G859,",","")),"")</f>
        <v>9792</v>
      </c>
      <c r="I859" s="11">
        <f t="shared" si="52"/>
        <v>666</v>
      </c>
      <c r="J859" s="11">
        <f t="shared" si="53"/>
        <v>3260736</v>
      </c>
      <c r="K859" s="1">
        <f t="shared" si="54"/>
        <v>9792.0000858999992</v>
      </c>
      <c r="L859" s="15">
        <f t="shared" si="55"/>
        <v>0.67008590000000001</v>
      </c>
    </row>
    <row r="860" spans="1:12" ht="15" customHeight="1" x14ac:dyDescent="0.25">
      <c r="A860" s="10" t="str">
        <f>Raw_Data!A860</f>
        <v>Pilot V7 Liquid Ink Roller Ball Pen (2 Blue + 1 Black)</v>
      </c>
      <c r="B860" s="10" t="str">
        <f>IFERROR(TRIM(LEFT(Raw_Data!A860,FIND(" ",Raw_Data!A860)-1)),Raw_Data!A860)</f>
        <v>Pilot</v>
      </c>
      <c r="C860" s="10" t="str">
        <f>IFERROR(LEFT(Raw_Data!B860,FIND("|",Raw_Data!B860)-1),Raw_Data!B860)</f>
        <v>OfficeProducts</v>
      </c>
      <c r="D860" s="11">
        <f>IFERROR(VALUE(SUBSTITUTE(SUBSTITUTE(TRIM(Raw_Data!C860),"₹",""),",","")),"")</f>
        <v>178</v>
      </c>
      <c r="E860" s="11">
        <f>IFERROR(VALUE(SUBSTITUTE(SUBSTITUTE(TRIM(Raw_Data!D860),"₹",""),",","")),"")</f>
        <v>210</v>
      </c>
      <c r="F860" s="12">
        <f>IFERROR(VALUE(SUBSTITUTE(Raw_Data!E860,"%",""))/100,"")</f>
        <v>0.15</v>
      </c>
      <c r="G860" s="13">
        <f>IFERROR(VALUE(Raw_Data!F860),"")</f>
        <v>4.3</v>
      </c>
      <c r="H860" s="14">
        <f>IFERROR(VALUE(SUBSTITUTE(Raw_Data!G860,",","")),"")</f>
        <v>2450</v>
      </c>
      <c r="I860" s="11">
        <f t="shared" si="52"/>
        <v>32</v>
      </c>
      <c r="J860" s="11">
        <f t="shared" si="53"/>
        <v>436100</v>
      </c>
      <c r="K860" s="1">
        <f t="shared" si="54"/>
        <v>2450.000086</v>
      </c>
      <c r="L860" s="15">
        <f t="shared" si="55"/>
        <v>0.150086</v>
      </c>
    </row>
    <row r="861" spans="1:12" ht="15" customHeight="1" x14ac:dyDescent="0.25">
      <c r="A861" s="10" t="str">
        <f>Raw_Data!A861</f>
        <v>boAt Airdopes 191G True Wireless Earbuds with ENx™ Tech Equipped Quad Mics, Beast™ Mode(Low Latency- 65ms) for Gaming, 2x6mm Dual Drivers, 30H Playtime, IPX5, IWP™, Appealing Case LEDs(Sport Blue)</v>
      </c>
      <c r="B861" s="10" t="str">
        <f>IFERROR(TRIM(LEFT(Raw_Data!A861,FIND(" ",Raw_Data!A861)-1)),Raw_Data!A861)</f>
        <v>boAt</v>
      </c>
      <c r="C861" s="10" t="str">
        <f>IFERROR(LEFT(Raw_Data!B861,FIND("|",Raw_Data!B861)-1),Raw_Data!B861)</f>
        <v>Electronics</v>
      </c>
      <c r="D861" s="11">
        <f>IFERROR(VALUE(SUBSTITUTE(SUBSTITUTE(TRIM(Raw_Data!C861),"₹",""),",","")),"")</f>
        <v>1599</v>
      </c>
      <c r="E861" s="11">
        <f>IFERROR(VALUE(SUBSTITUTE(SUBSTITUTE(TRIM(Raw_Data!D861),"₹",""),",","")),"")</f>
        <v>3490</v>
      </c>
      <c r="F861" s="12">
        <f>IFERROR(VALUE(SUBSTITUTE(Raw_Data!E861,"%",""))/100,"")</f>
        <v>0.54</v>
      </c>
      <c r="G861" s="13">
        <f>IFERROR(VALUE(Raw_Data!F861),"")</f>
        <v>3.7</v>
      </c>
      <c r="H861" s="14">
        <f>IFERROR(VALUE(SUBSTITUTE(Raw_Data!G861,",","")),"")</f>
        <v>676</v>
      </c>
      <c r="I861" s="11">
        <f t="shared" si="52"/>
        <v>1891</v>
      </c>
      <c r="J861" s="11">
        <f t="shared" si="53"/>
        <v>1080924</v>
      </c>
      <c r="K861" s="1">
        <f t="shared" si="54"/>
        <v>676.00008609999998</v>
      </c>
      <c r="L861" s="15">
        <f t="shared" si="55"/>
        <v>0.54008610000000001</v>
      </c>
    </row>
    <row r="862" spans="1:12" ht="15" customHeight="1" x14ac:dyDescent="0.25">
      <c r="A862" s="10" t="str">
        <f>Raw_Data!A862</f>
        <v>Boult Audio BassBuds Oak in-Ear Wired Earphones with 10mm Extra Bass Driver and HD Sound with mic(Brown)</v>
      </c>
      <c r="B862" s="10" t="str">
        <f>IFERROR(TRIM(LEFT(Raw_Data!A862,FIND(" ",Raw_Data!A862)-1)),Raw_Data!A862)</f>
        <v>Boult</v>
      </c>
      <c r="C862" s="10" t="str">
        <f>IFERROR(LEFT(Raw_Data!B862,FIND("|",Raw_Data!B862)-1),Raw_Data!B862)</f>
        <v>Electronics</v>
      </c>
      <c r="D862" s="11">
        <f>IFERROR(VALUE(SUBSTITUTE(SUBSTITUTE(TRIM(Raw_Data!C862),"₹",""),",","")),"")</f>
        <v>499</v>
      </c>
      <c r="E862" s="11">
        <f>IFERROR(VALUE(SUBSTITUTE(SUBSTITUTE(TRIM(Raw_Data!D862),"₹",""),",","")),"")</f>
        <v>1299</v>
      </c>
      <c r="F862" s="12">
        <f>IFERROR(VALUE(SUBSTITUTE(Raw_Data!E862,"%",""))/100,"")</f>
        <v>0.62</v>
      </c>
      <c r="G862" s="13">
        <f>IFERROR(VALUE(Raw_Data!F862),"")</f>
        <v>3.9</v>
      </c>
      <c r="H862" s="14">
        <f>IFERROR(VALUE(SUBSTITUTE(Raw_Data!G862,",","")),"")</f>
        <v>1173</v>
      </c>
      <c r="I862" s="11">
        <f t="shared" si="52"/>
        <v>800</v>
      </c>
      <c r="J862" s="11">
        <f t="shared" si="53"/>
        <v>585327</v>
      </c>
      <c r="K862" s="1">
        <f t="shared" si="54"/>
        <v>1173.0000861999999</v>
      </c>
      <c r="L862" s="15">
        <f t="shared" si="55"/>
        <v>0.62008620000000003</v>
      </c>
    </row>
    <row r="863" spans="1:12" ht="15" customHeight="1" x14ac:dyDescent="0.25">
      <c r="A863" s="10" t="str">
        <f>Raw_Data!A863</f>
        <v>IT2M Designer Mouse Pad for Laptop/Computer (9.2 X 7.6 Inches, 12788)</v>
      </c>
      <c r="B863" s="10" t="str">
        <f>IFERROR(TRIM(LEFT(Raw_Data!A863,FIND(" ",Raw_Data!A863)-1)),Raw_Data!A863)</f>
        <v>IT2M</v>
      </c>
      <c r="C863" s="10" t="str">
        <f>IFERROR(LEFT(Raw_Data!B863,FIND("|",Raw_Data!B863)-1),Raw_Data!B863)</f>
        <v>Computers&amp;Accessories</v>
      </c>
      <c r="D863" s="11">
        <f>IFERROR(VALUE(SUBSTITUTE(SUBSTITUTE(TRIM(Raw_Data!C863),"₹",""),",","")),"")</f>
        <v>199</v>
      </c>
      <c r="E863" s="11">
        <f>IFERROR(VALUE(SUBSTITUTE(SUBSTITUTE(TRIM(Raw_Data!D863),"₹",""),",","")),"")</f>
        <v>499</v>
      </c>
      <c r="F863" s="12">
        <f>IFERROR(VALUE(SUBSTITUTE(Raw_Data!E863,"%",""))/100,"")</f>
        <v>0.6</v>
      </c>
      <c r="G863" s="13">
        <f>IFERROR(VALUE(Raw_Data!F863),"")</f>
        <v>4.3</v>
      </c>
      <c r="H863" s="14">
        <f>IFERROR(VALUE(SUBSTITUTE(Raw_Data!G863,",","")),"")</f>
        <v>9998</v>
      </c>
      <c r="I863" s="11">
        <f t="shared" si="52"/>
        <v>300</v>
      </c>
      <c r="J863" s="11">
        <f t="shared" si="53"/>
        <v>1989602</v>
      </c>
      <c r="K863" s="1">
        <f t="shared" si="54"/>
        <v>9998.0000863000005</v>
      </c>
      <c r="L863" s="15">
        <f t="shared" si="55"/>
        <v>0.60008629999999996</v>
      </c>
    </row>
    <row r="864" spans="1:12" ht="15" customHeight="1" x14ac:dyDescent="0.25">
      <c r="A864" s="10" t="str">
        <f>Raw_Data!A864</f>
        <v>Noise ColorFit Ultra Buzz Bluetooth Calling Smart Watch with 1.75" HD Display, 320x385 px Resolution, 100 Sports Modes, Stock Market Info Smartwatch for Men &amp; Women (Olive Green)</v>
      </c>
      <c r="B864" s="10" t="str">
        <f>IFERROR(TRIM(LEFT(Raw_Data!A864,FIND(" ",Raw_Data!A864)-1)),Raw_Data!A864)</f>
        <v>Noise</v>
      </c>
      <c r="C864" s="10" t="str">
        <f>IFERROR(LEFT(Raw_Data!B864,FIND("|",Raw_Data!B864)-1),Raw_Data!B864)</f>
        <v>Electronics</v>
      </c>
      <c r="D864" s="11">
        <f>IFERROR(VALUE(SUBSTITUTE(SUBSTITUTE(TRIM(Raw_Data!C864),"₹",""),",","")),"")</f>
        <v>2499</v>
      </c>
      <c r="E864" s="11">
        <f>IFERROR(VALUE(SUBSTITUTE(SUBSTITUTE(TRIM(Raw_Data!D864),"₹",""),",","")),"")</f>
        <v>5999</v>
      </c>
      <c r="F864" s="12">
        <f>IFERROR(VALUE(SUBSTITUTE(Raw_Data!E864,"%",""))/100,"")</f>
        <v>0.57999999999999996</v>
      </c>
      <c r="G864" s="13">
        <f>IFERROR(VALUE(Raw_Data!F864),"")</f>
        <v>4.0999999999999996</v>
      </c>
      <c r="H864" s="14">
        <f>IFERROR(VALUE(SUBSTITUTE(Raw_Data!G864,",","")),"")</f>
        <v>5852</v>
      </c>
      <c r="I864" s="11">
        <f t="shared" si="52"/>
        <v>3500</v>
      </c>
      <c r="J864" s="11">
        <f t="shared" si="53"/>
        <v>14624148</v>
      </c>
      <c r="K864" s="1">
        <f t="shared" si="54"/>
        <v>5852.0000864000003</v>
      </c>
      <c r="L864" s="15">
        <f t="shared" si="55"/>
        <v>0.5800864</v>
      </c>
    </row>
    <row r="865" spans="1:12" ht="15" customHeight="1" x14ac:dyDescent="0.25">
      <c r="A865" s="10" t="str">
        <f>Raw_Data!A865</f>
        <v>Lapster Caddy for ssd and HDD, Optical Bay 2nd Hard Drive Caddy, Caddy 9.5mm for Laptop</v>
      </c>
      <c r="B865" s="10" t="str">
        <f>IFERROR(TRIM(LEFT(Raw_Data!A865,FIND(" ",Raw_Data!A865)-1)),Raw_Data!A865)</f>
        <v>Lapster</v>
      </c>
      <c r="C865" s="10" t="str">
        <f>IFERROR(LEFT(Raw_Data!B865,FIND("|",Raw_Data!B865)-1),Raw_Data!B865)</f>
        <v>Computers&amp;Accessories</v>
      </c>
      <c r="D865" s="11">
        <f>IFERROR(VALUE(SUBSTITUTE(SUBSTITUTE(TRIM(Raw_Data!C865),"₹",""),",","")),"")</f>
        <v>199</v>
      </c>
      <c r="E865" s="11">
        <f>IFERROR(VALUE(SUBSTITUTE(SUBSTITUTE(TRIM(Raw_Data!D865),"₹",""),",","")),"")</f>
        <v>999</v>
      </c>
      <c r="F865" s="12">
        <f>IFERROR(VALUE(SUBSTITUTE(Raw_Data!E865,"%",""))/100,"")</f>
        <v>0.8</v>
      </c>
      <c r="G865" s="13">
        <f>IFERROR(VALUE(Raw_Data!F865),"")</f>
        <v>4.2</v>
      </c>
      <c r="H865" s="14">
        <f>IFERROR(VALUE(SUBSTITUTE(Raw_Data!G865,",","")),"")</f>
        <v>362</v>
      </c>
      <c r="I865" s="11">
        <f t="shared" si="52"/>
        <v>800</v>
      </c>
      <c r="J865" s="11">
        <f t="shared" si="53"/>
        <v>72038</v>
      </c>
      <c r="K865" s="1">
        <f t="shared" si="54"/>
        <v>362.00008650000001</v>
      </c>
      <c r="L865" s="15">
        <f t="shared" si="55"/>
        <v>0.80008650000000003</v>
      </c>
    </row>
    <row r="866" spans="1:12" ht="15" customHeight="1" x14ac:dyDescent="0.25">
      <c r="A866" s="10" t="str">
        <f>Raw_Data!A866</f>
        <v>SanDisk Extreme SD UHS I 64GB Card for 4K Video for DSLR and Mirrorless Cameras 170MB/s Read &amp; 80MB/s Write</v>
      </c>
      <c r="B866" s="10" t="str">
        <f>IFERROR(TRIM(LEFT(Raw_Data!A866,FIND(" ",Raw_Data!A866)-1)),Raw_Data!A866)</f>
        <v>SanDisk</v>
      </c>
      <c r="C866" s="10" t="str">
        <f>IFERROR(LEFT(Raw_Data!B866,FIND("|",Raw_Data!B866)-1),Raw_Data!B866)</f>
        <v>Electronics</v>
      </c>
      <c r="D866" s="11">
        <f>IFERROR(VALUE(SUBSTITUTE(SUBSTITUTE(TRIM(Raw_Data!C866),"₹",""),",","")),"")</f>
        <v>939</v>
      </c>
      <c r="E866" s="11">
        <f>IFERROR(VALUE(SUBSTITUTE(SUBSTITUTE(TRIM(Raw_Data!D866),"₹",""),",","")),"")</f>
        <v>1800</v>
      </c>
      <c r="F866" s="12">
        <f>IFERROR(VALUE(SUBSTITUTE(Raw_Data!E866,"%",""))/100,"")</f>
        <v>0.48</v>
      </c>
      <c r="G866" s="13">
        <f>IFERROR(VALUE(Raw_Data!F866),"")</f>
        <v>4.5</v>
      </c>
      <c r="H866" s="14">
        <f>IFERROR(VALUE(SUBSTITUTE(Raw_Data!G866,",","")),"")</f>
        <v>205052</v>
      </c>
      <c r="I866" s="11">
        <f t="shared" si="52"/>
        <v>861</v>
      </c>
      <c r="J866" s="11">
        <f t="shared" si="53"/>
        <v>192543828</v>
      </c>
      <c r="K866" s="1">
        <f t="shared" si="54"/>
        <v>205052.00008659999</v>
      </c>
      <c r="L866" s="15">
        <f t="shared" si="55"/>
        <v>0.48008659999999997</v>
      </c>
    </row>
    <row r="867" spans="1:12" ht="15" customHeight="1" x14ac:dyDescent="0.25">
      <c r="A867" s="10" t="str">
        <f>Raw_Data!A867</f>
        <v>Fire-Boltt Ring Pro Bluetooth Calling, 1.75” 320*385px High Res, IP68 &amp; SpO2 Monitoring, Pin Code Locking Functionality &amp; Split Screen Access, Built in Mic &amp; Speaker for HD Calls, Black, Free Size</v>
      </c>
      <c r="B867" s="10" t="str">
        <f>IFERROR(TRIM(LEFT(Raw_Data!A867,FIND(" ",Raw_Data!A867)-1)),Raw_Data!A867)</f>
        <v>Fire-Boltt</v>
      </c>
      <c r="C867" s="10" t="str">
        <f>IFERROR(LEFT(Raw_Data!B867,FIND("|",Raw_Data!B867)-1),Raw_Data!B867)</f>
        <v>Electronics</v>
      </c>
      <c r="D867" s="11">
        <f>IFERROR(VALUE(SUBSTITUTE(SUBSTITUTE(TRIM(Raw_Data!C867),"₹",""),",","")),"")</f>
        <v>2499</v>
      </c>
      <c r="E867" s="11">
        <f>IFERROR(VALUE(SUBSTITUTE(SUBSTITUTE(TRIM(Raw_Data!D867),"₹",""),",","")),"")</f>
        <v>9999</v>
      </c>
      <c r="F867" s="12">
        <f>IFERROR(VALUE(SUBSTITUTE(Raw_Data!E867,"%",""))/100,"")</f>
        <v>0.75</v>
      </c>
      <c r="G867" s="13">
        <f>IFERROR(VALUE(Raw_Data!F867),"")</f>
        <v>4</v>
      </c>
      <c r="H867" s="14">
        <f>IFERROR(VALUE(SUBSTITUTE(Raw_Data!G867,",","")),"")</f>
        <v>9090</v>
      </c>
      <c r="I867" s="11">
        <f t="shared" si="52"/>
        <v>7500</v>
      </c>
      <c r="J867" s="11">
        <f t="shared" si="53"/>
        <v>22715910</v>
      </c>
      <c r="K867" s="1">
        <f t="shared" si="54"/>
        <v>9090.0000866999999</v>
      </c>
      <c r="L867" s="15">
        <f t="shared" si="55"/>
        <v>0.7500867</v>
      </c>
    </row>
    <row r="868" spans="1:12" ht="15" customHeight="1" x14ac:dyDescent="0.25">
      <c r="A868" s="10" t="str">
        <f>Raw_Data!A868</f>
        <v>Lenovo 600 Bluetooth 5.0 Silent Mouse: Compact, Portable, Dongle-Free Multi-Device connectivity with Microsoft Swift Pair | 3-Level Adjustable DPI up to 2400 | Battery Life: up to 1 yr</v>
      </c>
      <c r="B868" s="10" t="str">
        <f>IFERROR(TRIM(LEFT(Raw_Data!A868,FIND(" ",Raw_Data!A868)-1)),Raw_Data!A868)</f>
        <v>Lenovo</v>
      </c>
      <c r="C868" s="10" t="str">
        <f>IFERROR(LEFT(Raw_Data!B868,FIND("|",Raw_Data!B868)-1),Raw_Data!B868)</f>
        <v>Computers&amp;Accessories</v>
      </c>
      <c r="D868" s="11">
        <f>IFERROR(VALUE(SUBSTITUTE(SUBSTITUTE(TRIM(Raw_Data!C868),"₹",""),",","")),"")</f>
        <v>1439</v>
      </c>
      <c r="E868" s="11">
        <f>IFERROR(VALUE(SUBSTITUTE(SUBSTITUTE(TRIM(Raw_Data!D868),"₹",""),",","")),"")</f>
        <v>2890</v>
      </c>
      <c r="F868" s="12">
        <f>IFERROR(VALUE(SUBSTITUTE(Raw_Data!E868,"%",""))/100,"")</f>
        <v>0.5</v>
      </c>
      <c r="G868" s="13">
        <f>IFERROR(VALUE(Raw_Data!F868),"")</f>
        <v>4.5</v>
      </c>
      <c r="H868" s="14">
        <f>IFERROR(VALUE(SUBSTITUTE(Raw_Data!G868,",","")),"")</f>
        <v>4099</v>
      </c>
      <c r="I868" s="11">
        <f t="shared" si="52"/>
        <v>1451</v>
      </c>
      <c r="J868" s="11">
        <f t="shared" si="53"/>
        <v>5898461</v>
      </c>
      <c r="K868" s="1">
        <f t="shared" si="54"/>
        <v>4099.0000867999997</v>
      </c>
      <c r="L868" s="15">
        <f t="shared" si="55"/>
        <v>0.50008680000000005</v>
      </c>
    </row>
    <row r="869" spans="1:12" ht="15" customHeight="1" x14ac:dyDescent="0.25">
      <c r="A869" s="10" t="str">
        <f>Raw_Data!A869</f>
        <v>Boult Audio Airbass Propods X TWS Bluetooth Truly Wireless in Ear Earbuds with Mic, 32H Playtime, Fast Charging Type-C, Ipx5 Water Resistant, Touch Controls and Voice Assistant (Red)</v>
      </c>
      <c r="B869" s="10" t="str">
        <f>IFERROR(TRIM(LEFT(Raw_Data!A869,FIND(" ",Raw_Data!A869)-1)),Raw_Data!A869)</f>
        <v>Boult</v>
      </c>
      <c r="C869" s="10" t="str">
        <f>IFERROR(LEFT(Raw_Data!B869,FIND("|",Raw_Data!B869)-1),Raw_Data!B869)</f>
        <v>Electronics</v>
      </c>
      <c r="D869" s="11">
        <f>IFERROR(VALUE(SUBSTITUTE(SUBSTITUTE(TRIM(Raw_Data!C869),"₹",""),",","")),"")</f>
        <v>1099</v>
      </c>
      <c r="E869" s="11">
        <f>IFERROR(VALUE(SUBSTITUTE(SUBSTITUTE(TRIM(Raw_Data!D869),"₹",""),",","")),"")</f>
        <v>5999</v>
      </c>
      <c r="F869" s="12">
        <f>IFERROR(VALUE(SUBSTITUTE(Raw_Data!E869,"%",""))/100,"")</f>
        <v>0.82</v>
      </c>
      <c r="G869" s="13">
        <f>IFERROR(VALUE(Raw_Data!F869),"")</f>
        <v>3.5</v>
      </c>
      <c r="H869" s="14">
        <f>IFERROR(VALUE(SUBSTITUTE(Raw_Data!G869,",","")),"")</f>
        <v>12966</v>
      </c>
      <c r="I869" s="11">
        <f t="shared" si="52"/>
        <v>4900</v>
      </c>
      <c r="J869" s="11">
        <f t="shared" si="53"/>
        <v>14249634</v>
      </c>
      <c r="K869" s="1">
        <f t="shared" si="54"/>
        <v>12966.0000869</v>
      </c>
      <c r="L869" s="15">
        <f t="shared" si="55"/>
        <v>0.82008689999999995</v>
      </c>
    </row>
    <row r="870" spans="1:12" ht="15" customHeight="1" x14ac:dyDescent="0.25">
      <c r="A870" s="10" t="str">
        <f>Raw_Data!A870</f>
        <v>Classmate Soft Cover 6 Subject Spiral Binding Notebook, Unruled, 300 Pages</v>
      </c>
      <c r="B870" s="10" t="str">
        <f>IFERROR(TRIM(LEFT(Raw_Data!A870,FIND(" ",Raw_Data!A870)-1)),Raw_Data!A870)</f>
        <v>Classmate</v>
      </c>
      <c r="C870" s="10" t="str">
        <f>IFERROR(LEFT(Raw_Data!B870,FIND("|",Raw_Data!B870)-1),Raw_Data!B870)</f>
        <v>OfficeProducts</v>
      </c>
      <c r="D870" s="11">
        <f>IFERROR(VALUE(SUBSTITUTE(SUBSTITUTE(TRIM(Raw_Data!C870),"₹",""),",","")),"")</f>
        <v>157</v>
      </c>
      <c r="E870" s="11">
        <f>IFERROR(VALUE(SUBSTITUTE(SUBSTITUTE(TRIM(Raw_Data!D870),"₹",""),",","")),"")</f>
        <v>160</v>
      </c>
      <c r="F870" s="12">
        <f>IFERROR(VALUE(SUBSTITUTE(Raw_Data!E870,"%",""))/100,"")</f>
        <v>0.02</v>
      </c>
      <c r="G870" s="13">
        <f>IFERROR(VALUE(Raw_Data!F870),"")</f>
        <v>4.5</v>
      </c>
      <c r="H870" s="14">
        <f>IFERROR(VALUE(SUBSTITUTE(Raw_Data!G870,",","")),"")</f>
        <v>4428</v>
      </c>
      <c r="I870" s="11">
        <f t="shared" si="52"/>
        <v>3</v>
      </c>
      <c r="J870" s="11">
        <f t="shared" si="53"/>
        <v>695196</v>
      </c>
      <c r="K870" s="1">
        <f t="shared" si="54"/>
        <v>4428.0000870000003</v>
      </c>
      <c r="L870" s="15">
        <f t="shared" si="55"/>
        <v>2.0087000000000001E-2</v>
      </c>
    </row>
    <row r="871" spans="1:12" ht="15" customHeight="1" x14ac:dyDescent="0.25">
      <c r="A871" s="10" t="str">
        <f>Raw_Data!A871</f>
        <v>TP-Link Nano AC600 USB Wi-Fi Adapter(Archer T2U Nano)- 2.4G/5G Dual Band Wireless Network Adapter for PC Desktop Laptop, Mini Travel Size, Supports Windows 11,10, 8.1, 8, 7, XP/Mac OS 10.9-10.15</v>
      </c>
      <c r="B871" s="10" t="str">
        <f>IFERROR(TRIM(LEFT(Raw_Data!A871,FIND(" ",Raw_Data!A871)-1)),Raw_Data!A871)</f>
        <v>TP-Link</v>
      </c>
      <c r="C871" s="10" t="str">
        <f>IFERROR(LEFT(Raw_Data!B871,FIND("|",Raw_Data!B871)-1),Raw_Data!B871)</f>
        <v>Computers&amp;Accessories</v>
      </c>
      <c r="D871" s="11">
        <f>IFERROR(VALUE(SUBSTITUTE(SUBSTITUTE(TRIM(Raw_Data!C871),"₹",""),",","")),"")</f>
        <v>999</v>
      </c>
      <c r="E871" s="11">
        <f>IFERROR(VALUE(SUBSTITUTE(SUBSTITUTE(TRIM(Raw_Data!D871),"₹",""),",","")),"")</f>
        <v>1599</v>
      </c>
      <c r="F871" s="12">
        <f>IFERROR(VALUE(SUBSTITUTE(Raw_Data!E871,"%",""))/100,"")</f>
        <v>0.38</v>
      </c>
      <c r="G871" s="13">
        <f>IFERROR(VALUE(Raw_Data!F871),"")</f>
        <v>4.3</v>
      </c>
      <c r="H871" s="14">
        <f>IFERROR(VALUE(SUBSTITUTE(Raw_Data!G871,",","")),"")</f>
        <v>12093</v>
      </c>
      <c r="I871" s="11">
        <f t="shared" si="52"/>
        <v>600</v>
      </c>
      <c r="J871" s="11">
        <f t="shared" si="53"/>
        <v>12080907</v>
      </c>
      <c r="K871" s="1">
        <f t="shared" si="54"/>
        <v>12093.000087099999</v>
      </c>
      <c r="L871" s="15">
        <f t="shared" si="55"/>
        <v>0.38008710000000001</v>
      </c>
    </row>
    <row r="872" spans="1:12" ht="15" customHeight="1" x14ac:dyDescent="0.25">
      <c r="A872" s="10" t="str">
        <f>Raw_Data!A872</f>
        <v>LS LAPSTER Quality Assured Universal Silicone 15.6" Keyboard Protector Skin|| Keyboard Dust Cover|| Keyboard Skin for 15.6" Laptop| 15.6" Keyguard| (3.93 x 11.81 x 0.39 inches)</v>
      </c>
      <c r="B872" s="10" t="str">
        <f>IFERROR(TRIM(LEFT(Raw_Data!A872,FIND(" ",Raw_Data!A872)-1)),Raw_Data!A872)</f>
        <v>LS</v>
      </c>
      <c r="C872" s="10" t="str">
        <f>IFERROR(LEFT(Raw_Data!B872,FIND("|",Raw_Data!B872)-1),Raw_Data!B872)</f>
        <v>Computers&amp;Accessories</v>
      </c>
      <c r="D872" s="11">
        <f>IFERROR(VALUE(SUBSTITUTE(SUBSTITUTE(TRIM(Raw_Data!C872),"₹",""),",","")),"")</f>
        <v>115</v>
      </c>
      <c r="E872" s="11">
        <f>IFERROR(VALUE(SUBSTITUTE(SUBSTITUTE(TRIM(Raw_Data!D872),"₹",""),",","")),"")</f>
        <v>999</v>
      </c>
      <c r="F872" s="12">
        <f>IFERROR(VALUE(SUBSTITUTE(Raw_Data!E872,"%",""))/100,"")</f>
        <v>0.88</v>
      </c>
      <c r="G872" s="13">
        <f>IFERROR(VALUE(Raw_Data!F872),"")</f>
        <v>3.3</v>
      </c>
      <c r="H872" s="14">
        <f>IFERROR(VALUE(SUBSTITUTE(Raw_Data!G872,",","")),"")</f>
        <v>5692</v>
      </c>
      <c r="I872" s="11">
        <f t="shared" si="52"/>
        <v>884</v>
      </c>
      <c r="J872" s="11">
        <f t="shared" si="53"/>
        <v>654580</v>
      </c>
      <c r="K872" s="1">
        <f t="shared" si="54"/>
        <v>5692.0000872000001</v>
      </c>
      <c r="L872" s="15">
        <f t="shared" si="55"/>
        <v>0.88008719999999996</v>
      </c>
    </row>
    <row r="873" spans="1:12" ht="15" customHeight="1" x14ac:dyDescent="0.25">
      <c r="A873" s="10" t="str">
        <f>Raw_Data!A873</f>
        <v>KLAM LCD Writing Tablet Screenwriting Toys Board Smart Digital E-Note Pad 8.5 Inch Light Weight Magic Slate for Drawing Playing Noting by Kids and Adults Best Birthday Gift Girls Boys, Multicolor</v>
      </c>
      <c r="B873" s="10" t="str">
        <f>IFERROR(TRIM(LEFT(Raw_Data!A873,FIND(" ",Raw_Data!A873)-1)),Raw_Data!A873)</f>
        <v>KLAM</v>
      </c>
      <c r="C873" s="10" t="str">
        <f>IFERROR(LEFT(Raw_Data!B873,FIND("|",Raw_Data!B873)-1),Raw_Data!B873)</f>
        <v>Computers&amp;Accessories</v>
      </c>
      <c r="D873" s="11">
        <f>IFERROR(VALUE(SUBSTITUTE(SUBSTITUTE(TRIM(Raw_Data!C873),"₹",""),",","")),"")</f>
        <v>175</v>
      </c>
      <c r="E873" s="11">
        <f>IFERROR(VALUE(SUBSTITUTE(SUBSTITUTE(TRIM(Raw_Data!D873),"₹",""),",","")),"")</f>
        <v>499</v>
      </c>
      <c r="F873" s="12">
        <f>IFERROR(VALUE(SUBSTITUTE(Raw_Data!E873,"%",""))/100,"")</f>
        <v>0.65</v>
      </c>
      <c r="G873" s="13">
        <f>IFERROR(VALUE(Raw_Data!F873),"")</f>
        <v>4.0999999999999996</v>
      </c>
      <c r="H873" s="14">
        <f>IFERROR(VALUE(SUBSTITUTE(Raw_Data!G873,",","")),"")</f>
        <v>21</v>
      </c>
      <c r="I873" s="11">
        <f t="shared" si="52"/>
        <v>324</v>
      </c>
      <c r="J873" s="11">
        <f t="shared" si="53"/>
        <v>3675</v>
      </c>
      <c r="K873" s="1">
        <f t="shared" si="54"/>
        <v>21.000087300000001</v>
      </c>
      <c r="L873" s="15">
        <f t="shared" si="55"/>
        <v>0.65008730000000003</v>
      </c>
    </row>
    <row r="874" spans="1:12" ht="15" customHeight="1" x14ac:dyDescent="0.25">
      <c r="A874" s="10" t="str">
        <f>Raw_Data!A874</f>
        <v>CP PLUS 2MP Full HD Smart Wi-fi CCTV Security Camera | 360° with Pan Tilt | Two Way Talk | Cloud Monitor | Motion Detect | Night Vision | Supports SD Card (Up to 128 GB) | Alexa &amp; Ok Google | CP-E21A</v>
      </c>
      <c r="B874" s="10" t="str">
        <f>IFERROR(TRIM(LEFT(Raw_Data!A874,FIND(" ",Raw_Data!A874)-1)),Raw_Data!A874)</f>
        <v>CP</v>
      </c>
      <c r="C874" s="10" t="str">
        <f>IFERROR(LEFT(Raw_Data!B874,FIND("|",Raw_Data!B874)-1),Raw_Data!B874)</f>
        <v>Electronics</v>
      </c>
      <c r="D874" s="11">
        <f>IFERROR(VALUE(SUBSTITUTE(SUBSTITUTE(TRIM(Raw_Data!C874),"₹",""),",","")),"")</f>
        <v>1999</v>
      </c>
      <c r="E874" s="11">
        <f>IFERROR(VALUE(SUBSTITUTE(SUBSTITUTE(TRIM(Raw_Data!D874),"₹",""),",","")),"")</f>
        <v>4700</v>
      </c>
      <c r="F874" s="12">
        <f>IFERROR(VALUE(SUBSTITUTE(Raw_Data!E874,"%",""))/100,"")</f>
        <v>0.56999999999999995</v>
      </c>
      <c r="G874" s="13">
        <f>IFERROR(VALUE(Raw_Data!F874),"")</f>
        <v>3.8</v>
      </c>
      <c r="H874" s="14">
        <f>IFERROR(VALUE(SUBSTITUTE(Raw_Data!G874,",","")),"")</f>
        <v>1880</v>
      </c>
      <c r="I874" s="11">
        <f t="shared" si="52"/>
        <v>2701</v>
      </c>
      <c r="J874" s="11">
        <f t="shared" si="53"/>
        <v>3758120</v>
      </c>
      <c r="K874" s="1">
        <f t="shared" si="54"/>
        <v>1880.0000874</v>
      </c>
      <c r="L874" s="15">
        <f t="shared" si="55"/>
        <v>0.57008739999999991</v>
      </c>
    </row>
    <row r="875" spans="1:12" ht="15" customHeight="1" x14ac:dyDescent="0.25">
      <c r="A875" s="10" t="str">
        <f>Raw_Data!A875</f>
        <v>HP Deskjet 2331 Colour Printer, Scanner and Copier for Home/Small Office, Compact Size, Reliable, Easy Set-Up Through Smart App On Your Pc Connected Through USB, Ideal for Home.</v>
      </c>
      <c r="B875" s="10" t="str">
        <f>IFERROR(TRIM(LEFT(Raw_Data!A875,FIND(" ",Raw_Data!A875)-1)),Raw_Data!A875)</f>
        <v>HP</v>
      </c>
      <c r="C875" s="10" t="str">
        <f>IFERROR(LEFT(Raw_Data!B875,FIND("|",Raw_Data!B875)-1),Raw_Data!B875)</f>
        <v>Computers&amp;Accessories</v>
      </c>
      <c r="D875" s="11">
        <f>IFERROR(VALUE(SUBSTITUTE(SUBSTITUTE(TRIM(Raw_Data!C875),"₹",""),",","")),"")</f>
        <v>3999</v>
      </c>
      <c r="E875" s="11">
        <f>IFERROR(VALUE(SUBSTITUTE(SUBSTITUTE(TRIM(Raw_Data!D875),"₹",""),",","")),"")</f>
        <v>4332.96</v>
      </c>
      <c r="F875" s="12">
        <f>IFERROR(VALUE(SUBSTITUTE(Raw_Data!E875,"%",""))/100,"")</f>
        <v>0.08</v>
      </c>
      <c r="G875" s="13">
        <f>IFERROR(VALUE(Raw_Data!F875),"")</f>
        <v>3.5</v>
      </c>
      <c r="H875" s="14">
        <f>IFERROR(VALUE(SUBSTITUTE(Raw_Data!G875,",","")),"")</f>
        <v>21762</v>
      </c>
      <c r="I875" s="11">
        <f t="shared" si="52"/>
        <v>333.96000000000004</v>
      </c>
      <c r="J875" s="11">
        <f t="shared" si="53"/>
        <v>87026238</v>
      </c>
      <c r="K875" s="1">
        <f t="shared" si="54"/>
        <v>21762.000087500001</v>
      </c>
      <c r="L875" s="15">
        <f t="shared" si="55"/>
        <v>8.0087500000000006E-2</v>
      </c>
    </row>
    <row r="876" spans="1:12" ht="15" customHeight="1" x14ac:dyDescent="0.25">
      <c r="A876" s="10" t="str">
        <f>Raw_Data!A876</f>
        <v>D-Link DIR-615 Wi-fi Ethernet-N300 Single_band 300Mbps Router, Mobile App Support, Router | AP | Repeater | Client Modes(Black)</v>
      </c>
      <c r="B876" s="10" t="str">
        <f>IFERROR(TRIM(LEFT(Raw_Data!A876,FIND(" ",Raw_Data!A876)-1)),Raw_Data!A876)</f>
        <v>D-Link</v>
      </c>
      <c r="C876" s="10" t="str">
        <f>IFERROR(LEFT(Raw_Data!B876,FIND("|",Raw_Data!B876)-1),Raw_Data!B876)</f>
        <v>Computers&amp;Accessories</v>
      </c>
      <c r="D876" s="11">
        <f>IFERROR(VALUE(SUBSTITUTE(SUBSTITUTE(TRIM(Raw_Data!C876),"₹",""),",","")),"")</f>
        <v>899</v>
      </c>
      <c r="E876" s="11">
        <f>IFERROR(VALUE(SUBSTITUTE(SUBSTITUTE(TRIM(Raw_Data!D876),"₹",""),",","")),"")</f>
        <v>1800</v>
      </c>
      <c r="F876" s="12">
        <f>IFERROR(VALUE(SUBSTITUTE(Raw_Data!E876,"%",""))/100,"")</f>
        <v>0.5</v>
      </c>
      <c r="G876" s="13">
        <f>IFERROR(VALUE(Raw_Data!F876),"")</f>
        <v>4.0999999999999996</v>
      </c>
      <c r="H876" s="14">
        <f>IFERROR(VALUE(SUBSTITUTE(Raw_Data!G876,",","")),"")</f>
        <v>22375</v>
      </c>
      <c r="I876" s="11">
        <f t="shared" si="52"/>
        <v>901</v>
      </c>
      <c r="J876" s="11">
        <f t="shared" si="53"/>
        <v>20115125</v>
      </c>
      <c r="K876" s="1">
        <f t="shared" si="54"/>
        <v>22375.000087600001</v>
      </c>
      <c r="L876" s="15">
        <f t="shared" si="55"/>
        <v>0.50008759999999997</v>
      </c>
    </row>
    <row r="877" spans="1:12" ht="15" customHeight="1" x14ac:dyDescent="0.25">
      <c r="A877" s="10" t="str">
        <f>Raw_Data!A877</f>
        <v>RPM Euro Games Gaming Mousepad Speed Type Extended Large (Size - 800 mm x 300 mm x 3 mm)</v>
      </c>
      <c r="B877" s="10" t="str">
        <f>IFERROR(TRIM(LEFT(Raw_Data!A877,FIND(" ",Raw_Data!A877)-1)),Raw_Data!A877)</f>
        <v>RPM</v>
      </c>
      <c r="C877" s="10" t="str">
        <f>IFERROR(LEFT(Raw_Data!B877,FIND("|",Raw_Data!B877)-1),Raw_Data!B877)</f>
        <v>Computers&amp;Accessories</v>
      </c>
      <c r="D877" s="11">
        <f>IFERROR(VALUE(SUBSTITUTE(SUBSTITUTE(TRIM(Raw_Data!C877),"₹",""),",","")),"")</f>
        <v>299</v>
      </c>
      <c r="E877" s="11">
        <f>IFERROR(VALUE(SUBSTITUTE(SUBSTITUTE(TRIM(Raw_Data!D877),"₹",""),",","")),"")</f>
        <v>990</v>
      </c>
      <c r="F877" s="12">
        <f>IFERROR(VALUE(SUBSTITUTE(Raw_Data!E877,"%",""))/100,"")</f>
        <v>0.7</v>
      </c>
      <c r="G877" s="13">
        <f>IFERROR(VALUE(Raw_Data!F877),"")</f>
        <v>4.5</v>
      </c>
      <c r="H877" s="14">
        <f>IFERROR(VALUE(SUBSTITUTE(Raw_Data!G877,",","")),"")</f>
        <v>2453</v>
      </c>
      <c r="I877" s="11">
        <f t="shared" si="52"/>
        <v>691</v>
      </c>
      <c r="J877" s="11">
        <f t="shared" si="53"/>
        <v>733447</v>
      </c>
      <c r="K877" s="1">
        <f t="shared" si="54"/>
        <v>2453.0000877000002</v>
      </c>
      <c r="L877" s="15">
        <f t="shared" si="55"/>
        <v>0.70008769999999998</v>
      </c>
    </row>
    <row r="878" spans="1:12" ht="15" customHeight="1" x14ac:dyDescent="0.25">
      <c r="A878" s="10" t="str">
        <f>Raw_Data!A878</f>
        <v>Wacom One by CTL-472/K0-CX Digital Drawing Graphics Pen Tablet (Red &amp; Black) Small (6-inch x 3.5-inch)(15x8cm) | Battery Free Cordless Pen with 2048 Pressure Level</v>
      </c>
      <c r="B878" s="10" t="str">
        <f>IFERROR(TRIM(LEFT(Raw_Data!A878,FIND(" ",Raw_Data!A878)-1)),Raw_Data!A878)</f>
        <v>Wacom</v>
      </c>
      <c r="C878" s="10" t="str">
        <f>IFERROR(LEFT(Raw_Data!B878,FIND("|",Raw_Data!B878)-1),Raw_Data!B878)</f>
        <v>Computers&amp;Accessories</v>
      </c>
      <c r="D878" s="11">
        <f>IFERROR(VALUE(SUBSTITUTE(SUBSTITUTE(TRIM(Raw_Data!C878),"₹",""),",","")),"")</f>
        <v>3303</v>
      </c>
      <c r="E878" s="11">
        <f>IFERROR(VALUE(SUBSTITUTE(SUBSTITUTE(TRIM(Raw_Data!D878),"₹",""),",","")),"")</f>
        <v>4699</v>
      </c>
      <c r="F878" s="12">
        <f>IFERROR(VALUE(SUBSTITUTE(Raw_Data!E878,"%",""))/100,"")</f>
        <v>0.3</v>
      </c>
      <c r="G878" s="13">
        <f>IFERROR(VALUE(Raw_Data!F878),"")</f>
        <v>4.4000000000000004</v>
      </c>
      <c r="H878" s="14">
        <f>IFERROR(VALUE(SUBSTITUTE(Raw_Data!G878,",","")),"")</f>
        <v>13544</v>
      </c>
      <c r="I878" s="11">
        <f t="shared" si="52"/>
        <v>1396</v>
      </c>
      <c r="J878" s="11">
        <f t="shared" si="53"/>
        <v>44735832</v>
      </c>
      <c r="K878" s="1">
        <f t="shared" si="54"/>
        <v>13544.000087799999</v>
      </c>
      <c r="L878" s="15">
        <f t="shared" si="55"/>
        <v>0.30008780000000002</v>
      </c>
    </row>
    <row r="879" spans="1:12" ht="15" customHeight="1" x14ac:dyDescent="0.25">
      <c r="A879" s="10" t="str">
        <f>Raw_Data!A879</f>
        <v>Lenovo 300 FHD Webcam with Full Stereo Dual Built-in mics | FHD 1080P 2.1 Megapixel CMOS Camera |Privacy Shutter | Ultra-Wide 95 Lens | 360 Rotation | Flexible Mount, Plug-n-Play | Cloud Grey</v>
      </c>
      <c r="B879" s="10" t="str">
        <f>IFERROR(TRIM(LEFT(Raw_Data!A879,FIND(" ",Raw_Data!A879)-1)),Raw_Data!A879)</f>
        <v>Lenovo</v>
      </c>
      <c r="C879" s="10" t="str">
        <f>IFERROR(LEFT(Raw_Data!B879,FIND("|",Raw_Data!B879)-1),Raw_Data!B879)</f>
        <v>Computers&amp;Accessories</v>
      </c>
      <c r="D879" s="11">
        <f>IFERROR(VALUE(SUBSTITUTE(SUBSTITUTE(TRIM(Raw_Data!C879),"₹",""),",","")),"")</f>
        <v>1890</v>
      </c>
      <c r="E879" s="11">
        <f>IFERROR(VALUE(SUBSTITUTE(SUBSTITUTE(TRIM(Raw_Data!D879),"₹",""),",","")),"")</f>
        <v>5490</v>
      </c>
      <c r="F879" s="12">
        <f>IFERROR(VALUE(SUBSTITUTE(Raw_Data!E879,"%",""))/100,"")</f>
        <v>0.66</v>
      </c>
      <c r="G879" s="13">
        <f>IFERROR(VALUE(Raw_Data!F879),"")</f>
        <v>4.0999999999999996</v>
      </c>
      <c r="H879" s="14">
        <f>IFERROR(VALUE(SUBSTITUTE(Raw_Data!G879,",","")),"")</f>
        <v>10976</v>
      </c>
      <c r="I879" s="11">
        <f t="shared" si="52"/>
        <v>3600</v>
      </c>
      <c r="J879" s="11">
        <f t="shared" si="53"/>
        <v>20744640</v>
      </c>
      <c r="K879" s="1">
        <f t="shared" si="54"/>
        <v>10976.0000879</v>
      </c>
      <c r="L879" s="15">
        <f t="shared" si="55"/>
        <v>0.66008790000000006</v>
      </c>
    </row>
    <row r="880" spans="1:12" ht="15" customHeight="1" x14ac:dyDescent="0.25">
      <c r="A880" s="10" t="str">
        <f>Raw_Data!A880</f>
        <v>Parker Quink Ink Bottle (Black)</v>
      </c>
      <c r="B880" s="10" t="str">
        <f>IFERROR(TRIM(LEFT(Raw_Data!A880,FIND(" ",Raw_Data!A880)-1)),Raw_Data!A880)</f>
        <v>Parker</v>
      </c>
      <c r="C880" s="10" t="str">
        <f>IFERROR(LEFT(Raw_Data!B880,FIND("|",Raw_Data!B880)-1),Raw_Data!B880)</f>
        <v>OfficeProducts</v>
      </c>
      <c r="D880" s="11">
        <f>IFERROR(VALUE(SUBSTITUTE(SUBSTITUTE(TRIM(Raw_Data!C880),"₹",""),",","")),"")</f>
        <v>90</v>
      </c>
      <c r="E880" s="11">
        <f>IFERROR(VALUE(SUBSTITUTE(SUBSTITUTE(TRIM(Raw_Data!D880),"₹",""),",","")),"")</f>
        <v>100</v>
      </c>
      <c r="F880" s="12">
        <f>IFERROR(VALUE(SUBSTITUTE(Raw_Data!E880,"%",""))/100,"")</f>
        <v>0.1</v>
      </c>
      <c r="G880" s="13">
        <f>IFERROR(VALUE(Raw_Data!F880),"")</f>
        <v>4.3</v>
      </c>
      <c r="H880" s="14">
        <f>IFERROR(VALUE(SUBSTITUTE(Raw_Data!G880,",","")),"")</f>
        <v>3061</v>
      </c>
      <c r="I880" s="11">
        <f t="shared" si="52"/>
        <v>10</v>
      </c>
      <c r="J880" s="11">
        <f t="shared" si="53"/>
        <v>275490</v>
      </c>
      <c r="K880" s="1">
        <f t="shared" si="54"/>
        <v>3061.0000879999998</v>
      </c>
      <c r="L880" s="15">
        <f t="shared" si="55"/>
        <v>0.10008800000000001</v>
      </c>
    </row>
    <row r="881" spans="1:12" ht="15" customHeight="1" x14ac:dyDescent="0.25">
      <c r="A881" s="10" t="str">
        <f>Raw_Data!A881</f>
        <v>Sony WI-C100 Wireless Headphones with Customizable Equalizer for Deep Bass &amp; 25 Hrs Battery, DSEE-Upscale, Splash Proof, 360RA, Fast Pair, in-Ear Bluetooth Headset with mic for Phone Calls (Black)</v>
      </c>
      <c r="B881" s="10" t="str">
        <f>IFERROR(TRIM(LEFT(Raw_Data!A881,FIND(" ",Raw_Data!A881)-1)),Raw_Data!A881)</f>
        <v>Sony</v>
      </c>
      <c r="C881" s="10" t="str">
        <f>IFERROR(LEFT(Raw_Data!B881,FIND("|",Raw_Data!B881)-1),Raw_Data!B881)</f>
        <v>Electronics</v>
      </c>
      <c r="D881" s="11">
        <f>IFERROR(VALUE(SUBSTITUTE(SUBSTITUTE(TRIM(Raw_Data!C881),"₹",""),",","")),"")</f>
        <v>1599</v>
      </c>
      <c r="E881" s="11">
        <f>IFERROR(VALUE(SUBSTITUTE(SUBSTITUTE(TRIM(Raw_Data!D881),"₹",""),",","")),"")</f>
        <v>2790</v>
      </c>
      <c r="F881" s="12">
        <f>IFERROR(VALUE(SUBSTITUTE(Raw_Data!E881,"%",""))/100,"")</f>
        <v>0.43</v>
      </c>
      <c r="G881" s="13">
        <f>IFERROR(VALUE(Raw_Data!F881),"")</f>
        <v>3.6</v>
      </c>
      <c r="H881" s="14">
        <f>IFERROR(VALUE(SUBSTITUTE(Raw_Data!G881,",","")),"")</f>
        <v>2272</v>
      </c>
      <c r="I881" s="11">
        <f t="shared" si="52"/>
        <v>1191</v>
      </c>
      <c r="J881" s="11">
        <f t="shared" si="53"/>
        <v>3632928</v>
      </c>
      <c r="K881" s="1">
        <f t="shared" si="54"/>
        <v>2272.0000881000001</v>
      </c>
      <c r="L881" s="15">
        <f t="shared" si="55"/>
        <v>0.43008809999999997</v>
      </c>
    </row>
    <row r="882" spans="1:12" ht="15" customHeight="1" x14ac:dyDescent="0.25">
      <c r="A882" s="10" t="str">
        <f>Raw_Data!A882</f>
        <v>Zebronics, ZEB-NC3300 USB Powered Laptop Cooling Pad with Dual Fan, Dual USB Port and Blue LED Lights</v>
      </c>
      <c r="B882" s="10" t="str">
        <f>IFERROR(TRIM(LEFT(Raw_Data!A882,FIND(" ",Raw_Data!A882)-1)),Raw_Data!A882)</f>
        <v>Zebronics,</v>
      </c>
      <c r="C882" s="10" t="str">
        <f>IFERROR(LEFT(Raw_Data!B882,FIND("|",Raw_Data!B882)-1),Raw_Data!B882)</f>
        <v>Computers&amp;Accessories</v>
      </c>
      <c r="D882" s="11">
        <f>IFERROR(VALUE(SUBSTITUTE(SUBSTITUTE(TRIM(Raw_Data!C882),"₹",""),",","")),"")</f>
        <v>599</v>
      </c>
      <c r="E882" s="11">
        <f>IFERROR(VALUE(SUBSTITUTE(SUBSTITUTE(TRIM(Raw_Data!D882),"₹",""),",","")),"")</f>
        <v>999</v>
      </c>
      <c r="F882" s="12">
        <f>IFERROR(VALUE(SUBSTITUTE(Raw_Data!E882,"%",""))/100,"")</f>
        <v>0.4</v>
      </c>
      <c r="G882" s="13">
        <f>IFERROR(VALUE(Raw_Data!F882),"")</f>
        <v>4</v>
      </c>
      <c r="H882" s="14">
        <f>IFERROR(VALUE(SUBSTITUTE(Raw_Data!G882,",","")),"")</f>
        <v>7601</v>
      </c>
      <c r="I882" s="11">
        <f t="shared" si="52"/>
        <v>400</v>
      </c>
      <c r="J882" s="11">
        <f t="shared" si="53"/>
        <v>4552999</v>
      </c>
      <c r="K882" s="1">
        <f t="shared" si="54"/>
        <v>7601.0000882000004</v>
      </c>
      <c r="L882" s="15">
        <f t="shared" si="55"/>
        <v>0.4000882</v>
      </c>
    </row>
    <row r="883" spans="1:12" ht="15" customHeight="1" x14ac:dyDescent="0.25">
      <c r="A883" s="10" t="str">
        <f>Raw_Data!A883</f>
        <v>D-Link DWA-131 300 Mbps Wireless Nano USB Adapter (Black)</v>
      </c>
      <c r="B883" s="10" t="str">
        <f>IFERROR(TRIM(LEFT(Raw_Data!A883,FIND(" ",Raw_Data!A883)-1)),Raw_Data!A883)</f>
        <v>D-Link</v>
      </c>
      <c r="C883" s="10" t="str">
        <f>IFERROR(LEFT(Raw_Data!B883,FIND("|",Raw_Data!B883)-1),Raw_Data!B883)</f>
        <v>Computers&amp;Accessories</v>
      </c>
      <c r="D883" s="11">
        <f>IFERROR(VALUE(SUBSTITUTE(SUBSTITUTE(TRIM(Raw_Data!C883),"₹",""),",","")),"")</f>
        <v>507</v>
      </c>
      <c r="E883" s="11">
        <f>IFERROR(VALUE(SUBSTITUTE(SUBSTITUTE(TRIM(Raw_Data!D883),"₹",""),",","")),"")</f>
        <v>1208</v>
      </c>
      <c r="F883" s="12">
        <f>IFERROR(VALUE(SUBSTITUTE(Raw_Data!E883,"%",""))/100,"")</f>
        <v>0.57999999999999996</v>
      </c>
      <c r="G883" s="13">
        <f>IFERROR(VALUE(Raw_Data!F883),"")</f>
        <v>4.0999999999999996</v>
      </c>
      <c r="H883" s="14">
        <f>IFERROR(VALUE(SUBSTITUTE(Raw_Data!G883,",","")),"")</f>
        <v>8131</v>
      </c>
      <c r="I883" s="11">
        <f t="shared" si="52"/>
        <v>701</v>
      </c>
      <c r="J883" s="11">
        <f t="shared" si="53"/>
        <v>4122417</v>
      </c>
      <c r="K883" s="1">
        <f t="shared" si="54"/>
        <v>8131.0000883000002</v>
      </c>
      <c r="L883" s="15">
        <f t="shared" si="55"/>
        <v>0.5800883</v>
      </c>
    </row>
    <row r="884" spans="1:12" ht="15" customHeight="1" x14ac:dyDescent="0.25">
      <c r="A884" s="10" t="str">
        <f>Raw_Data!A884</f>
        <v>Tukzer Gel Mouse Pad Wrist Rest Memory-Foam Ergonomic Mousepad| Cushion Wrist Support &amp; Pain Relief| Suitable for Gaming, Computer, Laptop, Home &amp; Office Non-Slip Rubber Base (Blue)</v>
      </c>
      <c r="B884" s="10" t="str">
        <f>IFERROR(TRIM(LEFT(Raw_Data!A884,FIND(" ",Raw_Data!A884)-1)),Raw_Data!A884)</f>
        <v>Tukzer</v>
      </c>
      <c r="C884" s="10" t="str">
        <f>IFERROR(LEFT(Raw_Data!B884,FIND("|",Raw_Data!B884)-1),Raw_Data!B884)</f>
        <v>Computers&amp;Accessories</v>
      </c>
      <c r="D884" s="11">
        <f>IFERROR(VALUE(SUBSTITUTE(SUBSTITUTE(TRIM(Raw_Data!C884),"₹",""),",","")),"")</f>
        <v>425</v>
      </c>
      <c r="E884" s="11">
        <f>IFERROR(VALUE(SUBSTITUTE(SUBSTITUTE(TRIM(Raw_Data!D884),"₹",""),",","")),"")</f>
        <v>899</v>
      </c>
      <c r="F884" s="12">
        <f>IFERROR(VALUE(SUBSTITUTE(Raw_Data!E884,"%",""))/100,"")</f>
        <v>0.53</v>
      </c>
      <c r="G884" s="13">
        <f>IFERROR(VALUE(Raw_Data!F884),"")</f>
        <v>4.5</v>
      </c>
      <c r="H884" s="14">
        <f>IFERROR(VALUE(SUBSTITUTE(Raw_Data!G884,",","")),"")</f>
        <v>4219</v>
      </c>
      <c r="I884" s="11">
        <f t="shared" si="52"/>
        <v>474</v>
      </c>
      <c r="J884" s="11">
        <f t="shared" si="53"/>
        <v>1793075</v>
      </c>
      <c r="K884" s="1">
        <f t="shared" si="54"/>
        <v>4219.0000884000001</v>
      </c>
      <c r="L884" s="15">
        <f t="shared" si="55"/>
        <v>0.53008840000000002</v>
      </c>
    </row>
    <row r="885" spans="1:12" ht="15" customHeight="1" x14ac:dyDescent="0.25">
      <c r="A885" s="10" t="str">
        <f>Raw_Data!A885</f>
        <v>Infinity (JBL Glide 510, 72 Hrs Playtime with Quick Charge, Wireless On Ear Headphone with Mic, Deep Bass, Dual Equalizer, Bluetooth 5.0 with Voice Assistant Support (Black)</v>
      </c>
      <c r="B885" s="10" t="str">
        <f>IFERROR(TRIM(LEFT(Raw_Data!A885,FIND(" ",Raw_Data!A885)-1)),Raw_Data!A885)</f>
        <v>Infinity</v>
      </c>
      <c r="C885" s="10" t="str">
        <f>IFERROR(LEFT(Raw_Data!B885,FIND("|",Raw_Data!B885)-1),Raw_Data!B885)</f>
        <v>Electronics</v>
      </c>
      <c r="D885" s="11">
        <f>IFERROR(VALUE(SUBSTITUTE(SUBSTITUTE(TRIM(Raw_Data!C885),"₹",""),",","")),"")</f>
        <v>1499</v>
      </c>
      <c r="E885" s="11">
        <f>IFERROR(VALUE(SUBSTITUTE(SUBSTITUTE(TRIM(Raw_Data!D885),"₹",""),",","")),"")</f>
        <v>3999</v>
      </c>
      <c r="F885" s="12">
        <f>IFERROR(VALUE(SUBSTITUTE(Raw_Data!E885,"%",""))/100,"")</f>
        <v>0.63</v>
      </c>
      <c r="G885" s="13">
        <f>IFERROR(VALUE(Raw_Data!F885),"")</f>
        <v>4.2</v>
      </c>
      <c r="H885" s="14">
        <f>IFERROR(VALUE(SUBSTITUTE(Raw_Data!G885,",","")),"")</f>
        <v>42775</v>
      </c>
      <c r="I885" s="11">
        <f t="shared" si="52"/>
        <v>2500</v>
      </c>
      <c r="J885" s="11">
        <f t="shared" si="53"/>
        <v>64119725</v>
      </c>
      <c r="K885" s="1">
        <f t="shared" si="54"/>
        <v>42775.000088499997</v>
      </c>
      <c r="L885" s="15">
        <f t="shared" si="55"/>
        <v>0.63008850000000005</v>
      </c>
    </row>
    <row r="886" spans="1:12" ht="15" customHeight="1" x14ac:dyDescent="0.25">
      <c r="A886" s="10" t="str">
        <f>Raw_Data!A886</f>
        <v>Robustrion Smart Trifold Hard Back Flip Stand Case Cover for Apple iPad 10.2 Cover iPad 9th Generation Cover 2021 8th Gen 2020 7th Gen 2019 Generation Case - Black</v>
      </c>
      <c r="B886" s="10" t="str">
        <f>IFERROR(TRIM(LEFT(Raw_Data!A886,FIND(" ",Raw_Data!A886)-1)),Raw_Data!A886)</f>
        <v>Robustrion</v>
      </c>
      <c r="C886" s="10" t="str">
        <f>IFERROR(LEFT(Raw_Data!B886,FIND("|",Raw_Data!B886)-1),Raw_Data!B886)</f>
        <v>Computers&amp;Accessories</v>
      </c>
      <c r="D886" s="11">
        <f>IFERROR(VALUE(SUBSTITUTE(SUBSTITUTE(TRIM(Raw_Data!C886),"₹",""),",","")),"")</f>
        <v>549</v>
      </c>
      <c r="E886" s="11">
        <f>IFERROR(VALUE(SUBSTITUTE(SUBSTITUTE(TRIM(Raw_Data!D886),"₹",""),",","")),"")</f>
        <v>2499</v>
      </c>
      <c r="F886" s="12">
        <f>IFERROR(VALUE(SUBSTITUTE(Raw_Data!E886,"%",""))/100,"")</f>
        <v>0.78</v>
      </c>
      <c r="G886" s="13">
        <f>IFERROR(VALUE(Raw_Data!F886),"")</f>
        <v>4.3</v>
      </c>
      <c r="H886" s="14">
        <f>IFERROR(VALUE(SUBSTITUTE(Raw_Data!G886,",","")),"")</f>
        <v>5556</v>
      </c>
      <c r="I886" s="11">
        <f t="shared" si="52"/>
        <v>1950</v>
      </c>
      <c r="J886" s="11">
        <f t="shared" si="53"/>
        <v>3050244</v>
      </c>
      <c r="K886" s="1">
        <f t="shared" si="54"/>
        <v>5556.0000885999998</v>
      </c>
      <c r="L886" s="15">
        <f t="shared" si="55"/>
        <v>0.78008860000000002</v>
      </c>
    </row>
    <row r="887" spans="1:12" ht="15" customHeight="1" x14ac:dyDescent="0.25">
      <c r="A887" s="10" t="str">
        <f>Raw_Data!A887</f>
        <v>Amazonbasics Micro Usb Fast Charging Cable For Android Smartphone,Personal Computer,Printer With Gold Plated Connectors (6 Feet, Black)</v>
      </c>
      <c r="B887" s="10" t="str">
        <f>IFERROR(TRIM(LEFT(Raw_Data!A887,FIND(" ",Raw_Data!A887)-1)),Raw_Data!A887)</f>
        <v>Amazonbasics</v>
      </c>
      <c r="C887" s="10" t="str">
        <f>IFERROR(LEFT(Raw_Data!B887,FIND("|",Raw_Data!B887)-1),Raw_Data!B887)</f>
        <v>Computers&amp;Accessories</v>
      </c>
      <c r="D887" s="11">
        <f>IFERROR(VALUE(SUBSTITUTE(SUBSTITUTE(TRIM(Raw_Data!C887),"₹",""),",","")),"")</f>
        <v>199</v>
      </c>
      <c r="E887" s="11">
        <f>IFERROR(VALUE(SUBSTITUTE(SUBSTITUTE(TRIM(Raw_Data!D887),"₹",""),",","")),"")</f>
        <v>395</v>
      </c>
      <c r="F887" s="12">
        <f>IFERROR(VALUE(SUBSTITUTE(Raw_Data!E887,"%",""))/100,"")</f>
        <v>0.5</v>
      </c>
      <c r="G887" s="13">
        <f>IFERROR(VALUE(Raw_Data!F887),"")</f>
        <v>4.2</v>
      </c>
      <c r="H887" s="14">
        <f>IFERROR(VALUE(SUBSTITUTE(Raw_Data!G887,",","")),"")</f>
        <v>92595</v>
      </c>
      <c r="I887" s="11">
        <f t="shared" si="52"/>
        <v>196</v>
      </c>
      <c r="J887" s="11">
        <f t="shared" si="53"/>
        <v>18426405</v>
      </c>
      <c r="K887" s="1">
        <f t="shared" si="54"/>
        <v>92595.000088700006</v>
      </c>
      <c r="L887" s="15">
        <f t="shared" si="55"/>
        <v>0.50008870000000005</v>
      </c>
    </row>
    <row r="888" spans="1:12" ht="15" customHeight="1" x14ac:dyDescent="0.25">
      <c r="A888" s="10" t="str">
        <f>Raw_Data!A888</f>
        <v>Logitech M331 Silent Plus Wireless Mouse, 2.4GHz with USB Nano Receiver, 1000 DPI Optical Tracking, 3 Buttons, 24 Month Life Battery, PC/Mac/Laptop - Black</v>
      </c>
      <c r="B888" s="10" t="str">
        <f>IFERROR(TRIM(LEFT(Raw_Data!A888,FIND(" ",Raw_Data!A888)-1)),Raw_Data!A888)</f>
        <v>Logitech</v>
      </c>
      <c r="C888" s="10" t="str">
        <f>IFERROR(LEFT(Raw_Data!B888,FIND("|",Raw_Data!B888)-1),Raw_Data!B888)</f>
        <v>Computers&amp;Accessories</v>
      </c>
      <c r="D888" s="11">
        <f>IFERROR(VALUE(SUBSTITUTE(SUBSTITUTE(TRIM(Raw_Data!C888),"₹",""),",","")),"")</f>
        <v>1295</v>
      </c>
      <c r="E888" s="11">
        <f>IFERROR(VALUE(SUBSTITUTE(SUBSTITUTE(TRIM(Raw_Data!D888),"₹",""),",","")),"")</f>
        <v>1645</v>
      </c>
      <c r="F888" s="12">
        <f>IFERROR(VALUE(SUBSTITUTE(Raw_Data!E888,"%",""))/100,"")</f>
        <v>0.21</v>
      </c>
      <c r="G888" s="13">
        <f>IFERROR(VALUE(Raw_Data!F888),"")</f>
        <v>4.5999999999999996</v>
      </c>
      <c r="H888" s="14">
        <f>IFERROR(VALUE(SUBSTITUTE(Raw_Data!G888,",","")),"")</f>
        <v>12375</v>
      </c>
      <c r="I888" s="11">
        <f t="shared" si="52"/>
        <v>350</v>
      </c>
      <c r="J888" s="11">
        <f t="shared" si="53"/>
        <v>16025625</v>
      </c>
      <c r="K888" s="1">
        <f t="shared" si="54"/>
        <v>12375.0000888</v>
      </c>
      <c r="L888" s="15">
        <f t="shared" si="55"/>
        <v>0.21008879999999999</v>
      </c>
    </row>
    <row r="889" spans="1:12" ht="15" customHeight="1" x14ac:dyDescent="0.25">
      <c r="A889" s="10" t="str">
        <f>Raw_Data!A889</f>
        <v>Camel Artist Acrylic Color Box - 9ml Tubes, 12 Shades</v>
      </c>
      <c r="B889" s="10" t="str">
        <f>IFERROR(TRIM(LEFT(Raw_Data!A889,FIND(" ",Raw_Data!A889)-1)),Raw_Data!A889)</f>
        <v>Camel</v>
      </c>
      <c r="C889" s="10" t="str">
        <f>IFERROR(LEFT(Raw_Data!B889,FIND("|",Raw_Data!B889)-1),Raw_Data!B889)</f>
        <v>Home&amp;Kitchen</v>
      </c>
      <c r="D889" s="11">
        <f>IFERROR(VALUE(SUBSTITUTE(SUBSTITUTE(TRIM(Raw_Data!C889),"₹",""),",","")),"")</f>
        <v>310</v>
      </c>
      <c r="E889" s="11">
        <f>IFERROR(VALUE(SUBSTITUTE(SUBSTITUTE(TRIM(Raw_Data!D889),"₹",""),",","")),"")</f>
        <v>310</v>
      </c>
      <c r="F889" s="12">
        <f>IFERROR(VALUE(SUBSTITUTE(Raw_Data!E889,"%",""))/100,"")</f>
        <v>0</v>
      </c>
      <c r="G889" s="13">
        <f>IFERROR(VALUE(Raw_Data!F889),"")</f>
        <v>4.5</v>
      </c>
      <c r="H889" s="14">
        <f>IFERROR(VALUE(SUBSTITUTE(Raw_Data!G889,",","")),"")</f>
        <v>5882</v>
      </c>
      <c r="I889" s="11">
        <f t="shared" si="52"/>
        <v>0</v>
      </c>
      <c r="J889" s="11">
        <f t="shared" si="53"/>
        <v>1823420</v>
      </c>
      <c r="K889" s="1">
        <f t="shared" si="54"/>
        <v>5882.0000889000003</v>
      </c>
      <c r="L889" s="15">
        <f t="shared" si="55"/>
        <v>8.8900000000000006E-5</v>
      </c>
    </row>
    <row r="890" spans="1:12" ht="15" customHeight="1" x14ac:dyDescent="0.25">
      <c r="A890" s="10" t="str">
        <f>Raw_Data!A890</f>
        <v>LIRAMARK Webcam Cover Slide, Ultra Thin Laptop Camera Cover Slide Blocker for Computer MacBook Pro iMac PC Tablet (Pack of 3)</v>
      </c>
      <c r="B890" s="10" t="str">
        <f>IFERROR(TRIM(LEFT(Raw_Data!A890,FIND(" ",Raw_Data!A890)-1)),Raw_Data!A890)</f>
        <v>LIRAMARK</v>
      </c>
      <c r="C890" s="10" t="str">
        <f>IFERROR(LEFT(Raw_Data!B890,FIND("|",Raw_Data!B890)-1),Raw_Data!B890)</f>
        <v>Computers&amp;Accessories</v>
      </c>
      <c r="D890" s="11">
        <f>IFERROR(VALUE(SUBSTITUTE(SUBSTITUTE(TRIM(Raw_Data!C890),"₹",""),",","")),"")</f>
        <v>149</v>
      </c>
      <c r="E890" s="11">
        <f>IFERROR(VALUE(SUBSTITUTE(SUBSTITUTE(TRIM(Raw_Data!D890),"₹",""),",","")),"")</f>
        <v>149</v>
      </c>
      <c r="F890" s="12">
        <f>IFERROR(VALUE(SUBSTITUTE(Raw_Data!E890,"%",""))/100,"")</f>
        <v>0</v>
      </c>
      <c r="G890" s="13">
        <f>IFERROR(VALUE(Raw_Data!F890),"")</f>
        <v>4.3</v>
      </c>
      <c r="H890" s="14">
        <f>IFERROR(VALUE(SUBSTITUTE(Raw_Data!G890,",","")),"")</f>
        <v>10833</v>
      </c>
      <c r="I890" s="11">
        <f t="shared" si="52"/>
        <v>0</v>
      </c>
      <c r="J890" s="11">
        <f t="shared" si="53"/>
        <v>1614117</v>
      </c>
      <c r="K890" s="1">
        <f t="shared" si="54"/>
        <v>10833.000088999999</v>
      </c>
      <c r="L890" s="15">
        <f t="shared" si="55"/>
        <v>8.8999999999999995E-5</v>
      </c>
    </row>
    <row r="891" spans="1:12" ht="15" customHeight="1" x14ac:dyDescent="0.25">
      <c r="A891" s="10" t="str">
        <f>Raw_Data!A891</f>
        <v>Portronics Key2 Combo Multimedia USB Wireless Keyboard and Mouse Set with 2.4 GHz Wireless Technology, Soft &amp; Silent Button, Compact Size (Grey)</v>
      </c>
      <c r="B891" s="10" t="str">
        <f>IFERROR(TRIM(LEFT(Raw_Data!A891,FIND(" ",Raw_Data!A891)-1)),Raw_Data!A891)</f>
        <v>Portronics</v>
      </c>
      <c r="C891" s="10" t="str">
        <f>IFERROR(LEFT(Raw_Data!B891,FIND("|",Raw_Data!B891)-1),Raw_Data!B891)</f>
        <v>Computers&amp;Accessories</v>
      </c>
      <c r="D891" s="11">
        <f>IFERROR(VALUE(SUBSTITUTE(SUBSTITUTE(TRIM(Raw_Data!C891),"₹",""),",","")),"")</f>
        <v>1149</v>
      </c>
      <c r="E891" s="11">
        <f>IFERROR(VALUE(SUBSTITUTE(SUBSTITUTE(TRIM(Raw_Data!D891),"₹",""),",","")),"")</f>
        <v>1499</v>
      </c>
      <c r="F891" s="12">
        <f>IFERROR(VALUE(SUBSTITUTE(Raw_Data!E891,"%",""))/100,"")</f>
        <v>0.23</v>
      </c>
      <c r="G891" s="13">
        <f>IFERROR(VALUE(Raw_Data!F891),"")</f>
        <v>4.0999999999999996</v>
      </c>
      <c r="H891" s="14">
        <f>IFERROR(VALUE(SUBSTITUTE(Raw_Data!G891,",","")),"")</f>
        <v>10443</v>
      </c>
      <c r="I891" s="11">
        <f t="shared" si="52"/>
        <v>350</v>
      </c>
      <c r="J891" s="11">
        <f t="shared" si="53"/>
        <v>11999007</v>
      </c>
      <c r="K891" s="1">
        <f t="shared" si="54"/>
        <v>10443.0000891</v>
      </c>
      <c r="L891" s="15">
        <f t="shared" si="55"/>
        <v>0.23008910000000002</v>
      </c>
    </row>
    <row r="892" spans="1:12" ht="15" customHeight="1" x14ac:dyDescent="0.25">
      <c r="A892" s="10" t="str">
        <f>Raw_Data!A892</f>
        <v>SupCares Laptop Stand 7 Height Adjustable, Aluminium, Ventilated, Foldable, Portable Laptop Holder for Desk &amp; Table Mount Upto 15.6 inch Laptop with Carry Pouch (Silver)</v>
      </c>
      <c r="B892" s="10" t="str">
        <f>IFERROR(TRIM(LEFT(Raw_Data!A892,FIND(" ",Raw_Data!A892)-1)),Raw_Data!A892)</f>
        <v>SupCares</v>
      </c>
      <c r="C892" s="10" t="str">
        <f>IFERROR(LEFT(Raw_Data!B892,FIND("|",Raw_Data!B892)-1),Raw_Data!B892)</f>
        <v>Computers&amp;Accessories</v>
      </c>
      <c r="D892" s="11">
        <f>IFERROR(VALUE(SUBSTITUTE(SUBSTITUTE(TRIM(Raw_Data!C892),"₹",""),",","")),"")</f>
        <v>499</v>
      </c>
      <c r="E892" s="11">
        <f>IFERROR(VALUE(SUBSTITUTE(SUBSTITUTE(TRIM(Raw_Data!D892),"₹",""),",","")),"")</f>
        <v>1299</v>
      </c>
      <c r="F892" s="12">
        <f>IFERROR(VALUE(SUBSTITUTE(Raw_Data!E892,"%",""))/100,"")</f>
        <v>0.62</v>
      </c>
      <c r="G892" s="13">
        <f>IFERROR(VALUE(Raw_Data!F892),"")</f>
        <v>4.5</v>
      </c>
      <c r="H892" s="14">
        <f>IFERROR(VALUE(SUBSTITUTE(Raw_Data!G892,",","")),"")</f>
        <v>434</v>
      </c>
      <c r="I892" s="11">
        <f t="shared" si="52"/>
        <v>800</v>
      </c>
      <c r="J892" s="11">
        <f t="shared" si="53"/>
        <v>216566</v>
      </c>
      <c r="K892" s="1">
        <f t="shared" si="54"/>
        <v>434.00008919999999</v>
      </c>
      <c r="L892" s="15">
        <f t="shared" si="55"/>
        <v>0.62008920000000001</v>
      </c>
    </row>
    <row r="893" spans="1:12" ht="15" customHeight="1" x14ac:dyDescent="0.25">
      <c r="A893" s="10" t="str">
        <f>Raw_Data!A893</f>
        <v>ZEBRONICS Zeb-Sound Bomb N1 True Wireless in Ear Earbuds with Mic ENC, Gaming Mode (up to 50ms), up to 18H Playback, BT V5.2, Fidget Case, Voice Assistant, Splash Proof, Type C (Midnight Black)</v>
      </c>
      <c r="B893" s="10" t="str">
        <f>IFERROR(TRIM(LEFT(Raw_Data!A893,FIND(" ",Raw_Data!A893)-1)),Raw_Data!A893)</f>
        <v>ZEBRONICS</v>
      </c>
      <c r="C893" s="10" t="str">
        <f>IFERROR(LEFT(Raw_Data!B893,FIND("|",Raw_Data!B893)-1),Raw_Data!B893)</f>
        <v>Electronics</v>
      </c>
      <c r="D893" s="11">
        <f>IFERROR(VALUE(SUBSTITUTE(SUBSTITUTE(TRIM(Raw_Data!C893),"₹",""),",","")),"")</f>
        <v>999</v>
      </c>
      <c r="E893" s="11">
        <f>IFERROR(VALUE(SUBSTITUTE(SUBSTITUTE(TRIM(Raw_Data!D893),"₹",""),",","")),"")</f>
        <v>4199</v>
      </c>
      <c r="F893" s="12">
        <f>IFERROR(VALUE(SUBSTITUTE(Raw_Data!E893,"%",""))/100,"")</f>
        <v>0.76</v>
      </c>
      <c r="G893" s="13">
        <f>IFERROR(VALUE(Raw_Data!F893),"")</f>
        <v>3.5</v>
      </c>
      <c r="H893" s="14">
        <f>IFERROR(VALUE(SUBSTITUTE(Raw_Data!G893,",","")),"")</f>
        <v>1913</v>
      </c>
      <c r="I893" s="11">
        <f t="shared" si="52"/>
        <v>3200</v>
      </c>
      <c r="J893" s="11">
        <f t="shared" si="53"/>
        <v>1911087</v>
      </c>
      <c r="K893" s="1">
        <f t="shared" si="54"/>
        <v>1913.0000892999999</v>
      </c>
      <c r="L893" s="15">
        <f t="shared" si="55"/>
        <v>0.76008929999999997</v>
      </c>
    </row>
    <row r="894" spans="1:12" ht="15" customHeight="1" x14ac:dyDescent="0.25">
      <c r="A894" s="10" t="str">
        <f>Raw_Data!A894</f>
        <v>Western Digital WD Green SATA 240GB Internal SSD Solid State Drive - SATA 6Gb/s 2.5 inches - WDS240G3G0A</v>
      </c>
      <c r="B894" s="10" t="str">
        <f>IFERROR(TRIM(LEFT(Raw_Data!A894,FIND(" ",Raw_Data!A894)-1)),Raw_Data!A894)</f>
        <v>Western</v>
      </c>
      <c r="C894" s="10" t="str">
        <f>IFERROR(LEFT(Raw_Data!B894,FIND("|",Raw_Data!B894)-1),Raw_Data!B894)</f>
        <v>Computers&amp;Accessories</v>
      </c>
      <c r="D894" s="11">
        <f>IFERROR(VALUE(SUBSTITUTE(SUBSTITUTE(TRIM(Raw_Data!C894),"₹",""),",","")),"")</f>
        <v>1709</v>
      </c>
      <c r="E894" s="11">
        <f>IFERROR(VALUE(SUBSTITUTE(SUBSTITUTE(TRIM(Raw_Data!D894),"₹",""),",","")),"")</f>
        <v>4000</v>
      </c>
      <c r="F894" s="12">
        <f>IFERROR(VALUE(SUBSTITUTE(Raw_Data!E894,"%",""))/100,"")</f>
        <v>0.56999999999999995</v>
      </c>
      <c r="G894" s="13">
        <f>IFERROR(VALUE(Raw_Data!F894),"")</f>
        <v>4.4000000000000004</v>
      </c>
      <c r="H894" s="14">
        <f>IFERROR(VALUE(SUBSTITUTE(Raw_Data!G894,",","")),"")</f>
        <v>3029</v>
      </c>
      <c r="I894" s="11">
        <f t="shared" si="52"/>
        <v>2291</v>
      </c>
      <c r="J894" s="11">
        <f t="shared" si="53"/>
        <v>5176561</v>
      </c>
      <c r="K894" s="1">
        <f t="shared" si="54"/>
        <v>3029.0000894</v>
      </c>
      <c r="L894" s="15">
        <f t="shared" si="55"/>
        <v>0.57008939999999997</v>
      </c>
    </row>
    <row r="895" spans="1:12" ht="15" customHeight="1" x14ac:dyDescent="0.25">
      <c r="A895" s="10" t="str">
        <f>Raw_Data!A895</f>
        <v>Classmate Octane Neon- 25 Blue Gel Pens | Smooth Writing Pens| Water-proof Ink For Smudge-free Writing| Preferred By Students For Exam &amp; Class Notes| Study At Home Essential</v>
      </c>
      <c r="B895" s="10" t="str">
        <f>IFERROR(TRIM(LEFT(Raw_Data!A895,FIND(" ",Raw_Data!A895)-1)),Raw_Data!A895)</f>
        <v>Classmate</v>
      </c>
      <c r="C895" s="10" t="str">
        <f>IFERROR(LEFT(Raw_Data!B895,FIND("|",Raw_Data!B895)-1),Raw_Data!B895)</f>
        <v>OfficeProducts</v>
      </c>
      <c r="D895" s="11">
        <f>IFERROR(VALUE(SUBSTITUTE(SUBSTITUTE(TRIM(Raw_Data!C895),"₹",""),",","")),"")</f>
        <v>250</v>
      </c>
      <c r="E895" s="11">
        <f>IFERROR(VALUE(SUBSTITUTE(SUBSTITUTE(TRIM(Raw_Data!D895),"₹",""),",","")),"")</f>
        <v>250</v>
      </c>
      <c r="F895" s="12">
        <f>IFERROR(VALUE(SUBSTITUTE(Raw_Data!E895,"%",""))/100,"")</f>
        <v>0</v>
      </c>
      <c r="G895" s="13">
        <f>IFERROR(VALUE(Raw_Data!F895),"")</f>
        <v>4.2</v>
      </c>
      <c r="H895" s="14">
        <f>IFERROR(VALUE(SUBSTITUTE(Raw_Data!G895,",","")),"")</f>
        <v>2628</v>
      </c>
      <c r="I895" s="11">
        <f t="shared" si="52"/>
        <v>0</v>
      </c>
      <c r="J895" s="11">
        <f t="shared" si="53"/>
        <v>657000</v>
      </c>
      <c r="K895" s="1">
        <f t="shared" si="54"/>
        <v>2628.0000894999998</v>
      </c>
      <c r="L895" s="15">
        <f t="shared" si="55"/>
        <v>8.9499999999999994E-5</v>
      </c>
    </row>
    <row r="896" spans="1:12" ht="15" customHeight="1" x14ac:dyDescent="0.25">
      <c r="A896" s="10" t="str">
        <f>Raw_Data!A896</f>
        <v>TP-Link AC600 600 Mbps WiFi Wireless Network USB Adapter for Desktop PC with 2.4GHz/5GHz High Gain Dual Band 5dBi Antenna Wi-Fi, Supports Windows 11/10/8.1/8/7/XP, Mac OS 10.15 and earlier (Archer T2U Plus)</v>
      </c>
      <c r="B896" s="10" t="str">
        <f>IFERROR(TRIM(LEFT(Raw_Data!A896,FIND(" ",Raw_Data!A896)-1)),Raw_Data!A896)</f>
        <v>TP-Link</v>
      </c>
      <c r="C896" s="10" t="str">
        <f>IFERROR(LEFT(Raw_Data!B896,FIND("|",Raw_Data!B896)-1),Raw_Data!B896)</f>
        <v>Computers&amp;Accessories</v>
      </c>
      <c r="D896" s="11">
        <f>IFERROR(VALUE(SUBSTITUTE(SUBSTITUTE(TRIM(Raw_Data!C896),"₹",""),",","")),"")</f>
        <v>1199</v>
      </c>
      <c r="E896" s="11">
        <f>IFERROR(VALUE(SUBSTITUTE(SUBSTITUTE(TRIM(Raw_Data!D896),"₹",""),",","")),"")</f>
        <v>2199</v>
      </c>
      <c r="F896" s="12">
        <f>IFERROR(VALUE(SUBSTITUTE(Raw_Data!E896,"%",""))/100,"")</f>
        <v>0.45</v>
      </c>
      <c r="G896" s="13">
        <f>IFERROR(VALUE(Raw_Data!F896),"")</f>
        <v>4.4000000000000004</v>
      </c>
      <c r="H896" s="14">
        <f>IFERROR(VALUE(SUBSTITUTE(Raw_Data!G896,",","")),"")</f>
        <v>24780</v>
      </c>
      <c r="I896" s="11">
        <f t="shared" si="52"/>
        <v>1000</v>
      </c>
      <c r="J896" s="11">
        <f t="shared" si="53"/>
        <v>29711220</v>
      </c>
      <c r="K896" s="1">
        <f t="shared" si="54"/>
        <v>24780.000089599998</v>
      </c>
      <c r="L896" s="15">
        <f t="shared" si="55"/>
        <v>0.45008960000000003</v>
      </c>
    </row>
    <row r="897" spans="1:12" ht="15" customHeight="1" x14ac:dyDescent="0.25">
      <c r="A897" s="10" t="str">
        <f>Raw_Data!A897</f>
        <v>Classmate Octane Colour Burst-Multicolour Gel Pens (Pack of 10) | Gold &amp; Silver Glitter Sparkle Pens|10 colour ink shades for art lovers and kids|Fun at home essentials</v>
      </c>
      <c r="B897" s="10" t="str">
        <f>IFERROR(TRIM(LEFT(Raw_Data!A897,FIND(" ",Raw_Data!A897)-1)),Raw_Data!A897)</f>
        <v>Classmate</v>
      </c>
      <c r="C897" s="10" t="str">
        <f>IFERROR(LEFT(Raw_Data!B897,FIND("|",Raw_Data!B897)-1),Raw_Data!B897)</f>
        <v>Home&amp;Kitchen</v>
      </c>
      <c r="D897" s="11">
        <f>IFERROR(VALUE(SUBSTITUTE(SUBSTITUTE(TRIM(Raw_Data!C897),"₹",""),",","")),"")</f>
        <v>90</v>
      </c>
      <c r="E897" s="11">
        <f>IFERROR(VALUE(SUBSTITUTE(SUBSTITUTE(TRIM(Raw_Data!D897),"₹",""),",","")),"")</f>
        <v>100</v>
      </c>
      <c r="F897" s="12">
        <f>IFERROR(VALUE(SUBSTITUTE(Raw_Data!E897,"%",""))/100,"")</f>
        <v>0.1</v>
      </c>
      <c r="G897" s="13">
        <f>IFERROR(VALUE(Raw_Data!F897),"")</f>
        <v>4.4000000000000004</v>
      </c>
      <c r="H897" s="14">
        <f>IFERROR(VALUE(SUBSTITUTE(Raw_Data!G897,",","")),"")</f>
        <v>10718</v>
      </c>
      <c r="I897" s="11">
        <f t="shared" si="52"/>
        <v>10</v>
      </c>
      <c r="J897" s="11">
        <f t="shared" si="53"/>
        <v>964620</v>
      </c>
      <c r="K897" s="1">
        <f t="shared" si="54"/>
        <v>10718.000089700001</v>
      </c>
      <c r="L897" s="15">
        <f t="shared" si="55"/>
        <v>0.1000897</v>
      </c>
    </row>
    <row r="898" spans="1:12" ht="15" customHeight="1" x14ac:dyDescent="0.25">
      <c r="A898" s="10" t="str">
        <f>Raw_Data!A898</f>
        <v>Tukzer Stylus Pen, iPad Pencil with Palm Rejection Tilt Sensor| 2nd Gen for 2018-2022 iPad 6/7/8/9th Gen; iPad 10.2", Pro 12.9/11", Mini 6/5th, Air 5/4/3rd, Precise for Writing/Drawing (3 Spare Tips)</v>
      </c>
      <c r="B898" s="10" t="str">
        <f>IFERROR(TRIM(LEFT(Raw_Data!A898,FIND(" ",Raw_Data!A898)-1)),Raw_Data!A898)</f>
        <v>Tukzer</v>
      </c>
      <c r="C898" s="10" t="str">
        <f>IFERROR(LEFT(Raw_Data!B898,FIND("|",Raw_Data!B898)-1),Raw_Data!B898)</f>
        <v>Electronics</v>
      </c>
      <c r="D898" s="11">
        <f>IFERROR(VALUE(SUBSTITUTE(SUBSTITUTE(TRIM(Raw_Data!C898),"₹",""),",","")),"")</f>
        <v>2025</v>
      </c>
      <c r="E898" s="11">
        <f>IFERROR(VALUE(SUBSTITUTE(SUBSTITUTE(TRIM(Raw_Data!D898),"₹",""),",","")),"")</f>
        <v>5999</v>
      </c>
      <c r="F898" s="12">
        <f>IFERROR(VALUE(SUBSTITUTE(Raw_Data!E898,"%",""))/100,"")</f>
        <v>0.66</v>
      </c>
      <c r="G898" s="13">
        <f>IFERROR(VALUE(Raw_Data!F898),"")</f>
        <v>4.2</v>
      </c>
      <c r="H898" s="14">
        <f>IFERROR(VALUE(SUBSTITUTE(Raw_Data!G898,",","")),"")</f>
        <v>6233</v>
      </c>
      <c r="I898" s="11">
        <f t="shared" ref="I898:I961" si="56">IFERROR(E898-D898,"")</f>
        <v>3974</v>
      </c>
      <c r="J898" s="11">
        <f t="shared" ref="J898:J961" si="57">IFERROR(D898*H898,"")</f>
        <v>12621825</v>
      </c>
      <c r="K898" s="1">
        <f t="shared" ref="K898:K961" si="58">IF(ISNUMBER(H898),H898+ROW()/10000000,"")</f>
        <v>6233.0000897999998</v>
      </c>
      <c r="L898" s="15">
        <f t="shared" ref="L898:L961" si="59">IF(ISNUMBER(F898),F898+ROW()/10000000,"")</f>
        <v>0.66008980000000006</v>
      </c>
    </row>
    <row r="899" spans="1:12" ht="15" customHeight="1" x14ac:dyDescent="0.25">
      <c r="A899" s="10" t="str">
        <f>Raw_Data!A899</f>
        <v>Logitech G102 USB Light Sync Gaming Mouse with Customizable RGB Lighting, 6 Programmable Buttons, Gaming Grade Sensor, 8K DPI Tracking, 16.8mn Color, Light Weight - Black</v>
      </c>
      <c r="B899" s="10" t="str">
        <f>IFERROR(TRIM(LEFT(Raw_Data!A899,FIND(" ",Raw_Data!A899)-1)),Raw_Data!A899)</f>
        <v>Logitech</v>
      </c>
      <c r="C899" s="10" t="str">
        <f>IFERROR(LEFT(Raw_Data!B899,FIND("|",Raw_Data!B899)-1),Raw_Data!B899)</f>
        <v>Computers&amp;Accessories</v>
      </c>
      <c r="D899" s="11">
        <f>IFERROR(VALUE(SUBSTITUTE(SUBSTITUTE(TRIM(Raw_Data!C899),"₹",""),",","")),"")</f>
        <v>1495</v>
      </c>
      <c r="E899" s="11">
        <f>IFERROR(VALUE(SUBSTITUTE(SUBSTITUTE(TRIM(Raw_Data!D899),"₹",""),",","")),"")</f>
        <v>1995</v>
      </c>
      <c r="F899" s="12">
        <f>IFERROR(VALUE(SUBSTITUTE(Raw_Data!E899,"%",""))/100,"")</f>
        <v>0.25</v>
      </c>
      <c r="G899" s="13">
        <f>IFERROR(VALUE(Raw_Data!F899),"")</f>
        <v>4.5</v>
      </c>
      <c r="H899" s="14">
        <f>IFERROR(VALUE(SUBSTITUTE(Raw_Data!G899,",","")),"")</f>
        <v>10541</v>
      </c>
      <c r="I899" s="11">
        <f t="shared" si="56"/>
        <v>500</v>
      </c>
      <c r="J899" s="11">
        <f t="shared" si="57"/>
        <v>15758795</v>
      </c>
      <c r="K899" s="1">
        <f t="shared" si="58"/>
        <v>10541.000089900001</v>
      </c>
      <c r="L899" s="15">
        <f t="shared" si="59"/>
        <v>0.25008989999999998</v>
      </c>
    </row>
    <row r="900" spans="1:12" ht="15" customHeight="1" x14ac:dyDescent="0.25">
      <c r="A900" s="10" t="str">
        <f>Raw_Data!A900</f>
        <v>AmazonBasics New Release Nylon USB-A to Lightning Cable Cord, Fast Charging MFi Certified Charger for Apple iPhone, iPad (6-Ft, Rose Gold)</v>
      </c>
      <c r="B900" s="10" t="str">
        <f>IFERROR(TRIM(LEFT(Raw_Data!A900,FIND(" ",Raw_Data!A900)-1)),Raw_Data!A900)</f>
        <v>AmazonBasics</v>
      </c>
      <c r="C900" s="10" t="str">
        <f>IFERROR(LEFT(Raw_Data!B900,FIND("|",Raw_Data!B900)-1),Raw_Data!B900)</f>
        <v>Computers&amp;Accessories</v>
      </c>
      <c r="D900" s="11">
        <f>IFERROR(VALUE(SUBSTITUTE(SUBSTITUTE(TRIM(Raw_Data!C900),"₹",""),",","")),"")</f>
        <v>799</v>
      </c>
      <c r="E900" s="11">
        <f>IFERROR(VALUE(SUBSTITUTE(SUBSTITUTE(TRIM(Raw_Data!D900),"₹",""),",","")),"")</f>
        <v>2100</v>
      </c>
      <c r="F900" s="12">
        <f>IFERROR(VALUE(SUBSTITUTE(Raw_Data!E900,"%",""))/100,"")</f>
        <v>0.62</v>
      </c>
      <c r="G900" s="13">
        <f>IFERROR(VALUE(Raw_Data!F900),"")</f>
        <v>4.3</v>
      </c>
      <c r="H900" s="14">
        <f>IFERROR(VALUE(SUBSTITUTE(Raw_Data!G900,",","")),"")</f>
        <v>8188</v>
      </c>
      <c r="I900" s="11">
        <f t="shared" si="56"/>
        <v>1301</v>
      </c>
      <c r="J900" s="11">
        <f t="shared" si="57"/>
        <v>6542212</v>
      </c>
      <c r="K900" s="1">
        <f t="shared" si="58"/>
        <v>8188.0000899999995</v>
      </c>
      <c r="L900" s="15">
        <f t="shared" si="59"/>
        <v>0.62009000000000003</v>
      </c>
    </row>
    <row r="901" spans="1:12" ht="15" customHeight="1" x14ac:dyDescent="0.25">
      <c r="A901" s="10" t="str">
        <f>Raw_Data!A901</f>
        <v>Zebronics ZEB-VITA Wireless Bluetooth 10W Portable Bar Speaker With Supporting USB, SD Card, AUX, FM, TWS &amp; Call Function</v>
      </c>
      <c r="B901" s="10" t="str">
        <f>IFERROR(TRIM(LEFT(Raw_Data!A901,FIND(" ",Raw_Data!A901)-1)),Raw_Data!A901)</f>
        <v>Zebronics</v>
      </c>
      <c r="C901" s="10" t="str">
        <f>IFERROR(LEFT(Raw_Data!B901,FIND("|",Raw_Data!B901)-1),Raw_Data!B901)</f>
        <v>Electronics</v>
      </c>
      <c r="D901" s="11">
        <f>IFERROR(VALUE(SUBSTITUTE(SUBSTITUTE(TRIM(Raw_Data!C901),"₹",""),",","")),"")</f>
        <v>899</v>
      </c>
      <c r="E901" s="11">
        <f>IFERROR(VALUE(SUBSTITUTE(SUBSTITUTE(TRIM(Raw_Data!D901),"₹",""),",","")),"")</f>
        <v>1199</v>
      </c>
      <c r="F901" s="12">
        <f>IFERROR(VALUE(SUBSTITUTE(Raw_Data!E901,"%",""))/100,"")</f>
        <v>0.25</v>
      </c>
      <c r="G901" s="13">
        <f>IFERROR(VALUE(Raw_Data!F901),"")</f>
        <v>3.8</v>
      </c>
      <c r="H901" s="14">
        <f>IFERROR(VALUE(SUBSTITUTE(Raw_Data!G901,",","")),"")</f>
        <v>10751</v>
      </c>
      <c r="I901" s="11">
        <f t="shared" si="56"/>
        <v>300</v>
      </c>
      <c r="J901" s="11">
        <f t="shared" si="57"/>
        <v>9665149</v>
      </c>
      <c r="K901" s="1">
        <f t="shared" si="58"/>
        <v>10751.0000901</v>
      </c>
      <c r="L901" s="15">
        <f t="shared" si="59"/>
        <v>0.25009009999999998</v>
      </c>
    </row>
    <row r="902" spans="1:12" ht="15" customHeight="1" x14ac:dyDescent="0.25">
      <c r="A902" s="10" t="str">
        <f>Raw_Data!A902</f>
        <v>Lapster USB 3.0 sata Cable for 2.5 inch SSD and HDD , USB 3.0 to SATA III Hard Driver Adapter , sata to USB Cable-(Blue)</v>
      </c>
      <c r="B902" s="10" t="str">
        <f>IFERROR(TRIM(LEFT(Raw_Data!A902,FIND(" ",Raw_Data!A902)-1)),Raw_Data!A902)</f>
        <v>Lapster</v>
      </c>
      <c r="C902" s="10" t="str">
        <f>IFERROR(LEFT(Raw_Data!B902,FIND("|",Raw_Data!B902)-1),Raw_Data!B902)</f>
        <v>Computers&amp;Accessories</v>
      </c>
      <c r="D902" s="11">
        <f>IFERROR(VALUE(SUBSTITUTE(SUBSTITUTE(TRIM(Raw_Data!C902),"₹",""),",","")),"")</f>
        <v>349</v>
      </c>
      <c r="E902" s="11">
        <f>IFERROR(VALUE(SUBSTITUTE(SUBSTITUTE(TRIM(Raw_Data!D902),"₹",""),",","")),"")</f>
        <v>999</v>
      </c>
      <c r="F902" s="12">
        <f>IFERROR(VALUE(SUBSTITUTE(Raw_Data!E902,"%",""))/100,"")</f>
        <v>0.65</v>
      </c>
      <c r="G902" s="13">
        <f>IFERROR(VALUE(Raw_Data!F902),"")</f>
        <v>3.9</v>
      </c>
      <c r="H902" s="14">
        <f>IFERROR(VALUE(SUBSTITUTE(Raw_Data!G902,",","")),"")</f>
        <v>817</v>
      </c>
      <c r="I902" s="11">
        <f t="shared" si="56"/>
        <v>650</v>
      </c>
      <c r="J902" s="11">
        <f t="shared" si="57"/>
        <v>285133</v>
      </c>
      <c r="K902" s="1">
        <f t="shared" si="58"/>
        <v>817.00009020000005</v>
      </c>
      <c r="L902" s="15">
        <f t="shared" si="59"/>
        <v>0.65009020000000006</v>
      </c>
    </row>
    <row r="903" spans="1:12" ht="15" customHeight="1" x14ac:dyDescent="0.25">
      <c r="A903" s="10" t="str">
        <f>Raw_Data!A903</f>
        <v>URBN 10000 mAh Lithium Power Bank UPR10K with 12 Watt Fast Charging, Blue</v>
      </c>
      <c r="B903" s="10" t="str">
        <f>IFERROR(TRIM(LEFT(Raw_Data!A903,FIND(" ",Raw_Data!A903)-1)),Raw_Data!A903)</f>
        <v>URBN</v>
      </c>
      <c r="C903" s="10" t="str">
        <f>IFERROR(LEFT(Raw_Data!B903,FIND("|",Raw_Data!B903)-1),Raw_Data!B903)</f>
        <v>Electronics</v>
      </c>
      <c r="D903" s="11">
        <f>IFERROR(VALUE(SUBSTITUTE(SUBSTITUTE(TRIM(Raw_Data!C903),"₹",""),",","")),"")</f>
        <v>900</v>
      </c>
      <c r="E903" s="11">
        <f>IFERROR(VALUE(SUBSTITUTE(SUBSTITUTE(TRIM(Raw_Data!D903),"₹",""),",","")),"")</f>
        <v>2499</v>
      </c>
      <c r="F903" s="12">
        <f>IFERROR(VALUE(SUBSTITUTE(Raw_Data!E903,"%",""))/100,"")</f>
        <v>0.64</v>
      </c>
      <c r="G903" s="13">
        <f>IFERROR(VALUE(Raw_Data!F903),"")</f>
        <v>4</v>
      </c>
      <c r="H903" s="14">
        <f>IFERROR(VALUE(SUBSTITUTE(Raw_Data!G903,",","")),"")</f>
        <v>36384</v>
      </c>
      <c r="I903" s="11">
        <f t="shared" si="56"/>
        <v>1599</v>
      </c>
      <c r="J903" s="11">
        <f t="shared" si="57"/>
        <v>32745600</v>
      </c>
      <c r="K903" s="1">
        <f t="shared" si="58"/>
        <v>36384.000090299996</v>
      </c>
      <c r="L903" s="15">
        <f t="shared" si="59"/>
        <v>0.6400903</v>
      </c>
    </row>
    <row r="904" spans="1:12" ht="15" customHeight="1" x14ac:dyDescent="0.25">
      <c r="A904" s="10" t="str">
        <f>Raw_Data!A904</f>
        <v>Qubo Smart Cam 360 from Hero Group | Made in India | 2MP 1080p Full HD | CCTV Wi-Fi Camera | 360 Degree Coverage| Two Way Talk | Mobile App Connectivity | Night Vision | Cloud &amp; SD Card Recording</v>
      </c>
      <c r="B904" s="10" t="str">
        <f>IFERROR(TRIM(LEFT(Raw_Data!A904,FIND(" ",Raw_Data!A904)-1)),Raw_Data!A904)</f>
        <v>Qubo</v>
      </c>
      <c r="C904" s="10" t="str">
        <f>IFERROR(LEFT(Raw_Data!B904,FIND("|",Raw_Data!B904)-1),Raw_Data!B904)</f>
        <v>Electronics</v>
      </c>
      <c r="D904" s="11">
        <f>IFERROR(VALUE(SUBSTITUTE(SUBSTITUTE(TRIM(Raw_Data!C904),"₹",""),",","")),"")</f>
        <v>2490</v>
      </c>
      <c r="E904" s="11">
        <f>IFERROR(VALUE(SUBSTITUTE(SUBSTITUTE(TRIM(Raw_Data!D904),"₹",""),",","")),"")</f>
        <v>3990</v>
      </c>
      <c r="F904" s="12">
        <f>IFERROR(VALUE(SUBSTITUTE(Raw_Data!E904,"%",""))/100,"")</f>
        <v>0.38</v>
      </c>
      <c r="G904" s="13">
        <f>IFERROR(VALUE(Raw_Data!F904),"")</f>
        <v>4.0999999999999996</v>
      </c>
      <c r="H904" s="14">
        <f>IFERROR(VALUE(SUBSTITUTE(Raw_Data!G904,",","")),"")</f>
        <v>3606</v>
      </c>
      <c r="I904" s="11">
        <f t="shared" si="56"/>
        <v>1500</v>
      </c>
      <c r="J904" s="11">
        <f t="shared" si="57"/>
        <v>8978940</v>
      </c>
      <c r="K904" s="1">
        <f t="shared" si="58"/>
        <v>3606.0000903999999</v>
      </c>
      <c r="L904" s="15">
        <f t="shared" si="59"/>
        <v>0.38009039999999999</v>
      </c>
    </row>
    <row r="905" spans="1:12" ht="15" customHeight="1" x14ac:dyDescent="0.25">
      <c r="A905" s="10" t="str">
        <f>Raw_Data!A905</f>
        <v>Duracell CR2025 3V Lithium Coin Battery, 5 pcs, 2025 Coin Button Cell Battery, DL2025</v>
      </c>
      <c r="B905" s="10" t="str">
        <f>IFERROR(TRIM(LEFT(Raw_Data!A905,FIND(" ",Raw_Data!A905)-1)),Raw_Data!A905)</f>
        <v>Duracell</v>
      </c>
      <c r="C905" s="10" t="str">
        <f>IFERROR(LEFT(Raw_Data!B905,FIND("|",Raw_Data!B905)-1),Raw_Data!B905)</f>
        <v>Electronics</v>
      </c>
      <c r="D905" s="11">
        <f>IFERROR(VALUE(SUBSTITUTE(SUBSTITUTE(TRIM(Raw_Data!C905),"₹",""),",","")),"")</f>
        <v>116</v>
      </c>
      <c r="E905" s="11">
        <f>IFERROR(VALUE(SUBSTITUTE(SUBSTITUTE(TRIM(Raw_Data!D905),"₹",""),",","")),"")</f>
        <v>200</v>
      </c>
      <c r="F905" s="12">
        <f>IFERROR(VALUE(SUBSTITUTE(Raw_Data!E905,"%",""))/100,"")</f>
        <v>0.42</v>
      </c>
      <c r="G905" s="13">
        <f>IFERROR(VALUE(Raw_Data!F905),"")</f>
        <v>4.4000000000000004</v>
      </c>
      <c r="H905" s="14">
        <f>IFERROR(VALUE(SUBSTITUTE(Raw_Data!G905,",","")),"")</f>
        <v>357</v>
      </c>
      <c r="I905" s="11">
        <f t="shared" si="56"/>
        <v>84</v>
      </c>
      <c r="J905" s="11">
        <f t="shared" si="57"/>
        <v>41412</v>
      </c>
      <c r="K905" s="1">
        <f t="shared" si="58"/>
        <v>357.0000905</v>
      </c>
      <c r="L905" s="15">
        <f t="shared" si="59"/>
        <v>0.42009049999999998</v>
      </c>
    </row>
    <row r="906" spans="1:12" ht="15" customHeight="1" x14ac:dyDescent="0.25">
      <c r="A906" s="10" t="str">
        <f>Raw_Data!A906</f>
        <v>Camel Fabrica Acrylic Ultra Color - 15ml each, 10 Shades</v>
      </c>
      <c r="B906" s="10" t="str">
        <f>IFERROR(TRIM(LEFT(Raw_Data!A906,FIND(" ",Raw_Data!A906)-1)),Raw_Data!A906)</f>
        <v>Camel</v>
      </c>
      <c r="C906" s="10" t="str">
        <f>IFERROR(LEFT(Raw_Data!B906,FIND("|",Raw_Data!B906)-1),Raw_Data!B906)</f>
        <v>Home&amp;Kitchen</v>
      </c>
      <c r="D906" s="11">
        <f>IFERROR(VALUE(SUBSTITUTE(SUBSTITUTE(TRIM(Raw_Data!C906),"₹",""),",","")),"")</f>
        <v>200</v>
      </c>
      <c r="E906" s="11">
        <f>IFERROR(VALUE(SUBSTITUTE(SUBSTITUTE(TRIM(Raw_Data!D906),"₹",""),",","")),"")</f>
        <v>230</v>
      </c>
      <c r="F906" s="12">
        <f>IFERROR(VALUE(SUBSTITUTE(Raw_Data!E906,"%",""))/100,"")</f>
        <v>0.13</v>
      </c>
      <c r="G906" s="13">
        <f>IFERROR(VALUE(Raw_Data!F906),"")</f>
        <v>4.4000000000000004</v>
      </c>
      <c r="H906" s="14">
        <f>IFERROR(VALUE(SUBSTITUTE(Raw_Data!G906,",","")),"")</f>
        <v>10170</v>
      </c>
      <c r="I906" s="11">
        <f t="shared" si="56"/>
        <v>30</v>
      </c>
      <c r="J906" s="11">
        <f t="shared" si="57"/>
        <v>2034000</v>
      </c>
      <c r="K906" s="1">
        <f t="shared" si="58"/>
        <v>10170.0000906</v>
      </c>
      <c r="L906" s="15">
        <f t="shared" si="59"/>
        <v>0.1300906</v>
      </c>
    </row>
    <row r="907" spans="1:12" ht="15" customHeight="1" x14ac:dyDescent="0.25">
      <c r="A907" s="10" t="str">
        <f>Raw_Data!A907</f>
        <v>Lenovo GX20L29764 65W Laptop Adapter/Charger with Power Cord for Select Models of Lenovo (Round pin) (Black)</v>
      </c>
      <c r="B907" s="10" t="str">
        <f>IFERROR(TRIM(LEFT(Raw_Data!A907,FIND(" ",Raw_Data!A907)-1)),Raw_Data!A907)</f>
        <v>Lenovo</v>
      </c>
      <c r="C907" s="10" t="str">
        <f>IFERROR(LEFT(Raw_Data!B907,FIND("|",Raw_Data!B907)-1),Raw_Data!B907)</f>
        <v>Computers&amp;Accessories</v>
      </c>
      <c r="D907" s="11">
        <f>IFERROR(VALUE(SUBSTITUTE(SUBSTITUTE(TRIM(Raw_Data!C907),"₹",""),",","")),"")</f>
        <v>1249</v>
      </c>
      <c r="E907" s="11">
        <f>IFERROR(VALUE(SUBSTITUTE(SUBSTITUTE(TRIM(Raw_Data!D907),"₹",""),",","")),"")</f>
        <v>2796</v>
      </c>
      <c r="F907" s="12">
        <f>IFERROR(VALUE(SUBSTITUTE(Raw_Data!E907,"%",""))/100,"")</f>
        <v>0.55000000000000004</v>
      </c>
      <c r="G907" s="13">
        <f>IFERROR(VALUE(Raw_Data!F907),"")</f>
        <v>4.4000000000000004</v>
      </c>
      <c r="H907" s="14">
        <f>IFERROR(VALUE(SUBSTITUTE(Raw_Data!G907,",","")),"")</f>
        <v>4598</v>
      </c>
      <c r="I907" s="11">
        <f t="shared" si="56"/>
        <v>1547</v>
      </c>
      <c r="J907" s="11">
        <f t="shared" si="57"/>
        <v>5742902</v>
      </c>
      <c r="K907" s="1">
        <f t="shared" si="58"/>
        <v>4598.0000907000003</v>
      </c>
      <c r="L907" s="15">
        <f t="shared" si="59"/>
        <v>0.55009070000000004</v>
      </c>
    </row>
    <row r="908" spans="1:12" ht="15" customHeight="1" x14ac:dyDescent="0.25">
      <c r="A908" s="10" t="str">
        <f>Raw_Data!A908</f>
        <v>Hp Wired On Ear Headphones With Mic With 3.5 Mm Drivers, In-Built Noise Cancelling, Foldable And Adjustable For Laptop/Pc/Office/Home/ 1 Year Warranty (B4B09Pa)</v>
      </c>
      <c r="B908" s="10" t="str">
        <f>IFERROR(TRIM(LEFT(Raw_Data!A908,FIND(" ",Raw_Data!A908)-1)),Raw_Data!A908)</f>
        <v>Hp</v>
      </c>
      <c r="C908" s="10" t="str">
        <f>IFERROR(LEFT(Raw_Data!B908,FIND("|",Raw_Data!B908)-1),Raw_Data!B908)</f>
        <v>Computers&amp;Accessories</v>
      </c>
      <c r="D908" s="11">
        <f>IFERROR(VALUE(SUBSTITUTE(SUBSTITUTE(TRIM(Raw_Data!C908),"₹",""),",","")),"")</f>
        <v>649</v>
      </c>
      <c r="E908" s="11">
        <f>IFERROR(VALUE(SUBSTITUTE(SUBSTITUTE(TRIM(Raw_Data!D908),"₹",""),",","")),"")</f>
        <v>999</v>
      </c>
      <c r="F908" s="12">
        <f>IFERROR(VALUE(SUBSTITUTE(Raw_Data!E908,"%",""))/100,"")</f>
        <v>0.35</v>
      </c>
      <c r="G908" s="13">
        <f>IFERROR(VALUE(Raw_Data!F908),"")</f>
        <v>3.5</v>
      </c>
      <c r="H908" s="14">
        <f>IFERROR(VALUE(SUBSTITUTE(Raw_Data!G908,",","")),"")</f>
        <v>7222</v>
      </c>
      <c r="I908" s="11">
        <f t="shared" si="56"/>
        <v>350</v>
      </c>
      <c r="J908" s="11">
        <f t="shared" si="57"/>
        <v>4687078</v>
      </c>
      <c r="K908" s="1">
        <f t="shared" si="58"/>
        <v>7222.0000908000002</v>
      </c>
      <c r="L908" s="15">
        <f t="shared" si="59"/>
        <v>0.35009079999999998</v>
      </c>
    </row>
    <row r="909" spans="1:12" ht="15" customHeight="1" x14ac:dyDescent="0.25">
      <c r="A909" s="10" t="str">
        <f>Raw_Data!A909</f>
        <v>Redragon K617 Fizz 60% Wired RGB Gaming Keyboard, 61 Keys Compact Mechanical Keyboard w/White and Grey Color Keycaps, Linear Red Switch, Pro Driver/Software Supported</v>
      </c>
      <c r="B909" s="10" t="str">
        <f>IFERROR(TRIM(LEFT(Raw_Data!A909,FIND(" ",Raw_Data!A909)-1)),Raw_Data!A909)</f>
        <v>Redragon</v>
      </c>
      <c r="C909" s="10" t="str">
        <f>IFERROR(LEFT(Raw_Data!B909,FIND("|",Raw_Data!B909)-1),Raw_Data!B909)</f>
        <v>Computers&amp;Accessories</v>
      </c>
      <c r="D909" s="11">
        <f>IFERROR(VALUE(SUBSTITUTE(SUBSTITUTE(TRIM(Raw_Data!C909),"₹",""),",","")),"")</f>
        <v>2649</v>
      </c>
      <c r="E909" s="11">
        <f>IFERROR(VALUE(SUBSTITUTE(SUBSTITUTE(TRIM(Raw_Data!D909),"₹",""),",","")),"")</f>
        <v>3499</v>
      </c>
      <c r="F909" s="12">
        <f>IFERROR(VALUE(SUBSTITUTE(Raw_Data!E909,"%",""))/100,"")</f>
        <v>0.24</v>
      </c>
      <c r="G909" s="13">
        <f>IFERROR(VALUE(Raw_Data!F909),"")</f>
        <v>4.5</v>
      </c>
      <c r="H909" s="14">
        <f>IFERROR(VALUE(SUBSTITUTE(Raw_Data!G909,",","")),"")</f>
        <v>1271</v>
      </c>
      <c r="I909" s="11">
        <f t="shared" si="56"/>
        <v>850</v>
      </c>
      <c r="J909" s="11">
        <f t="shared" si="57"/>
        <v>3366879</v>
      </c>
      <c r="K909" s="1">
        <f t="shared" si="58"/>
        <v>1271.0000909</v>
      </c>
      <c r="L909" s="15">
        <f t="shared" si="59"/>
        <v>0.2400909</v>
      </c>
    </row>
    <row r="910" spans="1:12" ht="15" customHeight="1" x14ac:dyDescent="0.25">
      <c r="A910" s="10" t="str">
        <f>Raw_Data!A910</f>
        <v>Ambrane Unbreakable 3A Fast Charging Braided Type C Cable    1.5 Meter (RCT15, Blue) Supports QC 2.0/3.0 Charging</v>
      </c>
      <c r="B910" s="10" t="str">
        <f>IFERROR(TRIM(LEFT(Raw_Data!A910,FIND(" ",Raw_Data!A910)-1)),Raw_Data!A910)</f>
        <v>Ambrane</v>
      </c>
      <c r="C910" s="10" t="str">
        <f>IFERROR(LEFT(Raw_Data!B910,FIND("|",Raw_Data!B910)-1),Raw_Data!B910)</f>
        <v>Computers&amp;Accessories</v>
      </c>
      <c r="D910" s="11">
        <f>IFERROR(VALUE(SUBSTITUTE(SUBSTITUTE(TRIM(Raw_Data!C910),"₹",""),",","")),"")</f>
        <v>199</v>
      </c>
      <c r="E910" s="11">
        <f>IFERROR(VALUE(SUBSTITUTE(SUBSTITUTE(TRIM(Raw_Data!D910),"₹",""),",","")),"")</f>
        <v>349</v>
      </c>
      <c r="F910" s="12">
        <f>IFERROR(VALUE(SUBSTITUTE(Raw_Data!E910,"%",""))/100,"")</f>
        <v>0.43</v>
      </c>
      <c r="G910" s="13">
        <f>IFERROR(VALUE(Raw_Data!F910),"")</f>
        <v>4.0999999999999996</v>
      </c>
      <c r="H910" s="14">
        <f>IFERROR(VALUE(SUBSTITUTE(Raw_Data!G910,",","")),"")</f>
        <v>314</v>
      </c>
      <c r="I910" s="11">
        <f t="shared" si="56"/>
        <v>150</v>
      </c>
      <c r="J910" s="11">
        <f t="shared" si="57"/>
        <v>62486</v>
      </c>
      <c r="K910" s="1">
        <f t="shared" si="58"/>
        <v>314.000091</v>
      </c>
      <c r="L910" s="15">
        <f t="shared" si="59"/>
        <v>0.430091</v>
      </c>
    </row>
    <row r="911" spans="1:12" ht="15" customHeight="1" x14ac:dyDescent="0.25">
      <c r="A911" s="10" t="str">
        <f>Raw_Data!A911</f>
        <v>HP GT 53 XL Cartridge Ink</v>
      </c>
      <c r="B911" s="10" t="str">
        <f>IFERROR(TRIM(LEFT(Raw_Data!A911,FIND(" ",Raw_Data!A911)-1)),Raw_Data!A911)</f>
        <v>HP</v>
      </c>
      <c r="C911" s="10" t="str">
        <f>IFERROR(LEFT(Raw_Data!B911,FIND("|",Raw_Data!B911)-1),Raw_Data!B911)</f>
        <v>Computers&amp;Accessories</v>
      </c>
      <c r="D911" s="11">
        <f>IFERROR(VALUE(SUBSTITUTE(SUBSTITUTE(TRIM(Raw_Data!C911),"₹",""),",","")),"")</f>
        <v>596</v>
      </c>
      <c r="E911" s="11">
        <f>IFERROR(VALUE(SUBSTITUTE(SUBSTITUTE(TRIM(Raw_Data!D911),"₹",""),",","")),"")</f>
        <v>723</v>
      </c>
      <c r="F911" s="12">
        <f>IFERROR(VALUE(SUBSTITUTE(Raw_Data!E911,"%",""))/100,"")</f>
        <v>0.18</v>
      </c>
      <c r="G911" s="13">
        <f>IFERROR(VALUE(Raw_Data!F911),"")</f>
        <v>4.4000000000000004</v>
      </c>
      <c r="H911" s="14">
        <f>IFERROR(VALUE(SUBSTITUTE(Raw_Data!G911,",","")),"")</f>
        <v>3219</v>
      </c>
      <c r="I911" s="11">
        <f t="shared" si="56"/>
        <v>127</v>
      </c>
      <c r="J911" s="11">
        <f t="shared" si="57"/>
        <v>1918524</v>
      </c>
      <c r="K911" s="1">
        <f t="shared" si="58"/>
        <v>3219.0000911000002</v>
      </c>
      <c r="L911" s="15">
        <f t="shared" si="59"/>
        <v>0.1800911</v>
      </c>
    </row>
    <row r="912" spans="1:12" ht="15" customHeight="1" x14ac:dyDescent="0.25">
      <c r="A912" s="10" t="str">
        <f>Raw_Data!A912</f>
        <v>Noise ColorFit Ultra Smart Watch with 1.75" HD Display, Aluminium Alloy Body, 60 Sports Modes, Spo2, Lightweight, Stock Market Info, Calls &amp; SMS Reply (Space Blue)</v>
      </c>
      <c r="B912" s="10" t="str">
        <f>IFERROR(TRIM(LEFT(Raw_Data!A912,FIND(" ",Raw_Data!A912)-1)),Raw_Data!A912)</f>
        <v>Noise</v>
      </c>
      <c r="C912" s="10" t="str">
        <f>IFERROR(LEFT(Raw_Data!B912,FIND("|",Raw_Data!B912)-1),Raw_Data!B912)</f>
        <v>Electronics</v>
      </c>
      <c r="D912" s="11">
        <f>IFERROR(VALUE(SUBSTITUTE(SUBSTITUTE(TRIM(Raw_Data!C912),"₹",""),",","")),"")</f>
        <v>2499</v>
      </c>
      <c r="E912" s="11">
        <f>IFERROR(VALUE(SUBSTITUTE(SUBSTITUTE(TRIM(Raw_Data!D912),"₹",""),",","")),"")</f>
        <v>5999</v>
      </c>
      <c r="F912" s="12">
        <f>IFERROR(VALUE(SUBSTITUTE(Raw_Data!E912,"%",""))/100,"")</f>
        <v>0.57999999999999996</v>
      </c>
      <c r="G912" s="13">
        <f>IFERROR(VALUE(Raw_Data!F912),"")</f>
        <v>4.0999999999999996</v>
      </c>
      <c r="H912" s="14">
        <f>IFERROR(VALUE(SUBSTITUTE(Raw_Data!G912,",","")),"")</f>
        <v>38879</v>
      </c>
      <c r="I912" s="11">
        <f t="shared" si="56"/>
        <v>3500</v>
      </c>
      <c r="J912" s="11">
        <f t="shared" si="57"/>
        <v>97158621</v>
      </c>
      <c r="K912" s="1">
        <f t="shared" si="58"/>
        <v>38879.000091200003</v>
      </c>
      <c r="L912" s="15">
        <f t="shared" si="59"/>
        <v>0.58009119999999992</v>
      </c>
    </row>
    <row r="913" spans="1:12" ht="15" customHeight="1" x14ac:dyDescent="0.25">
      <c r="A913" s="10" t="str">
        <f>Raw_Data!A913</f>
        <v>Zebronics Zeb-JUKEBAR 3900, 80W Multimedia soundbar with subwoofer Supporting Bluetooth, HDMI(ARC), Coaxial Input, AUX, USB &amp; Remote Control (Black)</v>
      </c>
      <c r="B913" s="10" t="str">
        <f>IFERROR(TRIM(LEFT(Raw_Data!A913,FIND(" ",Raw_Data!A913)-1)),Raw_Data!A913)</f>
        <v>Zebronics</v>
      </c>
      <c r="C913" s="10" t="str">
        <f>IFERROR(LEFT(Raw_Data!B913,FIND("|",Raw_Data!B913)-1),Raw_Data!B913)</f>
        <v>Electronics</v>
      </c>
      <c r="D913" s="11">
        <f>IFERROR(VALUE(SUBSTITUTE(SUBSTITUTE(TRIM(Raw_Data!C913),"₹",""),",","")),"")</f>
        <v>4999</v>
      </c>
      <c r="E913" s="11">
        <f>IFERROR(VALUE(SUBSTITUTE(SUBSTITUTE(TRIM(Raw_Data!D913),"₹",""),",","")),"")</f>
        <v>12499</v>
      </c>
      <c r="F913" s="12">
        <f>IFERROR(VALUE(SUBSTITUTE(Raw_Data!E913,"%",""))/100,"")</f>
        <v>0.6</v>
      </c>
      <c r="G913" s="13">
        <f>IFERROR(VALUE(Raw_Data!F913),"")</f>
        <v>4.2</v>
      </c>
      <c r="H913" s="14">
        <f>IFERROR(VALUE(SUBSTITUTE(Raw_Data!G913,",","")),"")</f>
        <v>4541</v>
      </c>
      <c r="I913" s="11">
        <f t="shared" si="56"/>
        <v>7500</v>
      </c>
      <c r="J913" s="11">
        <f t="shared" si="57"/>
        <v>22700459</v>
      </c>
      <c r="K913" s="1">
        <f t="shared" si="58"/>
        <v>4541.0000913000003</v>
      </c>
      <c r="L913" s="15">
        <f t="shared" si="59"/>
        <v>0.60009129999999999</v>
      </c>
    </row>
    <row r="914" spans="1:12" ht="15" customHeight="1" x14ac:dyDescent="0.25">
      <c r="A914" s="10" t="str">
        <f>Raw_Data!A914</f>
        <v>boAt Bassheads 102 Wired in Ear Earphones with Mic (Mint Green)</v>
      </c>
      <c r="B914" s="10" t="str">
        <f>IFERROR(TRIM(LEFT(Raw_Data!A914,FIND(" ",Raw_Data!A914)-1)),Raw_Data!A914)</f>
        <v>boAt</v>
      </c>
      <c r="C914" s="10" t="str">
        <f>IFERROR(LEFT(Raw_Data!B914,FIND("|",Raw_Data!B914)-1),Raw_Data!B914)</f>
        <v>Electronics</v>
      </c>
      <c r="D914" s="11">
        <f>IFERROR(VALUE(SUBSTITUTE(SUBSTITUTE(TRIM(Raw_Data!C914),"₹",""),",","")),"")</f>
        <v>399</v>
      </c>
      <c r="E914" s="11">
        <f>IFERROR(VALUE(SUBSTITUTE(SUBSTITUTE(TRIM(Raw_Data!D914),"₹",""),",","")),"")</f>
        <v>1290</v>
      </c>
      <c r="F914" s="12">
        <f>IFERROR(VALUE(SUBSTITUTE(Raw_Data!E914,"%",""))/100,"")</f>
        <v>0.69</v>
      </c>
      <c r="G914" s="13">
        <f>IFERROR(VALUE(Raw_Data!F914),"")</f>
        <v>4.2</v>
      </c>
      <c r="H914" s="14">
        <f>IFERROR(VALUE(SUBSTITUTE(Raw_Data!G914,",","")),"")</f>
        <v>76042</v>
      </c>
      <c r="I914" s="11">
        <f t="shared" si="56"/>
        <v>891</v>
      </c>
      <c r="J914" s="11">
        <f t="shared" si="57"/>
        <v>30340758</v>
      </c>
      <c r="K914" s="1">
        <f t="shared" si="58"/>
        <v>76042.000091399997</v>
      </c>
      <c r="L914" s="15">
        <f t="shared" si="59"/>
        <v>0.69009139999999991</v>
      </c>
    </row>
    <row r="915" spans="1:12" ht="15" customHeight="1" x14ac:dyDescent="0.25">
      <c r="A915" s="10" t="str">
        <f>Raw_Data!A915</f>
        <v>Duracell CR2016 3V Lithium Coin Battery, 5 pcs, 2016 Coin Button Cell Battery, DL2016</v>
      </c>
      <c r="B915" s="10" t="str">
        <f>IFERROR(TRIM(LEFT(Raw_Data!A915,FIND(" ",Raw_Data!A915)-1)),Raw_Data!A915)</f>
        <v>Duracell</v>
      </c>
      <c r="C915" s="10" t="str">
        <f>IFERROR(LEFT(Raw_Data!B915,FIND("|",Raw_Data!B915)-1),Raw_Data!B915)</f>
        <v>Electronics</v>
      </c>
      <c r="D915" s="11">
        <f>IFERROR(VALUE(SUBSTITUTE(SUBSTITUTE(TRIM(Raw_Data!C915),"₹",""),",","")),"")</f>
        <v>116</v>
      </c>
      <c r="E915" s="11">
        <f>IFERROR(VALUE(SUBSTITUTE(SUBSTITUTE(TRIM(Raw_Data!D915),"₹",""),",","")),"")</f>
        <v>200</v>
      </c>
      <c r="F915" s="12">
        <f>IFERROR(VALUE(SUBSTITUTE(Raw_Data!E915,"%",""))/100,"")</f>
        <v>0.42</v>
      </c>
      <c r="G915" s="13">
        <f>IFERROR(VALUE(Raw_Data!F915),"")</f>
        <v>4.3</v>
      </c>
      <c r="H915" s="14">
        <f>IFERROR(VALUE(SUBSTITUTE(Raw_Data!G915,",","")),"")</f>
        <v>485</v>
      </c>
      <c r="I915" s="11">
        <f t="shared" si="56"/>
        <v>84</v>
      </c>
      <c r="J915" s="11">
        <f t="shared" si="57"/>
        <v>56260</v>
      </c>
      <c r="K915" s="1">
        <f t="shared" si="58"/>
        <v>485.0000915</v>
      </c>
      <c r="L915" s="15">
        <f t="shared" si="59"/>
        <v>0.42009150000000001</v>
      </c>
    </row>
    <row r="916" spans="1:12" ht="15" customHeight="1" x14ac:dyDescent="0.25">
      <c r="A916" s="10" t="str">
        <f>Raw_Data!A916</f>
        <v>MI 360° Home Security Wireless Camera 2K Pro with Bluetooth Gateway BLE 4.2 l Dual Band Wi-fi Connection l 3 Million 1296p| Full Color in Low-Light | AI Human Detection, White</v>
      </c>
      <c r="B916" s="10" t="str">
        <f>IFERROR(TRIM(LEFT(Raw_Data!A916,FIND(" ",Raw_Data!A916)-1)),Raw_Data!A916)</f>
        <v>MI</v>
      </c>
      <c r="C916" s="10" t="str">
        <f>IFERROR(LEFT(Raw_Data!B916,FIND("|",Raw_Data!B916)-1),Raw_Data!B916)</f>
        <v>Electronics</v>
      </c>
      <c r="D916" s="11">
        <f>IFERROR(VALUE(SUBSTITUTE(SUBSTITUTE(TRIM(Raw_Data!C916),"₹",""),",","")),"")</f>
        <v>4499</v>
      </c>
      <c r="E916" s="11">
        <f>IFERROR(VALUE(SUBSTITUTE(SUBSTITUTE(TRIM(Raw_Data!D916),"₹",""),",","")),"")</f>
        <v>5999</v>
      </c>
      <c r="F916" s="12">
        <f>IFERROR(VALUE(SUBSTITUTE(Raw_Data!E916,"%",""))/100,"")</f>
        <v>0.25</v>
      </c>
      <c r="G916" s="13">
        <f>IFERROR(VALUE(Raw_Data!F916),"")</f>
        <v>4.3</v>
      </c>
      <c r="H916" s="14">
        <f>IFERROR(VALUE(SUBSTITUTE(Raw_Data!G916,",","")),"")</f>
        <v>44696</v>
      </c>
      <c r="I916" s="11">
        <f t="shared" si="56"/>
        <v>1500</v>
      </c>
      <c r="J916" s="11">
        <f t="shared" si="57"/>
        <v>201087304</v>
      </c>
      <c r="K916" s="1">
        <f t="shared" si="58"/>
        <v>44696.000091599999</v>
      </c>
      <c r="L916" s="15">
        <f t="shared" si="59"/>
        <v>0.25009160000000002</v>
      </c>
    </row>
    <row r="917" spans="1:12" ht="15" customHeight="1" x14ac:dyDescent="0.25">
      <c r="A917" s="10" t="str">
        <f>Raw_Data!A917</f>
        <v>ZEBRONICS Zeb-100HB 4 Ports USB Hub for Laptop, PC Computers, Plug &amp; Play, Backward Compatible - Black</v>
      </c>
      <c r="B917" s="10" t="str">
        <f>IFERROR(TRIM(LEFT(Raw_Data!A917,FIND(" ",Raw_Data!A917)-1)),Raw_Data!A917)</f>
        <v>ZEBRONICS</v>
      </c>
      <c r="C917" s="10" t="str">
        <f>IFERROR(LEFT(Raw_Data!B917,FIND("|",Raw_Data!B917)-1),Raw_Data!B917)</f>
        <v>Computers&amp;Accessories</v>
      </c>
      <c r="D917" s="11">
        <f>IFERROR(VALUE(SUBSTITUTE(SUBSTITUTE(TRIM(Raw_Data!C917),"₹",""),",","")),"")</f>
        <v>330</v>
      </c>
      <c r="E917" s="11">
        <f>IFERROR(VALUE(SUBSTITUTE(SUBSTITUTE(TRIM(Raw_Data!D917),"₹",""),",","")),"")</f>
        <v>499</v>
      </c>
      <c r="F917" s="12">
        <f>IFERROR(VALUE(SUBSTITUTE(Raw_Data!E917,"%",""))/100,"")</f>
        <v>0.34</v>
      </c>
      <c r="G917" s="13">
        <f>IFERROR(VALUE(Raw_Data!F917),"")</f>
        <v>3.7</v>
      </c>
      <c r="H917" s="14">
        <f>IFERROR(VALUE(SUBSTITUTE(Raw_Data!G917,",","")),"")</f>
        <v>8566</v>
      </c>
      <c r="I917" s="11">
        <f t="shared" si="56"/>
        <v>169</v>
      </c>
      <c r="J917" s="11">
        <f t="shared" si="57"/>
        <v>2826780</v>
      </c>
      <c r="K917" s="1">
        <f t="shared" si="58"/>
        <v>8566.0000916999998</v>
      </c>
      <c r="L917" s="15">
        <f t="shared" si="59"/>
        <v>0.3400917</v>
      </c>
    </row>
    <row r="918" spans="1:12" ht="15" customHeight="1" x14ac:dyDescent="0.25">
      <c r="A918" s="10" t="str">
        <f>Raw_Data!A918</f>
        <v>Boult Audio Bass Buds Q2 Lightweight Stereo Wired Over Ear Headphones Set with Mic with Deep Bass, Comfortable Ear Cushions, &amp; Long Cord (Black)</v>
      </c>
      <c r="B918" s="10" t="str">
        <f>IFERROR(TRIM(LEFT(Raw_Data!A918,FIND(" ",Raw_Data!A918)-1)),Raw_Data!A918)</f>
        <v>Boult</v>
      </c>
      <c r="C918" s="10" t="str">
        <f>IFERROR(LEFT(Raw_Data!B918,FIND("|",Raw_Data!B918)-1),Raw_Data!B918)</f>
        <v>Electronics</v>
      </c>
      <c r="D918" s="11">
        <f>IFERROR(VALUE(SUBSTITUTE(SUBSTITUTE(TRIM(Raw_Data!C918),"₹",""),",","")),"")</f>
        <v>649</v>
      </c>
      <c r="E918" s="11">
        <f>IFERROR(VALUE(SUBSTITUTE(SUBSTITUTE(TRIM(Raw_Data!D918),"₹",""),",","")),"")</f>
        <v>2499</v>
      </c>
      <c r="F918" s="12">
        <f>IFERROR(VALUE(SUBSTITUTE(Raw_Data!E918,"%",""))/100,"")</f>
        <v>0.74</v>
      </c>
      <c r="G918" s="13">
        <f>IFERROR(VALUE(Raw_Data!F918),"")</f>
        <v>3.9</v>
      </c>
      <c r="H918" s="14">
        <f>IFERROR(VALUE(SUBSTITUTE(Raw_Data!G918,",","")),"")</f>
        <v>13049</v>
      </c>
      <c r="I918" s="11">
        <f t="shared" si="56"/>
        <v>1850</v>
      </c>
      <c r="J918" s="11">
        <f t="shared" si="57"/>
        <v>8468801</v>
      </c>
      <c r="K918" s="1">
        <f t="shared" si="58"/>
        <v>13049.000091800001</v>
      </c>
      <c r="L918" s="15">
        <f t="shared" si="59"/>
        <v>0.74009179999999997</v>
      </c>
    </row>
    <row r="919" spans="1:12" ht="15" customHeight="1" x14ac:dyDescent="0.25">
      <c r="A919" s="10" t="str">
        <f>Raw_Data!A919</f>
        <v>ESR Screen Protector Compatible with iPad Pro 11 Inch (2022/2021/2020/2018) and iPad Air 5/4 (2022/2020, 10.9 Inch), Tempered-Glass Film with Alignment Frame, Scratch Resistant, HD Clarity, 2 Pack</v>
      </c>
      <c r="B919" s="10" t="str">
        <f>IFERROR(TRIM(LEFT(Raw_Data!A919,FIND(" ",Raw_Data!A919)-1)),Raw_Data!A919)</f>
        <v>ESR</v>
      </c>
      <c r="C919" s="10" t="str">
        <f>IFERROR(LEFT(Raw_Data!B919,FIND("|",Raw_Data!B919)-1),Raw_Data!B919)</f>
        <v>Computers&amp;Accessories</v>
      </c>
      <c r="D919" s="11">
        <f>IFERROR(VALUE(SUBSTITUTE(SUBSTITUTE(TRIM(Raw_Data!C919),"₹",""),",","")),"")</f>
        <v>1234</v>
      </c>
      <c r="E919" s="11">
        <f>IFERROR(VALUE(SUBSTITUTE(SUBSTITUTE(TRIM(Raw_Data!D919),"₹",""),",","")),"")</f>
        <v>1599</v>
      </c>
      <c r="F919" s="12">
        <f>IFERROR(VALUE(SUBSTITUTE(Raw_Data!E919,"%",""))/100,"")</f>
        <v>0.23</v>
      </c>
      <c r="G919" s="13">
        <f>IFERROR(VALUE(Raw_Data!F919),"")</f>
        <v>4.5</v>
      </c>
      <c r="H919" s="14">
        <f>IFERROR(VALUE(SUBSTITUTE(Raw_Data!G919,",","")),"")</f>
        <v>16680</v>
      </c>
      <c r="I919" s="11">
        <f t="shared" si="56"/>
        <v>365</v>
      </c>
      <c r="J919" s="11">
        <f t="shared" si="57"/>
        <v>20583120</v>
      </c>
      <c r="K919" s="1">
        <f t="shared" si="58"/>
        <v>16680.000091900001</v>
      </c>
      <c r="L919" s="15">
        <f t="shared" si="59"/>
        <v>0.23009190000000002</v>
      </c>
    </row>
    <row r="920" spans="1:12" ht="15" customHeight="1" x14ac:dyDescent="0.25">
      <c r="A920" s="10" t="str">
        <f>Raw_Data!A920</f>
        <v>boAt Rockerz 400 Bluetooth On Ear Headphones With Mic With Upto 8 Hours Playback &amp; Soft Padded Ear Cushions(Grey/Green)</v>
      </c>
      <c r="B920" s="10" t="str">
        <f>IFERROR(TRIM(LEFT(Raw_Data!A920,FIND(" ",Raw_Data!A920)-1)),Raw_Data!A920)</f>
        <v>boAt</v>
      </c>
      <c r="C920" s="10" t="str">
        <f>IFERROR(LEFT(Raw_Data!B920,FIND("|",Raw_Data!B920)-1),Raw_Data!B920)</f>
        <v>Electronics</v>
      </c>
      <c r="D920" s="11">
        <f>IFERROR(VALUE(SUBSTITUTE(SUBSTITUTE(TRIM(Raw_Data!C920),"₹",""),",","")),"")</f>
        <v>1399</v>
      </c>
      <c r="E920" s="11">
        <f>IFERROR(VALUE(SUBSTITUTE(SUBSTITUTE(TRIM(Raw_Data!D920),"₹",""),",","")),"")</f>
        <v>2990</v>
      </c>
      <c r="F920" s="12">
        <f>IFERROR(VALUE(SUBSTITUTE(Raw_Data!E920,"%",""))/100,"")</f>
        <v>0.53</v>
      </c>
      <c r="G920" s="13">
        <f>IFERROR(VALUE(Raw_Data!F920),"")</f>
        <v>4.0999999999999996</v>
      </c>
      <c r="H920" s="14">
        <f>IFERROR(VALUE(SUBSTITUTE(Raw_Data!G920,",","")),"")</f>
        <v>97174</v>
      </c>
      <c r="I920" s="11">
        <f t="shared" si="56"/>
        <v>1591</v>
      </c>
      <c r="J920" s="11">
        <f t="shared" si="57"/>
        <v>135946426</v>
      </c>
      <c r="K920" s="1">
        <f t="shared" si="58"/>
        <v>97174.000092000002</v>
      </c>
      <c r="L920" s="15">
        <f t="shared" si="59"/>
        <v>0.53009200000000001</v>
      </c>
    </row>
    <row r="921" spans="1:12" ht="15" customHeight="1" x14ac:dyDescent="0.25">
      <c r="A921" s="10" t="str">
        <f>Raw_Data!A921</f>
        <v>Parker Vector Standard Chrome Trim Ball Pen (Ink - Black)</v>
      </c>
      <c r="B921" s="10" t="str">
        <f>IFERROR(TRIM(LEFT(Raw_Data!A921,FIND(" ",Raw_Data!A921)-1)),Raw_Data!A921)</f>
        <v>Parker</v>
      </c>
      <c r="C921" s="10" t="str">
        <f>IFERROR(LEFT(Raw_Data!B921,FIND("|",Raw_Data!B921)-1),Raw_Data!B921)</f>
        <v>OfficeProducts</v>
      </c>
      <c r="D921" s="11">
        <f>IFERROR(VALUE(SUBSTITUTE(SUBSTITUTE(TRIM(Raw_Data!C921),"₹",""),",","")),"")</f>
        <v>272</v>
      </c>
      <c r="E921" s="11">
        <f>IFERROR(VALUE(SUBSTITUTE(SUBSTITUTE(TRIM(Raw_Data!D921),"₹",""),",","")),"")</f>
        <v>320</v>
      </c>
      <c r="F921" s="12">
        <f>IFERROR(VALUE(SUBSTITUTE(Raw_Data!E921,"%",""))/100,"")</f>
        <v>0.15</v>
      </c>
      <c r="G921" s="13">
        <f>IFERROR(VALUE(Raw_Data!F921),"")</f>
        <v>4</v>
      </c>
      <c r="H921" s="14">
        <f>IFERROR(VALUE(SUBSTITUTE(Raw_Data!G921,",","")),"")</f>
        <v>3686</v>
      </c>
      <c r="I921" s="11">
        <f t="shared" si="56"/>
        <v>48</v>
      </c>
      <c r="J921" s="11">
        <f t="shared" si="57"/>
        <v>1002592</v>
      </c>
      <c r="K921" s="1">
        <f t="shared" si="58"/>
        <v>3686.0000921000001</v>
      </c>
      <c r="L921" s="15">
        <f t="shared" si="59"/>
        <v>0.15009210000000001</v>
      </c>
    </row>
    <row r="922" spans="1:12" ht="15" customHeight="1" x14ac:dyDescent="0.25">
      <c r="A922" s="10" t="str">
        <f>Raw_Data!A922</f>
        <v>Silicone Rubber Earbuds Tips, Eartips, Earpads, Earplugs, for Replacement in Earphones and Bluetooth Medium Size (10 Pcs Black)</v>
      </c>
      <c r="B922" s="10" t="str">
        <f>IFERROR(TRIM(LEFT(Raw_Data!A922,FIND(" ",Raw_Data!A922)-1)),Raw_Data!A922)</f>
        <v>Silicone</v>
      </c>
      <c r="C922" s="10" t="str">
        <f>IFERROR(LEFT(Raw_Data!B922,FIND("|",Raw_Data!B922)-1),Raw_Data!B922)</f>
        <v>Electronics</v>
      </c>
      <c r="D922" s="11">
        <f>IFERROR(VALUE(SUBSTITUTE(SUBSTITUTE(TRIM(Raw_Data!C922),"₹",""),",","")),"")</f>
        <v>99</v>
      </c>
      <c r="E922" s="11">
        <f>IFERROR(VALUE(SUBSTITUTE(SUBSTITUTE(TRIM(Raw_Data!D922),"₹",""),",","")),"")</f>
        <v>999</v>
      </c>
      <c r="F922" s="12">
        <f>IFERROR(VALUE(SUBSTITUTE(Raw_Data!E922,"%",""))/100,"")</f>
        <v>0.9</v>
      </c>
      <c r="G922" s="13">
        <f>IFERROR(VALUE(Raw_Data!F922),"")</f>
        <v>3.8</v>
      </c>
      <c r="H922" s="14">
        <f>IFERROR(VALUE(SUBSTITUTE(Raw_Data!G922,",","")),"")</f>
        <v>594</v>
      </c>
      <c r="I922" s="11">
        <f t="shared" si="56"/>
        <v>900</v>
      </c>
      <c r="J922" s="11">
        <f t="shared" si="57"/>
        <v>58806</v>
      </c>
      <c r="K922" s="1">
        <f t="shared" si="58"/>
        <v>594.00009220000004</v>
      </c>
      <c r="L922" s="15">
        <f t="shared" si="59"/>
        <v>0.90009220000000001</v>
      </c>
    </row>
    <row r="923" spans="1:12" ht="15" customHeight="1" x14ac:dyDescent="0.25">
      <c r="A923" s="10" t="str">
        <f>Raw_Data!A923</f>
        <v>Canon PIXMA MG2577s All-in-One Inkjet Colour Printer with 1 Additional Colour Cartridge</v>
      </c>
      <c r="B923" s="10" t="str">
        <f>IFERROR(TRIM(LEFT(Raw_Data!A923,FIND(" ",Raw_Data!A923)-1)),Raw_Data!A923)</f>
        <v>Canon</v>
      </c>
      <c r="C923" s="10" t="str">
        <f>IFERROR(LEFT(Raw_Data!B923,FIND("|",Raw_Data!B923)-1),Raw_Data!B923)</f>
        <v>Computers&amp;Accessories</v>
      </c>
      <c r="D923" s="11">
        <f>IFERROR(VALUE(SUBSTITUTE(SUBSTITUTE(TRIM(Raw_Data!C923),"₹",""),",","")),"")</f>
        <v>3498</v>
      </c>
      <c r="E923" s="11">
        <f>IFERROR(VALUE(SUBSTITUTE(SUBSTITUTE(TRIM(Raw_Data!D923),"₹",""),",","")),"")</f>
        <v>3875</v>
      </c>
      <c r="F923" s="12">
        <f>IFERROR(VALUE(SUBSTITUTE(Raw_Data!E923,"%",""))/100,"")</f>
        <v>0.1</v>
      </c>
      <c r="G923" s="13">
        <f>IFERROR(VALUE(Raw_Data!F923),"")</f>
        <v>3.4</v>
      </c>
      <c r="H923" s="14">
        <f>IFERROR(VALUE(SUBSTITUTE(Raw_Data!G923,",","")),"")</f>
        <v>12185</v>
      </c>
      <c r="I923" s="11">
        <f t="shared" si="56"/>
        <v>377</v>
      </c>
      <c r="J923" s="11">
        <f t="shared" si="57"/>
        <v>42623130</v>
      </c>
      <c r="K923" s="1">
        <f t="shared" si="58"/>
        <v>12185.000092300001</v>
      </c>
      <c r="L923" s="15">
        <f t="shared" si="59"/>
        <v>0.10009230000000001</v>
      </c>
    </row>
    <row r="924" spans="1:12" ht="15" customHeight="1" x14ac:dyDescent="0.25">
      <c r="A924" s="10" t="str">
        <f>Raw_Data!A924</f>
        <v>Samsung 24-inch(60.46cm) FHD Monitor, IPS, 75 Hz, Bezel Less Design, AMD FreeSync, Flicker Free, HDMI, D-sub, (LF24T350FHWXXL, Dark Blue Gray)</v>
      </c>
      <c r="B924" s="10" t="str">
        <f>IFERROR(TRIM(LEFT(Raw_Data!A924,FIND(" ",Raw_Data!A924)-1)),Raw_Data!A924)</f>
        <v>Samsung</v>
      </c>
      <c r="C924" s="10" t="str">
        <f>IFERROR(LEFT(Raw_Data!B924,FIND("|",Raw_Data!B924)-1),Raw_Data!B924)</f>
        <v>Computers&amp;Accessories</v>
      </c>
      <c r="D924" s="11">
        <f>IFERROR(VALUE(SUBSTITUTE(SUBSTITUTE(TRIM(Raw_Data!C924),"₹",""),",","")),"")</f>
        <v>10099</v>
      </c>
      <c r="E924" s="11">
        <f>IFERROR(VALUE(SUBSTITUTE(SUBSTITUTE(TRIM(Raw_Data!D924),"₹",""),",","")),"")</f>
        <v>19110</v>
      </c>
      <c r="F924" s="12">
        <f>IFERROR(VALUE(SUBSTITUTE(Raw_Data!E924,"%",""))/100,"")</f>
        <v>0.47</v>
      </c>
      <c r="G924" s="13">
        <f>IFERROR(VALUE(Raw_Data!F924),"")</f>
        <v>4.3</v>
      </c>
      <c r="H924" s="14">
        <f>IFERROR(VALUE(SUBSTITUTE(Raw_Data!G924,",","")),"")</f>
        <v>2623</v>
      </c>
      <c r="I924" s="11">
        <f t="shared" si="56"/>
        <v>9011</v>
      </c>
      <c r="J924" s="11">
        <f t="shared" si="57"/>
        <v>26489677</v>
      </c>
      <c r="K924" s="1">
        <f t="shared" si="58"/>
        <v>2623.0000924000001</v>
      </c>
      <c r="L924" s="15">
        <f t="shared" si="59"/>
        <v>0.47009239999999997</v>
      </c>
    </row>
    <row r="925" spans="1:12" ht="15" customHeight="1" x14ac:dyDescent="0.25">
      <c r="A925" s="10" t="str">
        <f>Raw_Data!A925</f>
        <v>AirCase Protective Laptop Bag Sleeve fits Upto 14.1" Laptop/ MacBook, Wrinkle Free, Padded, Waterproof Light Neoprene case Cover Pouch, for Men &amp; Women, Black- 6 Months Warranty</v>
      </c>
      <c r="B925" s="10" t="str">
        <f>IFERROR(TRIM(LEFT(Raw_Data!A925,FIND(" ",Raw_Data!A925)-1)),Raw_Data!A925)</f>
        <v>AirCase</v>
      </c>
      <c r="C925" s="10" t="str">
        <f>IFERROR(LEFT(Raw_Data!B925,FIND("|",Raw_Data!B925)-1),Raw_Data!B925)</f>
        <v>Computers&amp;Accessories</v>
      </c>
      <c r="D925" s="11">
        <f>IFERROR(VALUE(SUBSTITUTE(SUBSTITUTE(TRIM(Raw_Data!C925),"₹",""),",","")),"")</f>
        <v>449</v>
      </c>
      <c r="E925" s="11">
        <f>IFERROR(VALUE(SUBSTITUTE(SUBSTITUTE(TRIM(Raw_Data!D925),"₹",""),",","")),"")</f>
        <v>999</v>
      </c>
      <c r="F925" s="12">
        <f>IFERROR(VALUE(SUBSTITUTE(Raw_Data!E925,"%",""))/100,"")</f>
        <v>0.55000000000000004</v>
      </c>
      <c r="G925" s="13">
        <f>IFERROR(VALUE(Raw_Data!F925),"")</f>
        <v>4.3</v>
      </c>
      <c r="H925" s="14">
        <f>IFERROR(VALUE(SUBSTITUTE(Raw_Data!G925,",","")),"")</f>
        <v>9701</v>
      </c>
      <c r="I925" s="11">
        <f t="shared" si="56"/>
        <v>550</v>
      </c>
      <c r="J925" s="11">
        <f t="shared" si="57"/>
        <v>4355749</v>
      </c>
      <c r="K925" s="1">
        <f t="shared" si="58"/>
        <v>9701.0000925000004</v>
      </c>
      <c r="L925" s="15">
        <f t="shared" si="59"/>
        <v>0.5500925000000001</v>
      </c>
    </row>
    <row r="926" spans="1:12" ht="15" customHeight="1" x14ac:dyDescent="0.25">
      <c r="A926" s="10" t="str">
        <f>Raw_Data!A926</f>
        <v>Faber-Castell Connector Pen Set - Pack of 25 (Assorted)</v>
      </c>
      <c r="B926" s="10" t="str">
        <f>IFERROR(TRIM(LEFT(Raw_Data!A926,FIND(" ",Raw_Data!A926)-1)),Raw_Data!A926)</f>
        <v>Faber-Castell</v>
      </c>
      <c r="C926" s="10" t="str">
        <f>IFERROR(LEFT(Raw_Data!B926,FIND("|",Raw_Data!B926)-1),Raw_Data!B926)</f>
        <v>Toys&amp;Games</v>
      </c>
      <c r="D926" s="11">
        <f>IFERROR(VALUE(SUBSTITUTE(SUBSTITUTE(TRIM(Raw_Data!C926),"₹",""),",","")),"")</f>
        <v>150</v>
      </c>
      <c r="E926" s="11">
        <f>IFERROR(VALUE(SUBSTITUTE(SUBSTITUTE(TRIM(Raw_Data!D926),"₹",""),",","")),"")</f>
        <v>150</v>
      </c>
      <c r="F926" s="12">
        <f>IFERROR(VALUE(SUBSTITUTE(Raw_Data!E926,"%",""))/100,"")</f>
        <v>0</v>
      </c>
      <c r="G926" s="13">
        <f>IFERROR(VALUE(Raw_Data!F926),"")</f>
        <v>4.3</v>
      </c>
      <c r="H926" s="14">
        <f>IFERROR(VALUE(SUBSTITUTE(Raw_Data!G926,",","")),"")</f>
        <v>15867</v>
      </c>
      <c r="I926" s="11">
        <f t="shared" si="56"/>
        <v>0</v>
      </c>
      <c r="J926" s="11">
        <f t="shared" si="57"/>
        <v>2380050</v>
      </c>
      <c r="K926" s="1">
        <f t="shared" si="58"/>
        <v>15867.000092599999</v>
      </c>
      <c r="L926" s="15">
        <f t="shared" si="59"/>
        <v>9.2600000000000001E-5</v>
      </c>
    </row>
    <row r="927" spans="1:12" ht="15" customHeight="1" x14ac:dyDescent="0.25">
      <c r="A927" s="10" t="str">
        <f>Raw_Data!A927</f>
        <v>Wecool Unbreakable 3 in 1 Charging Cable with 3A Speed, Fast Charging Multi Purpose Cable 1.25 Mtr Long, Type C cable, Micro Usb Cable and Cable for iPhone, White</v>
      </c>
      <c r="B927" s="10" t="str">
        <f>IFERROR(TRIM(LEFT(Raw_Data!A927,FIND(" ",Raw_Data!A927)-1)),Raw_Data!A927)</f>
        <v>Wecool</v>
      </c>
      <c r="C927" s="10" t="str">
        <f>IFERROR(LEFT(Raw_Data!B927,FIND("|",Raw_Data!B927)-1),Raw_Data!B927)</f>
        <v>Computers&amp;Accessories</v>
      </c>
      <c r="D927" s="11">
        <f>IFERROR(VALUE(SUBSTITUTE(SUBSTITUTE(TRIM(Raw_Data!C927),"₹",""),",","")),"")</f>
        <v>348</v>
      </c>
      <c r="E927" s="11">
        <f>IFERROR(VALUE(SUBSTITUTE(SUBSTITUTE(TRIM(Raw_Data!D927),"₹",""),",","")),"")</f>
        <v>1499</v>
      </c>
      <c r="F927" s="12">
        <f>IFERROR(VALUE(SUBSTITUTE(Raw_Data!E927,"%",""))/100,"")</f>
        <v>0.77</v>
      </c>
      <c r="G927" s="13">
        <f>IFERROR(VALUE(Raw_Data!F927),"")</f>
        <v>4.2</v>
      </c>
      <c r="H927" s="14">
        <f>IFERROR(VALUE(SUBSTITUTE(Raw_Data!G927,",","")),"")</f>
        <v>656</v>
      </c>
      <c r="I927" s="11">
        <f t="shared" si="56"/>
        <v>1151</v>
      </c>
      <c r="J927" s="11">
        <f t="shared" si="57"/>
        <v>228288</v>
      </c>
      <c r="K927" s="1">
        <f t="shared" si="58"/>
        <v>656.00009269999998</v>
      </c>
      <c r="L927" s="15">
        <f t="shared" si="59"/>
        <v>0.77009269999999996</v>
      </c>
    </row>
    <row r="928" spans="1:12" ht="15" customHeight="1" x14ac:dyDescent="0.25">
      <c r="A928" s="10" t="str">
        <f>Raw_Data!A928</f>
        <v>Zinq UPS for Router, Mini UPS for 12V WiFi Router Broadband Modem with Upto 4 Hours Power Backup, Upto 2Amp, Works with Existing Adapter, Also Works with Set-top Box, Smart Camera, CCTV (Black)</v>
      </c>
      <c r="B928" s="10" t="str">
        <f>IFERROR(TRIM(LEFT(Raw_Data!A928,FIND(" ",Raw_Data!A928)-1)),Raw_Data!A928)</f>
        <v>Zinq</v>
      </c>
      <c r="C928" s="10" t="str">
        <f>IFERROR(LEFT(Raw_Data!B928,FIND("|",Raw_Data!B928)-1),Raw_Data!B928)</f>
        <v>Computers&amp;Accessories</v>
      </c>
      <c r="D928" s="11">
        <f>IFERROR(VALUE(SUBSTITUTE(SUBSTITUTE(TRIM(Raw_Data!C928),"₹",""),",","")),"")</f>
        <v>1199</v>
      </c>
      <c r="E928" s="11">
        <f>IFERROR(VALUE(SUBSTITUTE(SUBSTITUTE(TRIM(Raw_Data!D928),"₹",""),",","")),"")</f>
        <v>2999</v>
      </c>
      <c r="F928" s="12">
        <f>IFERROR(VALUE(SUBSTITUTE(Raw_Data!E928,"%",""))/100,"")</f>
        <v>0.6</v>
      </c>
      <c r="G928" s="13">
        <f>IFERROR(VALUE(Raw_Data!F928),"")</f>
        <v>4.0999999999999996</v>
      </c>
      <c r="H928" s="14">
        <f>IFERROR(VALUE(SUBSTITUTE(Raw_Data!G928,",","")),"")</f>
        <v>10725</v>
      </c>
      <c r="I928" s="11">
        <f t="shared" si="56"/>
        <v>1800</v>
      </c>
      <c r="J928" s="11">
        <f t="shared" si="57"/>
        <v>12859275</v>
      </c>
      <c r="K928" s="1">
        <f t="shared" si="58"/>
        <v>10725.000092800001</v>
      </c>
      <c r="L928" s="15">
        <f t="shared" si="59"/>
        <v>0.60009279999999998</v>
      </c>
    </row>
    <row r="929" spans="1:12" ht="15" customHeight="1" x14ac:dyDescent="0.25">
      <c r="A929" s="10" t="str">
        <f>Raw_Data!A929</f>
        <v>SaleOn™ Portable Storage Organizer Bag for Earphone USB Cable Power Bank Mobile Charger Digital Gadget Hard Disk, Water Resistance Material - Dark Grey</v>
      </c>
      <c r="B929" s="10" t="str">
        <f>IFERROR(TRIM(LEFT(Raw_Data!A929,FIND(" ",Raw_Data!A929)-1)),Raw_Data!A929)</f>
        <v>SaleOn™</v>
      </c>
      <c r="C929" s="10" t="str">
        <f>IFERROR(LEFT(Raw_Data!B929,FIND("|",Raw_Data!B929)-1),Raw_Data!B929)</f>
        <v>Computers&amp;Accessories</v>
      </c>
      <c r="D929" s="11">
        <f>IFERROR(VALUE(SUBSTITUTE(SUBSTITUTE(TRIM(Raw_Data!C929),"₹",""),",","")),"")</f>
        <v>397</v>
      </c>
      <c r="E929" s="11">
        <f>IFERROR(VALUE(SUBSTITUTE(SUBSTITUTE(TRIM(Raw_Data!D929),"₹",""),",","")),"")</f>
        <v>899</v>
      </c>
      <c r="F929" s="12">
        <f>IFERROR(VALUE(SUBSTITUTE(Raw_Data!E929,"%",""))/100,"")</f>
        <v>0.56000000000000005</v>
      </c>
      <c r="G929" s="13">
        <f>IFERROR(VALUE(Raw_Data!F929),"")</f>
        <v>4</v>
      </c>
      <c r="H929" s="14">
        <f>IFERROR(VALUE(SUBSTITUTE(Raw_Data!G929,",","")),"")</f>
        <v>3025</v>
      </c>
      <c r="I929" s="11">
        <f t="shared" si="56"/>
        <v>502</v>
      </c>
      <c r="J929" s="11">
        <f t="shared" si="57"/>
        <v>1200925</v>
      </c>
      <c r="K929" s="1">
        <f t="shared" si="58"/>
        <v>3025.0000928999998</v>
      </c>
      <c r="L929" s="15">
        <f t="shared" si="59"/>
        <v>0.5600929</v>
      </c>
    </row>
    <row r="930" spans="1:12" ht="15" customHeight="1" x14ac:dyDescent="0.25">
      <c r="A930" s="10" t="str">
        <f>Raw_Data!A930</f>
        <v>Portronics Konnect L 1.2Mtr, Fast Charging 3A Micro USB Cable with Charge &amp; Sync Function (Grey)</v>
      </c>
      <c r="B930" s="10" t="str">
        <f>IFERROR(TRIM(LEFT(Raw_Data!A930,FIND(" ",Raw_Data!A930)-1)),Raw_Data!A930)</f>
        <v>Portronics</v>
      </c>
      <c r="C930" s="10" t="str">
        <f>IFERROR(LEFT(Raw_Data!B930,FIND("|",Raw_Data!B930)-1),Raw_Data!B930)</f>
        <v>Computers&amp;Accessories</v>
      </c>
      <c r="D930" s="11">
        <f>IFERROR(VALUE(SUBSTITUTE(SUBSTITUTE(TRIM(Raw_Data!C930),"₹",""),",","")),"")</f>
        <v>154</v>
      </c>
      <c r="E930" s="11">
        <f>IFERROR(VALUE(SUBSTITUTE(SUBSTITUTE(TRIM(Raw_Data!D930),"₹",""),",","")),"")</f>
        <v>349</v>
      </c>
      <c r="F930" s="12">
        <f>IFERROR(VALUE(SUBSTITUTE(Raw_Data!E930,"%",""))/100,"")</f>
        <v>0.56000000000000005</v>
      </c>
      <c r="G930" s="13">
        <f>IFERROR(VALUE(Raw_Data!F930),"")</f>
        <v>4.3</v>
      </c>
      <c r="H930" s="14">
        <f>IFERROR(VALUE(SUBSTITUTE(Raw_Data!G930,",","")),"")</f>
        <v>7064</v>
      </c>
      <c r="I930" s="11">
        <f t="shared" si="56"/>
        <v>195</v>
      </c>
      <c r="J930" s="11">
        <f t="shared" si="57"/>
        <v>1087856</v>
      </c>
      <c r="K930" s="1">
        <f t="shared" si="58"/>
        <v>7064.0000929999997</v>
      </c>
      <c r="L930" s="15">
        <f t="shared" si="59"/>
        <v>0.56009300000000006</v>
      </c>
    </row>
    <row r="931" spans="1:12" ht="15" customHeight="1" x14ac:dyDescent="0.25">
      <c r="A931" s="10" t="str">
        <f>Raw_Data!A931</f>
        <v>RPM Euro Games Laptop/PC Controller Wired for Windows - 7, 8, 8.1, 10 and XP, Ps3(Upgraded with XYAB Buttons)</v>
      </c>
      <c r="B931" s="10" t="str">
        <f>IFERROR(TRIM(LEFT(Raw_Data!A931,FIND(" ",Raw_Data!A931)-1)),Raw_Data!A931)</f>
        <v>RPM</v>
      </c>
      <c r="C931" s="10" t="str">
        <f>IFERROR(LEFT(Raw_Data!B931,FIND("|",Raw_Data!B931)-1),Raw_Data!B931)</f>
        <v>Computers&amp;Accessories</v>
      </c>
      <c r="D931" s="11">
        <f>IFERROR(VALUE(SUBSTITUTE(SUBSTITUTE(TRIM(Raw_Data!C931),"₹",""),",","")),"")</f>
        <v>699</v>
      </c>
      <c r="E931" s="11">
        <f>IFERROR(VALUE(SUBSTITUTE(SUBSTITUTE(TRIM(Raw_Data!D931),"₹",""),",","")),"")</f>
        <v>1490</v>
      </c>
      <c r="F931" s="12">
        <f>IFERROR(VALUE(SUBSTITUTE(Raw_Data!E931,"%",""))/100,"")</f>
        <v>0.53</v>
      </c>
      <c r="G931" s="13">
        <f>IFERROR(VALUE(Raw_Data!F931),"")</f>
        <v>4</v>
      </c>
      <c r="H931" s="14">
        <f>IFERROR(VALUE(SUBSTITUTE(Raw_Data!G931,",","")),"")</f>
        <v>5736</v>
      </c>
      <c r="I931" s="11">
        <f t="shared" si="56"/>
        <v>791</v>
      </c>
      <c r="J931" s="11">
        <f t="shared" si="57"/>
        <v>4009464</v>
      </c>
      <c r="K931" s="1">
        <f t="shared" si="58"/>
        <v>5736.0000931000004</v>
      </c>
      <c r="L931" s="15">
        <f t="shared" si="59"/>
        <v>0.53009309999999998</v>
      </c>
    </row>
    <row r="932" spans="1:12" ht="15" customHeight="1" x14ac:dyDescent="0.25">
      <c r="A932" s="10" t="str">
        <f>Raw_Data!A932</f>
        <v>realme Buds Wireless in Ear Bluetooth Earphones with mic, 11.2mm Bass Boost Driver, Magnetic Fast Pair, Fast Charging and 12 Hrs Playtime (Yellow)</v>
      </c>
      <c r="B932" s="10" t="str">
        <f>IFERROR(TRIM(LEFT(Raw_Data!A932,FIND(" ",Raw_Data!A932)-1)),Raw_Data!A932)</f>
        <v>realme</v>
      </c>
      <c r="C932" s="10" t="str">
        <f>IFERROR(LEFT(Raw_Data!B932,FIND("|",Raw_Data!B932)-1),Raw_Data!B932)</f>
        <v>Electronics</v>
      </c>
      <c r="D932" s="11">
        <f>IFERROR(VALUE(SUBSTITUTE(SUBSTITUTE(TRIM(Raw_Data!C932),"₹",""),",","")),"")</f>
        <v>1679</v>
      </c>
      <c r="E932" s="11">
        <f>IFERROR(VALUE(SUBSTITUTE(SUBSTITUTE(TRIM(Raw_Data!D932),"₹",""),",","")),"")</f>
        <v>1999</v>
      </c>
      <c r="F932" s="12">
        <f>IFERROR(VALUE(SUBSTITUTE(Raw_Data!E932,"%",""))/100,"")</f>
        <v>0.16</v>
      </c>
      <c r="G932" s="13">
        <f>IFERROR(VALUE(Raw_Data!F932),"")</f>
        <v>4.0999999999999996</v>
      </c>
      <c r="H932" s="14">
        <f>IFERROR(VALUE(SUBSTITUTE(Raw_Data!G932,",","")),"")</f>
        <v>72563</v>
      </c>
      <c r="I932" s="11">
        <f t="shared" si="56"/>
        <v>320</v>
      </c>
      <c r="J932" s="11">
        <f t="shared" si="57"/>
        <v>121833277</v>
      </c>
      <c r="K932" s="1">
        <f t="shared" si="58"/>
        <v>72563.000093199997</v>
      </c>
      <c r="L932" s="15">
        <f t="shared" si="59"/>
        <v>0.16009319999999999</v>
      </c>
    </row>
    <row r="933" spans="1:12" ht="15" customHeight="1" x14ac:dyDescent="0.25">
      <c r="A933" s="10" t="str">
        <f>Raw_Data!A933</f>
        <v>TVARA LCD Writing Tablet, 8.5" Inch Colorful Toddler Doodle Board Drawing Tablet, Erasable Reusable Electronic Drawing Pads, Educational and Learning Tool for 3-6 Years Old Boy and Girls Mix Colors</v>
      </c>
      <c r="B933" s="10" t="str">
        <f>IFERROR(TRIM(LEFT(Raw_Data!A933,FIND(" ",Raw_Data!A933)-1)),Raw_Data!A933)</f>
        <v>TVARA</v>
      </c>
      <c r="C933" s="10" t="str">
        <f>IFERROR(LEFT(Raw_Data!B933,FIND("|",Raw_Data!B933)-1),Raw_Data!B933)</f>
        <v>Computers&amp;Accessories</v>
      </c>
      <c r="D933" s="11">
        <f>IFERROR(VALUE(SUBSTITUTE(SUBSTITUTE(TRIM(Raw_Data!C933),"₹",""),",","")),"")</f>
        <v>354</v>
      </c>
      <c r="E933" s="11">
        <f>IFERROR(VALUE(SUBSTITUTE(SUBSTITUTE(TRIM(Raw_Data!D933),"₹",""),",","")),"")</f>
        <v>1500</v>
      </c>
      <c r="F933" s="12">
        <f>IFERROR(VALUE(SUBSTITUTE(Raw_Data!E933,"%",""))/100,"")</f>
        <v>0.76</v>
      </c>
      <c r="G933" s="13">
        <f>IFERROR(VALUE(Raw_Data!F933),"")</f>
        <v>4</v>
      </c>
      <c r="H933" s="14">
        <f>IFERROR(VALUE(SUBSTITUTE(Raw_Data!G933,",","")),"")</f>
        <v>1026</v>
      </c>
      <c r="I933" s="11">
        <f t="shared" si="56"/>
        <v>1146</v>
      </c>
      <c r="J933" s="11">
        <f t="shared" si="57"/>
        <v>363204</v>
      </c>
      <c r="K933" s="1">
        <f t="shared" si="58"/>
        <v>1026.0000932999999</v>
      </c>
      <c r="L933" s="15">
        <f t="shared" si="59"/>
        <v>0.76009329999999997</v>
      </c>
    </row>
    <row r="934" spans="1:12" ht="15" customHeight="1" x14ac:dyDescent="0.25">
      <c r="A934" s="10" t="str">
        <f>Raw_Data!A934</f>
        <v>Wings Phantom Pro Earphones Gaming Earbuds with LED Battery Indicator, 50ms Low Latency, Bluetooth 5.3, 40 Hours Playtime, MEMs Mic, IPX4 Resist, 12mm Driver, 500mah case, Headphones, (Black TWS)</v>
      </c>
      <c r="B934" s="10" t="str">
        <f>IFERROR(TRIM(LEFT(Raw_Data!A934,FIND(" ",Raw_Data!A934)-1)),Raw_Data!A934)</f>
        <v>Wings</v>
      </c>
      <c r="C934" s="10" t="str">
        <f>IFERROR(LEFT(Raw_Data!B934,FIND("|",Raw_Data!B934)-1),Raw_Data!B934)</f>
        <v>Computers&amp;Accessories</v>
      </c>
      <c r="D934" s="11">
        <f>IFERROR(VALUE(SUBSTITUTE(SUBSTITUTE(TRIM(Raw_Data!C934),"₹",""),",","")),"")</f>
        <v>1199</v>
      </c>
      <c r="E934" s="11">
        <f>IFERROR(VALUE(SUBSTITUTE(SUBSTITUTE(TRIM(Raw_Data!D934),"₹",""),",","")),"")</f>
        <v>5499</v>
      </c>
      <c r="F934" s="12">
        <f>IFERROR(VALUE(SUBSTITUTE(Raw_Data!E934,"%",""))/100,"")</f>
        <v>0.78</v>
      </c>
      <c r="G934" s="13">
        <f>IFERROR(VALUE(Raw_Data!F934),"")</f>
        <v>3.8</v>
      </c>
      <c r="H934" s="14">
        <f>IFERROR(VALUE(SUBSTITUTE(Raw_Data!G934,",","")),"")</f>
        <v>2043</v>
      </c>
      <c r="I934" s="11">
        <f t="shared" si="56"/>
        <v>4300</v>
      </c>
      <c r="J934" s="11">
        <f t="shared" si="57"/>
        <v>2449557</v>
      </c>
      <c r="K934" s="1">
        <f t="shared" si="58"/>
        <v>2043.0000934</v>
      </c>
      <c r="L934" s="15">
        <f t="shared" si="59"/>
        <v>0.78009340000000005</v>
      </c>
    </row>
    <row r="935" spans="1:12" ht="15" customHeight="1" x14ac:dyDescent="0.25">
      <c r="A935" s="10" t="str">
        <f>Raw_Data!A935</f>
        <v>Robustrion [Anti-Scratch] &amp; [Smudge Proof] [S Pen Compatible] Premium Tempered Glass Screen Protector for Samsung Tab S6 Lite 10.4 inch SM-P610/615 [Bubble Free]</v>
      </c>
      <c r="B935" s="10" t="str">
        <f>IFERROR(TRIM(LEFT(Raw_Data!A935,FIND(" ",Raw_Data!A935)-1)),Raw_Data!A935)</f>
        <v>Robustrion</v>
      </c>
      <c r="C935" s="10" t="str">
        <f>IFERROR(LEFT(Raw_Data!B935,FIND("|",Raw_Data!B935)-1),Raw_Data!B935)</f>
        <v>Computers&amp;Accessories</v>
      </c>
      <c r="D935" s="11">
        <f>IFERROR(VALUE(SUBSTITUTE(SUBSTITUTE(TRIM(Raw_Data!C935),"₹",""),",","")),"")</f>
        <v>379</v>
      </c>
      <c r="E935" s="11">
        <f>IFERROR(VALUE(SUBSTITUTE(SUBSTITUTE(TRIM(Raw_Data!D935),"₹",""),",","")),"")</f>
        <v>1499</v>
      </c>
      <c r="F935" s="12">
        <f>IFERROR(VALUE(SUBSTITUTE(Raw_Data!E935,"%",""))/100,"")</f>
        <v>0.75</v>
      </c>
      <c r="G935" s="13">
        <f>IFERROR(VALUE(Raw_Data!F935),"")</f>
        <v>4.2</v>
      </c>
      <c r="H935" s="14">
        <f>IFERROR(VALUE(SUBSTITUTE(Raw_Data!G935,",","")),"")</f>
        <v>4149</v>
      </c>
      <c r="I935" s="11">
        <f t="shared" si="56"/>
        <v>1120</v>
      </c>
      <c r="J935" s="11">
        <f t="shared" si="57"/>
        <v>1572471</v>
      </c>
      <c r="K935" s="1">
        <f t="shared" si="58"/>
        <v>4149.0000934999998</v>
      </c>
      <c r="L935" s="15">
        <f t="shared" si="59"/>
        <v>0.75009349999999997</v>
      </c>
    </row>
    <row r="936" spans="1:12" ht="15" customHeight="1" x14ac:dyDescent="0.25">
      <c r="A936" s="10" t="str">
        <f>Raw_Data!A936</f>
        <v>Cablet 2.5 Inch SATA USB 3.0 HDD/SSD Portable External Enclosure for 7mm and 9.5mm, Tool-Free Design, Supports UASP Max 6TB</v>
      </c>
      <c r="B936" s="10" t="str">
        <f>IFERROR(TRIM(LEFT(Raw_Data!A936,FIND(" ",Raw_Data!A936)-1)),Raw_Data!A936)</f>
        <v>Cablet</v>
      </c>
      <c r="C936" s="10" t="str">
        <f>IFERROR(LEFT(Raw_Data!B936,FIND("|",Raw_Data!B936)-1),Raw_Data!B936)</f>
        <v>Computers&amp;Accessories</v>
      </c>
      <c r="D936" s="11">
        <f>IFERROR(VALUE(SUBSTITUTE(SUBSTITUTE(TRIM(Raw_Data!C936),"₹",""),",","")),"")</f>
        <v>499</v>
      </c>
      <c r="E936" s="11">
        <f>IFERROR(VALUE(SUBSTITUTE(SUBSTITUTE(TRIM(Raw_Data!D936),"₹",""),",","")),"")</f>
        <v>775</v>
      </c>
      <c r="F936" s="12">
        <f>IFERROR(VALUE(SUBSTITUTE(Raw_Data!E936,"%",""))/100,"")</f>
        <v>0.36</v>
      </c>
      <c r="G936" s="13">
        <f>IFERROR(VALUE(Raw_Data!F936),"")</f>
        <v>4.3</v>
      </c>
      <c r="H936" s="14">
        <f>IFERROR(VALUE(SUBSTITUTE(Raw_Data!G936,",","")),"")</f>
        <v>74</v>
      </c>
      <c r="I936" s="11">
        <f t="shared" si="56"/>
        <v>276</v>
      </c>
      <c r="J936" s="11">
        <f t="shared" si="57"/>
        <v>36926</v>
      </c>
      <c r="K936" s="1">
        <f t="shared" si="58"/>
        <v>74.0000936</v>
      </c>
      <c r="L936" s="15">
        <f t="shared" si="59"/>
        <v>0.36009360000000001</v>
      </c>
    </row>
    <row r="937" spans="1:12" ht="15" customHeight="1" x14ac:dyDescent="0.25">
      <c r="A937" s="10" t="str">
        <f>Raw_Data!A937</f>
        <v>SanDisk 1TB Extreme Portable SSD 1050MB/s R, 1000MB/s W,Upto 2 Meter Drop Protection with IP55 Water/dust Resistance, HW Encryption, PC,MAC &amp; TypeC Smartphone Compatible, 5Y Warranty, External SSD</v>
      </c>
      <c r="B937" s="10" t="str">
        <f>IFERROR(TRIM(LEFT(Raw_Data!A937,FIND(" ",Raw_Data!A937)-1)),Raw_Data!A937)</f>
        <v>SanDisk</v>
      </c>
      <c r="C937" s="10" t="str">
        <f>IFERROR(LEFT(Raw_Data!B937,FIND("|",Raw_Data!B937)-1),Raw_Data!B937)</f>
        <v>Computers&amp;Accessories</v>
      </c>
      <c r="D937" s="11">
        <f>IFERROR(VALUE(SUBSTITUTE(SUBSTITUTE(TRIM(Raw_Data!C937),"₹",""),",","")),"")</f>
        <v>10389</v>
      </c>
      <c r="E937" s="11">
        <f>IFERROR(VALUE(SUBSTITUTE(SUBSTITUTE(TRIM(Raw_Data!D937),"₹",""),",","")),"")</f>
        <v>32000</v>
      </c>
      <c r="F937" s="12">
        <f>IFERROR(VALUE(SUBSTITUTE(Raw_Data!E937,"%",""))/100,"")</f>
        <v>0.68</v>
      </c>
      <c r="G937" s="13">
        <f>IFERROR(VALUE(Raw_Data!F937),"")</f>
        <v>4.4000000000000004</v>
      </c>
      <c r="H937" s="14">
        <f>IFERROR(VALUE(SUBSTITUTE(Raw_Data!G937,",","")),"")</f>
        <v>41398</v>
      </c>
      <c r="I937" s="11">
        <f t="shared" si="56"/>
        <v>21611</v>
      </c>
      <c r="J937" s="11">
        <f t="shared" si="57"/>
        <v>430083822</v>
      </c>
      <c r="K937" s="1">
        <f t="shared" si="58"/>
        <v>41398.0000937</v>
      </c>
      <c r="L937" s="15">
        <f t="shared" si="59"/>
        <v>0.68009370000000002</v>
      </c>
    </row>
    <row r="938" spans="1:12" ht="15" customHeight="1" x14ac:dyDescent="0.25">
      <c r="A938" s="10" t="str">
        <f>Raw_Data!A938</f>
        <v>ZEBRONICS Zeb-Warrior II 10 watts 2.0 Multimedia Speaker with RGB Lights, USB Powered, AUX Input, Volume Control Pod for PC, Laptops, Desktop</v>
      </c>
      <c r="B938" s="10" t="str">
        <f>IFERROR(TRIM(LEFT(Raw_Data!A938,FIND(" ",Raw_Data!A938)-1)),Raw_Data!A938)</f>
        <v>ZEBRONICS</v>
      </c>
      <c r="C938" s="10" t="str">
        <f>IFERROR(LEFT(Raw_Data!B938,FIND("|",Raw_Data!B938)-1),Raw_Data!B938)</f>
        <v>Computers&amp;Accessories</v>
      </c>
      <c r="D938" s="11">
        <f>IFERROR(VALUE(SUBSTITUTE(SUBSTITUTE(TRIM(Raw_Data!C938),"₹",""),",","")),"")</f>
        <v>649</v>
      </c>
      <c r="E938" s="11">
        <f>IFERROR(VALUE(SUBSTITUTE(SUBSTITUTE(TRIM(Raw_Data!D938),"₹",""),",","")),"")</f>
        <v>1300</v>
      </c>
      <c r="F938" s="12">
        <f>IFERROR(VALUE(SUBSTITUTE(Raw_Data!E938,"%",""))/100,"")</f>
        <v>0.5</v>
      </c>
      <c r="G938" s="13">
        <f>IFERROR(VALUE(Raw_Data!F938),"")</f>
        <v>4.0999999999999996</v>
      </c>
      <c r="H938" s="14">
        <f>IFERROR(VALUE(SUBSTITUTE(Raw_Data!G938,",","")),"")</f>
        <v>5195</v>
      </c>
      <c r="I938" s="11">
        <f t="shared" si="56"/>
        <v>651</v>
      </c>
      <c r="J938" s="11">
        <f t="shared" si="57"/>
        <v>3371555</v>
      </c>
      <c r="K938" s="1">
        <f t="shared" si="58"/>
        <v>5195.0000938000003</v>
      </c>
      <c r="L938" s="15">
        <f t="shared" si="59"/>
        <v>0.50009380000000003</v>
      </c>
    </row>
    <row r="939" spans="1:12" ht="15" customHeight="1" x14ac:dyDescent="0.25">
      <c r="A939" s="10" t="str">
        <f>Raw_Data!A939</f>
        <v>TP-Link UE300C USB Type-C to RJ45 Gigabit Ethernet Network Adapter/RJ45 LAN Wired Adapter for Ultrabook, Chromebook, Laptop, Desktop, Plug &amp; Play, USB 3.0, Foldable and Portable Design</v>
      </c>
      <c r="B939" s="10" t="str">
        <f>IFERROR(TRIM(LEFT(Raw_Data!A939,FIND(" ",Raw_Data!A939)-1)),Raw_Data!A939)</f>
        <v>TP-Link</v>
      </c>
      <c r="C939" s="10" t="str">
        <f>IFERROR(LEFT(Raw_Data!B939,FIND("|",Raw_Data!B939)-1),Raw_Data!B939)</f>
        <v>Computers&amp;Accessories</v>
      </c>
      <c r="D939" s="11">
        <f>IFERROR(VALUE(SUBSTITUTE(SUBSTITUTE(TRIM(Raw_Data!C939),"₹",""),",","")),"")</f>
        <v>1199</v>
      </c>
      <c r="E939" s="11">
        <f>IFERROR(VALUE(SUBSTITUTE(SUBSTITUTE(TRIM(Raw_Data!D939),"₹",""),",","")),"")</f>
        <v>1999</v>
      </c>
      <c r="F939" s="12">
        <f>IFERROR(VALUE(SUBSTITUTE(Raw_Data!E939,"%",""))/100,"")</f>
        <v>0.4</v>
      </c>
      <c r="G939" s="13">
        <f>IFERROR(VALUE(Raw_Data!F939),"")</f>
        <v>4.5</v>
      </c>
      <c r="H939" s="14">
        <f>IFERROR(VALUE(SUBSTITUTE(Raw_Data!G939,",","")),"")</f>
        <v>22420</v>
      </c>
      <c r="I939" s="11">
        <f t="shared" si="56"/>
        <v>800</v>
      </c>
      <c r="J939" s="11">
        <f t="shared" si="57"/>
        <v>26881580</v>
      </c>
      <c r="K939" s="1">
        <f t="shared" si="58"/>
        <v>22420.000093899998</v>
      </c>
      <c r="L939" s="15">
        <f t="shared" si="59"/>
        <v>0.4000939</v>
      </c>
    </row>
    <row r="940" spans="1:12" ht="15" customHeight="1" x14ac:dyDescent="0.25">
      <c r="A940" s="10" t="str">
        <f>Raw_Data!A940</f>
        <v>Lapster 1.5 mtr USB 2.0 Type A Male to USB A Male Cable for computer and laptop</v>
      </c>
      <c r="B940" s="10" t="str">
        <f>IFERROR(TRIM(LEFT(Raw_Data!A940,FIND(" ",Raw_Data!A940)-1)),Raw_Data!A940)</f>
        <v>Lapster</v>
      </c>
      <c r="C940" s="10" t="str">
        <f>IFERROR(LEFT(Raw_Data!B940,FIND("|",Raw_Data!B940)-1),Raw_Data!B940)</f>
        <v>Computers&amp;Accessories</v>
      </c>
      <c r="D940" s="11">
        <f>IFERROR(VALUE(SUBSTITUTE(SUBSTITUTE(TRIM(Raw_Data!C940),"₹",""),",","")),"")</f>
        <v>139</v>
      </c>
      <c r="E940" s="11">
        <f>IFERROR(VALUE(SUBSTITUTE(SUBSTITUTE(TRIM(Raw_Data!D940),"₹",""),",","")),"")</f>
        <v>999</v>
      </c>
      <c r="F940" s="12">
        <f>IFERROR(VALUE(SUBSTITUTE(Raw_Data!E940,"%",""))/100,"")</f>
        <v>0.86</v>
      </c>
      <c r="G940" s="13">
        <f>IFERROR(VALUE(Raw_Data!F940),"")</f>
        <v>4</v>
      </c>
      <c r="H940" s="14">
        <f>IFERROR(VALUE(SUBSTITUTE(Raw_Data!G940,",","")),"")</f>
        <v>1313</v>
      </c>
      <c r="I940" s="11">
        <f t="shared" si="56"/>
        <v>860</v>
      </c>
      <c r="J940" s="11">
        <f t="shared" si="57"/>
        <v>182507</v>
      </c>
      <c r="K940" s="1">
        <f t="shared" si="58"/>
        <v>1313.000094</v>
      </c>
      <c r="L940" s="15">
        <f t="shared" si="59"/>
        <v>0.86009400000000003</v>
      </c>
    </row>
    <row r="941" spans="1:12" ht="15" customHeight="1" x14ac:dyDescent="0.25">
      <c r="A941" s="10" t="str">
        <f>Raw_Data!A941</f>
        <v>Wecool Moonwalk M1 ENC True Wireless in Ear Earbuds with Mic, Titanium Drivers for Rich Bass Experience, 40+ Hours Play Time, Type C Fast Charging, Low Latency, BT 5.3, IPX5, Deep Bass (Black)</v>
      </c>
      <c r="B941" s="10" t="str">
        <f>IFERROR(TRIM(LEFT(Raw_Data!A941,FIND(" ",Raw_Data!A941)-1)),Raw_Data!A941)</f>
        <v>Wecool</v>
      </c>
      <c r="C941" s="10" t="str">
        <f>IFERROR(LEFT(Raw_Data!B941,FIND("|",Raw_Data!B941)-1),Raw_Data!B941)</f>
        <v>Electronics</v>
      </c>
      <c r="D941" s="11">
        <f>IFERROR(VALUE(SUBSTITUTE(SUBSTITUTE(TRIM(Raw_Data!C941),"₹",""),",","")),"")</f>
        <v>889</v>
      </c>
      <c r="E941" s="11">
        <f>IFERROR(VALUE(SUBSTITUTE(SUBSTITUTE(TRIM(Raw_Data!D941),"₹",""),",","")),"")</f>
        <v>1999</v>
      </c>
      <c r="F941" s="12">
        <f>IFERROR(VALUE(SUBSTITUTE(Raw_Data!E941,"%",""))/100,"")</f>
        <v>0.56000000000000005</v>
      </c>
      <c r="G941" s="13">
        <f>IFERROR(VALUE(Raw_Data!F941),"")</f>
        <v>4.2</v>
      </c>
      <c r="H941" s="14">
        <f>IFERROR(VALUE(SUBSTITUTE(Raw_Data!G941,",","")),"")</f>
        <v>2284</v>
      </c>
      <c r="I941" s="11">
        <f t="shared" si="56"/>
        <v>1110</v>
      </c>
      <c r="J941" s="11">
        <f t="shared" si="57"/>
        <v>2030476</v>
      </c>
      <c r="K941" s="1">
        <f t="shared" si="58"/>
        <v>2284.0000940999998</v>
      </c>
      <c r="L941" s="15">
        <f t="shared" si="59"/>
        <v>0.56009410000000004</v>
      </c>
    </row>
    <row r="942" spans="1:12" ht="15" customHeight="1" x14ac:dyDescent="0.25">
      <c r="A942" s="10" t="str">
        <f>Raw_Data!A942</f>
        <v>HP 330 Wireless Black Keyboard and Mouse Set with Numeric Keypad, 2.4GHz Wireless Connection and 1600 DPI, USB Receiver, LED Indicators , Black(2V9E6AA)</v>
      </c>
      <c r="B942" s="10" t="str">
        <f>IFERROR(TRIM(LEFT(Raw_Data!A942,FIND(" ",Raw_Data!A942)-1)),Raw_Data!A942)</f>
        <v>HP</v>
      </c>
      <c r="C942" s="10" t="str">
        <f>IFERROR(LEFT(Raw_Data!B942,FIND("|",Raw_Data!B942)-1),Raw_Data!B942)</f>
        <v>Computers&amp;Accessories</v>
      </c>
      <c r="D942" s="11">
        <f>IFERROR(VALUE(SUBSTITUTE(SUBSTITUTE(TRIM(Raw_Data!C942),"₹",""),",","")),"")</f>
        <v>1409</v>
      </c>
      <c r="E942" s="11">
        <f>IFERROR(VALUE(SUBSTITUTE(SUBSTITUTE(TRIM(Raw_Data!D942),"₹",""),",","")),"")</f>
        <v>2199</v>
      </c>
      <c r="F942" s="12">
        <f>IFERROR(VALUE(SUBSTITUTE(Raw_Data!E942,"%",""))/100,"")</f>
        <v>0.36</v>
      </c>
      <c r="G942" s="13">
        <f>IFERROR(VALUE(Raw_Data!F942),"")</f>
        <v>3.9</v>
      </c>
      <c r="H942" s="14">
        <f>IFERROR(VALUE(SUBSTITUTE(Raw_Data!G942,",","")),"")</f>
        <v>427</v>
      </c>
      <c r="I942" s="11">
        <f t="shared" si="56"/>
        <v>790</v>
      </c>
      <c r="J942" s="11">
        <f t="shared" si="57"/>
        <v>601643</v>
      </c>
      <c r="K942" s="1">
        <f t="shared" si="58"/>
        <v>427.00009419999998</v>
      </c>
      <c r="L942" s="15">
        <f t="shared" si="59"/>
        <v>0.36009419999999998</v>
      </c>
    </row>
    <row r="943" spans="1:12" ht="15" customHeight="1" x14ac:dyDescent="0.25">
      <c r="A943" s="10" t="str">
        <f>Raw_Data!A943</f>
        <v>RC PRINT GI 790 Ink Refill for Canon G1000, G1010, G1100, G2000, G2002, G2010, G2012, G2100, G3000, G3010, G3012, G3100, G4000, G4010</v>
      </c>
      <c r="B943" s="10" t="str">
        <f>IFERROR(TRIM(LEFT(Raw_Data!A943,FIND(" ",Raw_Data!A943)-1)),Raw_Data!A943)</f>
        <v>RC</v>
      </c>
      <c r="C943" s="10" t="str">
        <f>IFERROR(LEFT(Raw_Data!B943,FIND("|",Raw_Data!B943)-1),Raw_Data!B943)</f>
        <v>Computers&amp;Accessories</v>
      </c>
      <c r="D943" s="11">
        <f>IFERROR(VALUE(SUBSTITUTE(SUBSTITUTE(TRIM(Raw_Data!C943),"₹",""),",","")),"")</f>
        <v>549</v>
      </c>
      <c r="E943" s="11">
        <f>IFERROR(VALUE(SUBSTITUTE(SUBSTITUTE(TRIM(Raw_Data!D943),"₹",""),",","")),"")</f>
        <v>1999</v>
      </c>
      <c r="F943" s="12">
        <f>IFERROR(VALUE(SUBSTITUTE(Raw_Data!E943,"%",""))/100,"")</f>
        <v>0.73</v>
      </c>
      <c r="G943" s="13">
        <f>IFERROR(VALUE(Raw_Data!F943),"")</f>
        <v>4.3</v>
      </c>
      <c r="H943" s="14">
        <f>IFERROR(VALUE(SUBSTITUTE(Raw_Data!G943,",","")),"")</f>
        <v>1367</v>
      </c>
      <c r="I943" s="11">
        <f t="shared" si="56"/>
        <v>1450</v>
      </c>
      <c r="J943" s="11">
        <f t="shared" si="57"/>
        <v>750483</v>
      </c>
      <c r="K943" s="1">
        <f t="shared" si="58"/>
        <v>1367.0000943</v>
      </c>
      <c r="L943" s="15">
        <f t="shared" si="59"/>
        <v>0.73009429999999997</v>
      </c>
    </row>
    <row r="944" spans="1:12" ht="15" customHeight="1" x14ac:dyDescent="0.25">
      <c r="A944" s="10" t="str">
        <f>Raw_Data!A944</f>
        <v>Redgear Cloak Wired RGB Wired Over Ear Gaming Headphones with Mic for PC</v>
      </c>
      <c r="B944" s="10" t="str">
        <f>IFERROR(TRIM(LEFT(Raw_Data!A944,FIND(" ",Raw_Data!A944)-1)),Raw_Data!A944)</f>
        <v>Redgear</v>
      </c>
      <c r="C944" s="10" t="str">
        <f>IFERROR(LEFT(Raw_Data!B944,FIND("|",Raw_Data!B944)-1),Raw_Data!B944)</f>
        <v>Computers&amp;Accessories</v>
      </c>
      <c r="D944" s="11">
        <f>IFERROR(VALUE(SUBSTITUTE(SUBSTITUTE(TRIM(Raw_Data!C944),"₹",""),",","")),"")</f>
        <v>749</v>
      </c>
      <c r="E944" s="11">
        <f>IFERROR(VALUE(SUBSTITUTE(SUBSTITUTE(TRIM(Raw_Data!D944),"₹",""),",","")),"")</f>
        <v>1799</v>
      </c>
      <c r="F944" s="12">
        <f>IFERROR(VALUE(SUBSTITUTE(Raw_Data!E944,"%",""))/100,"")</f>
        <v>0.57999999999999996</v>
      </c>
      <c r="G944" s="13">
        <f>IFERROR(VALUE(Raw_Data!F944),"")</f>
        <v>4</v>
      </c>
      <c r="H944" s="14">
        <f>IFERROR(VALUE(SUBSTITUTE(Raw_Data!G944,",","")),"")</f>
        <v>13199</v>
      </c>
      <c r="I944" s="11">
        <f t="shared" si="56"/>
        <v>1050</v>
      </c>
      <c r="J944" s="11">
        <f t="shared" si="57"/>
        <v>9886051</v>
      </c>
      <c r="K944" s="1">
        <f t="shared" si="58"/>
        <v>13199.0000944</v>
      </c>
      <c r="L944" s="15">
        <f t="shared" si="59"/>
        <v>0.58009440000000001</v>
      </c>
    </row>
    <row r="945" spans="1:12" ht="15" customHeight="1" x14ac:dyDescent="0.25">
      <c r="A945" s="10" t="str">
        <f>Raw_Data!A945</f>
        <v>AmazonBasics USB Type-C to USB Type-C 2.0 Cable - 3 Feet Laptop (0.9 Meters) - White</v>
      </c>
      <c r="B945" s="10" t="str">
        <f>IFERROR(TRIM(LEFT(Raw_Data!A945,FIND(" ",Raw_Data!A945)-1)),Raw_Data!A945)</f>
        <v>AmazonBasics</v>
      </c>
      <c r="C945" s="10" t="str">
        <f>IFERROR(LEFT(Raw_Data!B945,FIND("|",Raw_Data!B945)-1),Raw_Data!B945)</f>
        <v>Computers&amp;Accessories</v>
      </c>
      <c r="D945" s="11">
        <f>IFERROR(VALUE(SUBSTITUTE(SUBSTITUTE(TRIM(Raw_Data!C945),"₹",""),",","")),"")</f>
        <v>329</v>
      </c>
      <c r="E945" s="11">
        <f>IFERROR(VALUE(SUBSTITUTE(SUBSTITUTE(TRIM(Raw_Data!D945),"₹",""),",","")),"")</f>
        <v>845</v>
      </c>
      <c r="F945" s="12">
        <f>IFERROR(VALUE(SUBSTITUTE(Raw_Data!E945,"%",""))/100,"")</f>
        <v>0.61</v>
      </c>
      <c r="G945" s="13">
        <f>IFERROR(VALUE(Raw_Data!F945),"")</f>
        <v>4.2</v>
      </c>
      <c r="H945" s="14">
        <f>IFERROR(VALUE(SUBSTITUTE(Raw_Data!G945,",","")),"")</f>
        <v>29746</v>
      </c>
      <c r="I945" s="11">
        <f t="shared" si="56"/>
        <v>516</v>
      </c>
      <c r="J945" s="11">
        <f t="shared" si="57"/>
        <v>9786434</v>
      </c>
      <c r="K945" s="1">
        <f t="shared" si="58"/>
        <v>29746.000094499999</v>
      </c>
      <c r="L945" s="15">
        <f t="shared" si="59"/>
        <v>0.61009449999999998</v>
      </c>
    </row>
    <row r="946" spans="1:12" ht="15" customHeight="1" x14ac:dyDescent="0.25">
      <c r="A946" s="10" t="str">
        <f>Raw_Data!A946</f>
        <v>Wayona Type C To Type C 65W/3.25A Nylon Braided Fast Charging Cable Compatible For Laptop, Macbook, Samsung Galaxy M33 M53 M51 S20 Ultra, A71, A53, A51, Ipad Pro 2018 (1M, Grey)</v>
      </c>
      <c r="B946" s="10" t="str">
        <f>IFERROR(TRIM(LEFT(Raw_Data!A946,FIND(" ",Raw_Data!A946)-1)),Raw_Data!A946)</f>
        <v>Wayona</v>
      </c>
      <c r="C946" s="10" t="str">
        <f>IFERROR(LEFT(Raw_Data!B946,FIND("|",Raw_Data!B946)-1),Raw_Data!B946)</f>
        <v>Computers&amp;Accessories</v>
      </c>
      <c r="D946" s="11">
        <f>IFERROR(VALUE(SUBSTITUTE(SUBSTITUTE(TRIM(Raw_Data!C946),"₹",""),",","")),"")</f>
        <v>379</v>
      </c>
      <c r="E946" s="11">
        <f>IFERROR(VALUE(SUBSTITUTE(SUBSTITUTE(TRIM(Raw_Data!D946),"₹",""),",","")),"")</f>
        <v>1099</v>
      </c>
      <c r="F946" s="12">
        <f>IFERROR(VALUE(SUBSTITUTE(Raw_Data!E946,"%",""))/100,"")</f>
        <v>0.66</v>
      </c>
      <c r="G946" s="13">
        <f>IFERROR(VALUE(Raw_Data!F946),"")</f>
        <v>4.3</v>
      </c>
      <c r="H946" s="14">
        <f>IFERROR(VALUE(SUBSTITUTE(Raw_Data!G946,",","")),"")</f>
        <v>2806</v>
      </c>
      <c r="I946" s="11">
        <f t="shared" si="56"/>
        <v>720</v>
      </c>
      <c r="J946" s="11">
        <f t="shared" si="57"/>
        <v>1063474</v>
      </c>
      <c r="K946" s="1">
        <f t="shared" si="58"/>
        <v>2806.0000946</v>
      </c>
      <c r="L946" s="15">
        <f t="shared" si="59"/>
        <v>0.66009459999999998</v>
      </c>
    </row>
    <row r="947" spans="1:12" ht="15" customHeight="1" x14ac:dyDescent="0.25">
      <c r="A947" s="10" t="str">
        <f>Raw_Data!A947</f>
        <v>Amazfit GTS2 Mini (New Version) Smart Watch with Always-on AMOLED Display, Alexa Built-in, SpO2, 14 Days' Battery Life, 68 Sports Modes, GPS, HR, Sleep &amp; Stress Monitoring (Meteor Black)</v>
      </c>
      <c r="B947" s="10" t="str">
        <f>IFERROR(TRIM(LEFT(Raw_Data!A947,FIND(" ",Raw_Data!A947)-1)),Raw_Data!A947)</f>
        <v>Amazfit</v>
      </c>
      <c r="C947" s="10" t="str">
        <f>IFERROR(LEFT(Raw_Data!B947,FIND("|",Raw_Data!B947)-1),Raw_Data!B947)</f>
        <v>Electronics</v>
      </c>
      <c r="D947" s="11">
        <f>IFERROR(VALUE(SUBSTITUTE(SUBSTITUTE(TRIM(Raw_Data!C947),"₹",""),",","")),"")</f>
        <v>5998</v>
      </c>
      <c r="E947" s="11">
        <f>IFERROR(VALUE(SUBSTITUTE(SUBSTITUTE(TRIM(Raw_Data!D947),"₹",""),",","")),"")</f>
        <v>7999</v>
      </c>
      <c r="F947" s="12">
        <f>IFERROR(VALUE(SUBSTITUTE(Raw_Data!E947,"%",""))/100,"")</f>
        <v>0.25</v>
      </c>
      <c r="G947" s="13">
        <f>IFERROR(VALUE(Raw_Data!F947),"")</f>
        <v>4.2</v>
      </c>
      <c r="H947" s="14">
        <f>IFERROR(VALUE(SUBSTITUTE(Raw_Data!G947,",","")),"")</f>
        <v>30355</v>
      </c>
      <c r="I947" s="11">
        <f t="shared" si="56"/>
        <v>2001</v>
      </c>
      <c r="J947" s="11">
        <f t="shared" si="57"/>
        <v>182069290</v>
      </c>
      <c r="K947" s="1">
        <f t="shared" si="58"/>
        <v>30355.000094700001</v>
      </c>
      <c r="L947" s="15">
        <f t="shared" si="59"/>
        <v>0.2500947</v>
      </c>
    </row>
    <row r="948" spans="1:12" ht="15" customHeight="1" x14ac:dyDescent="0.25">
      <c r="A948" s="10" t="str">
        <f>Raw_Data!A948</f>
        <v>Tabelito® Polyester Foam, Nylon Hybrid laptopss Bag Sleeve Case Cover Pouch for laptopss Apple/Dell/Lenovo/ Asus/ Hp/Samsung/Mi/MacBook/Ultrabook/Thinkpad/Ideapad/Surfacepro (15.6 inches /39.6cm, Blue) laptopsss</v>
      </c>
      <c r="B948" s="10" t="str">
        <f>IFERROR(TRIM(LEFT(Raw_Data!A948,FIND(" ",Raw_Data!A948)-1)),Raw_Data!A948)</f>
        <v>Tabelito®</v>
      </c>
      <c r="C948" s="10" t="str">
        <f>IFERROR(LEFT(Raw_Data!B948,FIND("|",Raw_Data!B948)-1),Raw_Data!B948)</f>
        <v>Computers&amp;Accessories</v>
      </c>
      <c r="D948" s="11">
        <f>IFERROR(VALUE(SUBSTITUTE(SUBSTITUTE(TRIM(Raw_Data!C948),"₹",""),",","")),"")</f>
        <v>299</v>
      </c>
      <c r="E948" s="11">
        <f>IFERROR(VALUE(SUBSTITUTE(SUBSTITUTE(TRIM(Raw_Data!D948),"₹",""),",","")),"")</f>
        <v>1499</v>
      </c>
      <c r="F948" s="12">
        <f>IFERROR(VALUE(SUBSTITUTE(Raw_Data!E948,"%",""))/100,"")</f>
        <v>0.8</v>
      </c>
      <c r="G948" s="13">
        <f>IFERROR(VALUE(Raw_Data!F948),"")</f>
        <v>4.2</v>
      </c>
      <c r="H948" s="14">
        <f>IFERROR(VALUE(SUBSTITUTE(Raw_Data!G948,",","")),"")</f>
        <v>2868</v>
      </c>
      <c r="I948" s="11">
        <f t="shared" si="56"/>
        <v>1200</v>
      </c>
      <c r="J948" s="11">
        <f t="shared" si="57"/>
        <v>857532</v>
      </c>
      <c r="K948" s="1">
        <f t="shared" si="58"/>
        <v>2868.0000948000002</v>
      </c>
      <c r="L948" s="15">
        <f t="shared" si="59"/>
        <v>0.80009479999999999</v>
      </c>
    </row>
    <row r="949" spans="1:12" ht="15" customHeight="1" x14ac:dyDescent="0.25">
      <c r="A949" s="10" t="str">
        <f>Raw_Data!A949</f>
        <v>Robustrion Anti-Scratch &amp; Smudge Proof Tempered Glass Screen Protector for Xiaomi Mi Pad 5 11 inch</v>
      </c>
      <c r="B949" s="10" t="str">
        <f>IFERROR(TRIM(LEFT(Raw_Data!A949,FIND(" ",Raw_Data!A949)-1)),Raw_Data!A949)</f>
        <v>Robustrion</v>
      </c>
      <c r="C949" s="10" t="str">
        <f>IFERROR(LEFT(Raw_Data!B949,FIND("|",Raw_Data!B949)-1),Raw_Data!B949)</f>
        <v>Computers&amp;Accessories</v>
      </c>
      <c r="D949" s="11">
        <f>IFERROR(VALUE(SUBSTITUTE(SUBSTITUTE(TRIM(Raw_Data!C949),"₹",""),",","")),"")</f>
        <v>379</v>
      </c>
      <c r="E949" s="11">
        <f>IFERROR(VALUE(SUBSTITUTE(SUBSTITUTE(TRIM(Raw_Data!D949),"₹",""),",","")),"")</f>
        <v>1499</v>
      </c>
      <c r="F949" s="12">
        <f>IFERROR(VALUE(SUBSTITUTE(Raw_Data!E949,"%",""))/100,"")</f>
        <v>0.75</v>
      </c>
      <c r="G949" s="13">
        <f>IFERROR(VALUE(Raw_Data!F949),"")</f>
        <v>4.0999999999999996</v>
      </c>
      <c r="H949" s="14">
        <f>IFERROR(VALUE(SUBSTITUTE(Raw_Data!G949,",","")),"")</f>
        <v>670</v>
      </c>
      <c r="I949" s="11">
        <f t="shared" si="56"/>
        <v>1120</v>
      </c>
      <c r="J949" s="11">
        <f t="shared" si="57"/>
        <v>253930</v>
      </c>
      <c r="K949" s="1">
        <f t="shared" si="58"/>
        <v>670.00009490000002</v>
      </c>
      <c r="L949" s="15">
        <f t="shared" si="59"/>
        <v>0.75009490000000001</v>
      </c>
    </row>
    <row r="950" spans="1:12" ht="15" customHeight="1" x14ac:dyDescent="0.25">
      <c r="A950" s="10" t="str">
        <f>Raw_Data!A950</f>
        <v>Portronics Ruffpad 15 Re-Writable LCD Screen 38.1cm (15-inch) Writing Pad for Drawing, Playing, Handwriting Gifts for Kids &amp; Adults (Grey)</v>
      </c>
      <c r="B950" s="10" t="str">
        <f>IFERROR(TRIM(LEFT(Raw_Data!A950,FIND(" ",Raw_Data!A950)-1)),Raw_Data!A950)</f>
        <v>Portronics</v>
      </c>
      <c r="C950" s="10" t="str">
        <f>IFERROR(LEFT(Raw_Data!B950,FIND("|",Raw_Data!B950)-1),Raw_Data!B950)</f>
        <v>OfficeProducts</v>
      </c>
      <c r="D950" s="11">
        <f>IFERROR(VALUE(SUBSTITUTE(SUBSTITUTE(TRIM(Raw_Data!C950),"₹",""),",","")),"")</f>
        <v>1399</v>
      </c>
      <c r="E950" s="11">
        <f>IFERROR(VALUE(SUBSTITUTE(SUBSTITUTE(TRIM(Raw_Data!D950),"₹",""),",","")),"")</f>
        <v>2999</v>
      </c>
      <c r="F950" s="12">
        <f>IFERROR(VALUE(SUBSTITUTE(Raw_Data!E950,"%",""))/100,"")</f>
        <v>0.53</v>
      </c>
      <c r="G950" s="13">
        <f>IFERROR(VALUE(Raw_Data!F950),"")</f>
        <v>4.3</v>
      </c>
      <c r="H950" s="14">
        <f>IFERROR(VALUE(SUBSTITUTE(Raw_Data!G950,",","")),"")</f>
        <v>3530</v>
      </c>
      <c r="I950" s="11">
        <f t="shared" si="56"/>
        <v>1600</v>
      </c>
      <c r="J950" s="11">
        <f t="shared" si="57"/>
        <v>4938470</v>
      </c>
      <c r="K950" s="1">
        <f t="shared" si="58"/>
        <v>3530.0000949999999</v>
      </c>
      <c r="L950" s="15">
        <f t="shared" si="59"/>
        <v>0.53009499999999998</v>
      </c>
    </row>
    <row r="951" spans="1:12" ht="15" customHeight="1" x14ac:dyDescent="0.25">
      <c r="A951" s="10" t="str">
        <f>Raw_Data!A951</f>
        <v>DIGITEK® (DLS-9FT) Lightweight &amp; Portable Aluminum Alloy Light Stand for Ring Light, Reflector, Flash Units, Diffuser, Portrait, Softbox, Studio Lighting &amp; More Ideal for Outdoor &amp; Indoor Shoots</v>
      </c>
      <c r="B951" s="10" t="str">
        <f>IFERROR(TRIM(LEFT(Raw_Data!A951,FIND(" ",Raw_Data!A951)-1)),Raw_Data!A951)</f>
        <v>DIGITEK®</v>
      </c>
      <c r="C951" s="10" t="str">
        <f>IFERROR(LEFT(Raw_Data!B951,FIND("|",Raw_Data!B951)-1),Raw_Data!B951)</f>
        <v>Electronics</v>
      </c>
      <c r="D951" s="11">
        <f>IFERROR(VALUE(SUBSTITUTE(SUBSTITUTE(TRIM(Raw_Data!C951),"₹",""),",","")),"")</f>
        <v>699</v>
      </c>
      <c r="E951" s="11">
        <f>IFERROR(VALUE(SUBSTITUTE(SUBSTITUTE(TRIM(Raw_Data!D951),"₹",""),",","")),"")</f>
        <v>1299</v>
      </c>
      <c r="F951" s="12">
        <f>IFERROR(VALUE(SUBSTITUTE(Raw_Data!E951,"%",""))/100,"")</f>
        <v>0.46</v>
      </c>
      <c r="G951" s="13">
        <f>IFERROR(VALUE(Raw_Data!F951),"")</f>
        <v>4.3</v>
      </c>
      <c r="H951" s="14">
        <f>IFERROR(VALUE(SUBSTITUTE(Raw_Data!G951,",","")),"")</f>
        <v>6183</v>
      </c>
      <c r="I951" s="11">
        <f t="shared" si="56"/>
        <v>600</v>
      </c>
      <c r="J951" s="11">
        <f t="shared" si="57"/>
        <v>4321917</v>
      </c>
      <c r="K951" s="1">
        <f t="shared" si="58"/>
        <v>6183.0000951000002</v>
      </c>
      <c r="L951" s="15">
        <f t="shared" si="59"/>
        <v>0.46009510000000003</v>
      </c>
    </row>
    <row r="952" spans="1:12" ht="15" customHeight="1" x14ac:dyDescent="0.25">
      <c r="A952" s="10" t="str">
        <f>Raw_Data!A952</f>
        <v>Classmate Pulse 1 Subject Notebook - 240mm x 180mm , Soft Cover, 180 Pages, Single Line, Pack of 4</v>
      </c>
      <c r="B952" s="10" t="str">
        <f>IFERROR(TRIM(LEFT(Raw_Data!A952,FIND(" ",Raw_Data!A952)-1)),Raw_Data!A952)</f>
        <v>Classmate</v>
      </c>
      <c r="C952" s="10" t="str">
        <f>IFERROR(LEFT(Raw_Data!B952,FIND("|",Raw_Data!B952)-1),Raw_Data!B952)</f>
        <v>OfficeProducts</v>
      </c>
      <c r="D952" s="11">
        <f>IFERROR(VALUE(SUBSTITUTE(SUBSTITUTE(TRIM(Raw_Data!C952),"₹",""),",","")),"")</f>
        <v>300</v>
      </c>
      <c r="E952" s="11">
        <f>IFERROR(VALUE(SUBSTITUTE(SUBSTITUTE(TRIM(Raw_Data!D952),"₹",""),",","")),"")</f>
        <v>300</v>
      </c>
      <c r="F952" s="12">
        <f>IFERROR(VALUE(SUBSTITUTE(Raw_Data!E952,"%",""))/100,"")</f>
        <v>0</v>
      </c>
      <c r="G952" s="13">
        <f>IFERROR(VALUE(Raw_Data!F952),"")</f>
        <v>4.2</v>
      </c>
      <c r="H952" s="14">
        <f>IFERROR(VALUE(SUBSTITUTE(Raw_Data!G952,",","")),"")</f>
        <v>419</v>
      </c>
      <c r="I952" s="11">
        <f t="shared" si="56"/>
        <v>0</v>
      </c>
      <c r="J952" s="11">
        <f t="shared" si="57"/>
        <v>125700</v>
      </c>
      <c r="K952" s="1">
        <f t="shared" si="58"/>
        <v>419.00009519999998</v>
      </c>
      <c r="L952" s="15">
        <f t="shared" si="59"/>
        <v>9.5199999999999997E-5</v>
      </c>
    </row>
    <row r="953" spans="1:12" ht="15" customHeight="1" x14ac:dyDescent="0.25">
      <c r="A953" s="10" t="str">
        <f>Raw_Data!A953</f>
        <v>Scarters Mouse Pad, Desk Mat Extended for Work from Home/Office/Gaming | Vegan PU Leather | Anti-Skid, Anti-Slip, Reversible Splash-Proof – Deskspread ~ Navy Blue &amp; Yellow</v>
      </c>
      <c r="B953" s="10" t="str">
        <f>IFERROR(TRIM(LEFT(Raw_Data!A953,FIND(" ",Raw_Data!A953)-1)),Raw_Data!A953)</f>
        <v>Scarters</v>
      </c>
      <c r="C953" s="10" t="str">
        <f>IFERROR(LEFT(Raw_Data!B953,FIND("|",Raw_Data!B953)-1),Raw_Data!B953)</f>
        <v>Computers&amp;Accessories</v>
      </c>
      <c r="D953" s="11">
        <f>IFERROR(VALUE(SUBSTITUTE(SUBSTITUTE(TRIM(Raw_Data!C953),"₹",""),",","")),"")</f>
        <v>999</v>
      </c>
      <c r="E953" s="11">
        <f>IFERROR(VALUE(SUBSTITUTE(SUBSTITUTE(TRIM(Raw_Data!D953),"₹",""),",","")),"")</f>
        <v>1995</v>
      </c>
      <c r="F953" s="12">
        <f>IFERROR(VALUE(SUBSTITUTE(Raw_Data!E953,"%",""))/100,"")</f>
        <v>0.5</v>
      </c>
      <c r="G953" s="13">
        <f>IFERROR(VALUE(Raw_Data!F953),"")</f>
        <v>4.5</v>
      </c>
      <c r="H953" s="14">
        <f>IFERROR(VALUE(SUBSTITUTE(Raw_Data!G953,",","")),"")</f>
        <v>7317</v>
      </c>
      <c r="I953" s="11">
        <f t="shared" si="56"/>
        <v>996</v>
      </c>
      <c r="J953" s="11">
        <f t="shared" si="57"/>
        <v>7309683</v>
      </c>
      <c r="K953" s="1">
        <f t="shared" si="58"/>
        <v>7317.0000952999999</v>
      </c>
      <c r="L953" s="15">
        <f t="shared" si="59"/>
        <v>0.50009530000000002</v>
      </c>
    </row>
    <row r="954" spans="1:12" ht="15" customHeight="1" x14ac:dyDescent="0.25">
      <c r="A954" s="10" t="str">
        <f>Raw_Data!A954</f>
        <v>Casio MJ-120D 150 Steps Check and Correct Desktop Calculator with Tax Keys, Black</v>
      </c>
      <c r="B954" s="10" t="str">
        <f>IFERROR(TRIM(LEFT(Raw_Data!A954,FIND(" ",Raw_Data!A954)-1)),Raw_Data!A954)</f>
        <v>Casio</v>
      </c>
      <c r="C954" s="10" t="str">
        <f>IFERROR(LEFT(Raw_Data!B954,FIND("|",Raw_Data!B954)-1),Raw_Data!B954)</f>
        <v>OfficeProducts</v>
      </c>
      <c r="D954" s="11">
        <f>IFERROR(VALUE(SUBSTITUTE(SUBSTITUTE(TRIM(Raw_Data!C954),"₹",""),",","")),"")</f>
        <v>535</v>
      </c>
      <c r="E954" s="11">
        <f>IFERROR(VALUE(SUBSTITUTE(SUBSTITUTE(TRIM(Raw_Data!D954),"₹",""),",","")),"")</f>
        <v>535</v>
      </c>
      <c r="F954" s="12">
        <f>IFERROR(VALUE(SUBSTITUTE(Raw_Data!E954,"%",""))/100,"")</f>
        <v>0</v>
      </c>
      <c r="G954" s="13">
        <f>IFERROR(VALUE(Raw_Data!F954),"")</f>
        <v>4.4000000000000004</v>
      </c>
      <c r="H954" s="14">
        <f>IFERROR(VALUE(SUBSTITUTE(Raw_Data!G954,",","")),"")</f>
        <v>4426</v>
      </c>
      <c r="I954" s="11">
        <f t="shared" si="56"/>
        <v>0</v>
      </c>
      <c r="J954" s="11">
        <f t="shared" si="57"/>
        <v>2367910</v>
      </c>
      <c r="K954" s="1">
        <f t="shared" si="58"/>
        <v>4426.0000953999997</v>
      </c>
      <c r="L954" s="15">
        <f t="shared" si="59"/>
        <v>9.5400000000000001E-5</v>
      </c>
    </row>
    <row r="955" spans="1:12" ht="15" customHeight="1" x14ac:dyDescent="0.25">
      <c r="A955" s="10" t="str">
        <f>Raw_Data!A955</f>
        <v>Redmi 80 cm (32 inches) Android 11 Series HD Ready Smart LED TV | L32M6-RA/L32M7-RA (Black)</v>
      </c>
      <c r="B955" s="10" t="str">
        <f>IFERROR(TRIM(LEFT(Raw_Data!A955,FIND(" ",Raw_Data!A955)-1)),Raw_Data!A955)</f>
        <v>Redmi</v>
      </c>
      <c r="C955" s="10" t="str">
        <f>IFERROR(LEFT(Raw_Data!B955,FIND("|",Raw_Data!B955)-1),Raw_Data!B955)</f>
        <v>Electronics</v>
      </c>
      <c r="D955" s="11">
        <f>IFERROR(VALUE(SUBSTITUTE(SUBSTITUTE(TRIM(Raw_Data!C955),"₹",""),",","")),"")</f>
        <v>13999</v>
      </c>
      <c r="E955" s="11">
        <f>IFERROR(VALUE(SUBSTITUTE(SUBSTITUTE(TRIM(Raw_Data!D955),"₹",""),",","")),"")</f>
        <v>24999</v>
      </c>
      <c r="F955" s="12">
        <f>IFERROR(VALUE(SUBSTITUTE(Raw_Data!E955,"%",""))/100,"")</f>
        <v>0.44</v>
      </c>
      <c r="G955" s="13">
        <f>IFERROR(VALUE(Raw_Data!F955),"")</f>
        <v>4.2</v>
      </c>
      <c r="H955" s="14">
        <f>IFERROR(VALUE(SUBSTITUTE(Raw_Data!G955,",","")),"")</f>
        <v>45237</v>
      </c>
      <c r="I955" s="11">
        <f t="shared" si="56"/>
        <v>11000</v>
      </c>
      <c r="J955" s="11">
        <f t="shared" si="57"/>
        <v>633272763</v>
      </c>
      <c r="K955" s="1">
        <f t="shared" si="58"/>
        <v>45237.0000955</v>
      </c>
      <c r="L955" s="15">
        <f t="shared" si="59"/>
        <v>0.44009550000000003</v>
      </c>
    </row>
    <row r="956" spans="1:12" ht="15" customHeight="1" x14ac:dyDescent="0.25">
      <c r="A956" s="10" t="str">
        <f>Raw_Data!A956</f>
        <v>Gizga Essentials Laptop Bag Sleeve Case Cover Pouch with Handle for 14.1 Inch Laptop for Men &amp; Women, Padded Laptop Compartment, Premium Zipper Closure, Water Repellent Nylon Fabric, Grey</v>
      </c>
      <c r="B956" s="10" t="str">
        <f>IFERROR(TRIM(LEFT(Raw_Data!A956,FIND(" ",Raw_Data!A956)-1)),Raw_Data!A956)</f>
        <v>Gizga</v>
      </c>
      <c r="C956" s="10" t="str">
        <f>IFERROR(LEFT(Raw_Data!B956,FIND("|",Raw_Data!B956)-1),Raw_Data!B956)</f>
        <v>Computers&amp;Accessories</v>
      </c>
      <c r="D956" s="11">
        <f>IFERROR(VALUE(SUBSTITUTE(SUBSTITUTE(TRIM(Raw_Data!C956),"₹",""),",","")),"")</f>
        <v>269</v>
      </c>
      <c r="E956" s="11">
        <f>IFERROR(VALUE(SUBSTITUTE(SUBSTITUTE(TRIM(Raw_Data!D956),"₹",""),",","")),"")</f>
        <v>1099</v>
      </c>
      <c r="F956" s="12">
        <f>IFERROR(VALUE(SUBSTITUTE(Raw_Data!E956,"%",""))/100,"")</f>
        <v>0.76</v>
      </c>
      <c r="G956" s="13">
        <f>IFERROR(VALUE(Raw_Data!F956),"")</f>
        <v>4.0999999999999996</v>
      </c>
      <c r="H956" s="14">
        <f>IFERROR(VALUE(SUBSTITUTE(Raw_Data!G956,",","")),"")</f>
        <v>1092</v>
      </c>
      <c r="I956" s="11">
        <f t="shared" si="56"/>
        <v>830</v>
      </c>
      <c r="J956" s="11">
        <f t="shared" si="57"/>
        <v>293748</v>
      </c>
      <c r="K956" s="1">
        <f t="shared" si="58"/>
        <v>1092.0000955999999</v>
      </c>
      <c r="L956" s="15">
        <f t="shared" si="59"/>
        <v>0.76009559999999998</v>
      </c>
    </row>
    <row r="957" spans="1:12" ht="15" customHeight="1" x14ac:dyDescent="0.25">
      <c r="A957" s="10" t="str">
        <f>Raw_Data!A957</f>
        <v>Parker Vector Camouflage Gift Set - Roller Ball Pen &amp; Parker Logo Keychain (Black Body, Blue Ink), 2 Piece Set</v>
      </c>
      <c r="B957" s="10" t="str">
        <f>IFERROR(TRIM(LEFT(Raw_Data!A957,FIND(" ",Raw_Data!A957)-1)),Raw_Data!A957)</f>
        <v>Parker</v>
      </c>
      <c r="C957" s="10" t="str">
        <f>IFERROR(LEFT(Raw_Data!B957,FIND("|",Raw_Data!B957)-1),Raw_Data!B957)</f>
        <v>OfficeProducts</v>
      </c>
      <c r="D957" s="11">
        <f>IFERROR(VALUE(SUBSTITUTE(SUBSTITUTE(TRIM(Raw_Data!C957),"₹",""),",","")),"")</f>
        <v>341</v>
      </c>
      <c r="E957" s="11">
        <f>IFERROR(VALUE(SUBSTITUTE(SUBSTITUTE(TRIM(Raw_Data!D957),"₹",""),",","")),"")</f>
        <v>450</v>
      </c>
      <c r="F957" s="12">
        <f>IFERROR(VALUE(SUBSTITUTE(Raw_Data!E957,"%",""))/100,"")</f>
        <v>0.24</v>
      </c>
      <c r="G957" s="13">
        <f>IFERROR(VALUE(Raw_Data!F957),"")</f>
        <v>4.3</v>
      </c>
      <c r="H957" s="14">
        <f>IFERROR(VALUE(SUBSTITUTE(Raw_Data!G957,",","")),"")</f>
        <v>2493</v>
      </c>
      <c r="I957" s="11">
        <f t="shared" si="56"/>
        <v>109</v>
      </c>
      <c r="J957" s="11">
        <f t="shared" si="57"/>
        <v>850113</v>
      </c>
      <c r="K957" s="1">
        <f t="shared" si="58"/>
        <v>2493.0000957000002</v>
      </c>
      <c r="L957" s="15">
        <f t="shared" si="59"/>
        <v>0.2400957</v>
      </c>
    </row>
    <row r="958" spans="1:12" ht="15" customHeight="1" x14ac:dyDescent="0.25">
      <c r="A958" s="10" t="str">
        <f>Raw_Data!A958</f>
        <v>TP-Link AC1200 Archer A6 Smart WiFi, 5GHz Gigabit Dual Band MU-MIMO Wireless Internet Router, Long Range Coverage by 4 Antennas, Qualcomm Chipset</v>
      </c>
      <c r="B958" s="10" t="str">
        <f>IFERROR(TRIM(LEFT(Raw_Data!A958,FIND(" ",Raw_Data!A958)-1)),Raw_Data!A958)</f>
        <v>TP-Link</v>
      </c>
      <c r="C958" s="10" t="str">
        <f>IFERROR(LEFT(Raw_Data!B958,FIND("|",Raw_Data!B958)-1),Raw_Data!B958)</f>
        <v>Computers&amp;Accessories</v>
      </c>
      <c r="D958" s="11">
        <f>IFERROR(VALUE(SUBSTITUTE(SUBSTITUTE(TRIM(Raw_Data!C958),"₹",""),",","")),"")</f>
        <v>2499</v>
      </c>
      <c r="E958" s="11">
        <f>IFERROR(VALUE(SUBSTITUTE(SUBSTITUTE(TRIM(Raw_Data!D958),"₹",""),",","")),"")</f>
        <v>3999</v>
      </c>
      <c r="F958" s="12">
        <f>IFERROR(VALUE(SUBSTITUTE(Raw_Data!E958,"%",""))/100,"")</f>
        <v>0.38</v>
      </c>
      <c r="G958" s="13">
        <f>IFERROR(VALUE(Raw_Data!F958),"")</f>
        <v>4.4000000000000004</v>
      </c>
      <c r="H958" s="14">
        <f>IFERROR(VALUE(SUBSTITUTE(Raw_Data!G958,",","")),"")</f>
        <v>12679</v>
      </c>
      <c r="I958" s="11">
        <f t="shared" si="56"/>
        <v>1500</v>
      </c>
      <c r="J958" s="11">
        <f t="shared" si="57"/>
        <v>31684821</v>
      </c>
      <c r="K958" s="1">
        <f t="shared" si="58"/>
        <v>12679.0000958</v>
      </c>
      <c r="L958" s="15">
        <f t="shared" si="59"/>
        <v>0.38009579999999998</v>
      </c>
    </row>
    <row r="959" spans="1:12" ht="15" customHeight="1" x14ac:dyDescent="0.25">
      <c r="A959" s="10" t="str">
        <f>Raw_Data!A959</f>
        <v>CEDO 65W OnePlus Dash Warp Charge Cable, USB A to Type C Data Sync Fast Charging Cable Compatible with One Plus 3 /3T /5 /5T /6 /6T /7 /7T /7 pro &amp; for All Type C Devices - 1 Meter, Red</v>
      </c>
      <c r="B959" s="10" t="str">
        <f>IFERROR(TRIM(LEFT(Raw_Data!A959,FIND(" ",Raw_Data!A959)-1)),Raw_Data!A959)</f>
        <v>CEDO</v>
      </c>
      <c r="C959" s="10" t="str">
        <f>IFERROR(LEFT(Raw_Data!B959,FIND("|",Raw_Data!B959)-1),Raw_Data!B959)</f>
        <v>Computers&amp;Accessories</v>
      </c>
      <c r="D959" s="11">
        <f>IFERROR(VALUE(SUBSTITUTE(SUBSTITUTE(TRIM(Raw_Data!C959),"₹",""),",","")),"")</f>
        <v>349</v>
      </c>
      <c r="E959" s="11">
        <f>IFERROR(VALUE(SUBSTITUTE(SUBSTITUTE(TRIM(Raw_Data!D959),"₹",""),",","")),"")</f>
        <v>599</v>
      </c>
      <c r="F959" s="12">
        <f>IFERROR(VALUE(SUBSTITUTE(Raw_Data!E959,"%",""))/100,"")</f>
        <v>0.42</v>
      </c>
      <c r="G959" s="13">
        <f>IFERROR(VALUE(Raw_Data!F959),"")</f>
        <v>4.0999999999999996</v>
      </c>
      <c r="H959" s="14">
        <f>IFERROR(VALUE(SUBSTITUTE(Raw_Data!G959,",","")),"")</f>
        <v>210</v>
      </c>
      <c r="I959" s="11">
        <f t="shared" si="56"/>
        <v>250</v>
      </c>
      <c r="J959" s="11">
        <f t="shared" si="57"/>
        <v>73290</v>
      </c>
      <c r="K959" s="1">
        <f t="shared" si="58"/>
        <v>210.00009589999999</v>
      </c>
      <c r="L959" s="15">
        <f t="shared" si="59"/>
        <v>0.42009589999999997</v>
      </c>
    </row>
    <row r="960" spans="1:12" ht="15" customHeight="1" x14ac:dyDescent="0.25">
      <c r="A960" s="10" t="str">
        <f>Raw_Data!A960</f>
        <v>HP Deskjet 2723 AIO Printer, Copy, Scan, WiFi, Bluetooth, USB, Simple Setup Smart App, Ideal for Home.</v>
      </c>
      <c r="B960" s="10" t="str">
        <f>IFERROR(TRIM(LEFT(Raw_Data!A960,FIND(" ",Raw_Data!A960)-1)),Raw_Data!A960)</f>
        <v>HP</v>
      </c>
      <c r="C960" s="10" t="str">
        <f>IFERROR(LEFT(Raw_Data!B960,FIND("|",Raw_Data!B960)-1),Raw_Data!B960)</f>
        <v>Computers&amp;Accessories</v>
      </c>
      <c r="D960" s="11">
        <f>IFERROR(VALUE(SUBSTITUTE(SUBSTITUTE(TRIM(Raw_Data!C960),"₹",""),",","")),"")</f>
        <v>5899</v>
      </c>
      <c r="E960" s="11">
        <f>IFERROR(VALUE(SUBSTITUTE(SUBSTITUTE(TRIM(Raw_Data!D960),"₹",""),",","")),"")</f>
        <v>7005</v>
      </c>
      <c r="F960" s="12">
        <f>IFERROR(VALUE(SUBSTITUTE(Raw_Data!E960,"%",""))/100,"")</f>
        <v>0.16</v>
      </c>
      <c r="G960" s="13">
        <f>IFERROR(VALUE(Raw_Data!F960),"")</f>
        <v>3.6</v>
      </c>
      <c r="H960" s="14">
        <f>IFERROR(VALUE(SUBSTITUTE(Raw_Data!G960,",","")),"")</f>
        <v>4199</v>
      </c>
      <c r="I960" s="11">
        <f t="shared" si="56"/>
        <v>1106</v>
      </c>
      <c r="J960" s="11">
        <f t="shared" si="57"/>
        <v>24769901</v>
      </c>
      <c r="K960" s="1">
        <f t="shared" si="58"/>
        <v>4199.0000959999998</v>
      </c>
      <c r="L960" s="15">
        <f t="shared" si="59"/>
        <v>0.16009600000000002</v>
      </c>
    </row>
    <row r="961" spans="1:12" ht="15" customHeight="1" x14ac:dyDescent="0.25">
      <c r="A961" s="10" t="str">
        <f>Raw_Data!A961</f>
        <v>Oraimo 18W USB &amp; Type-C Dual Output Super Fast Charger Wall Adapter PE2.0&amp;Quick Charge 3.0 &amp; Power Delivery 3.0 Compatible for iPhone 13/13 Mini/13 Pro Max/12/12 Pro Max, iPad Mini/Pro, Pixel, Galaxy, Airpods Pro</v>
      </c>
      <c r="B961" s="10" t="str">
        <f>IFERROR(TRIM(LEFT(Raw_Data!A961,FIND(" ",Raw_Data!A961)-1)),Raw_Data!A961)</f>
        <v>Oraimo</v>
      </c>
      <c r="C961" s="10" t="str">
        <f>IFERROR(LEFT(Raw_Data!B961,FIND("|",Raw_Data!B961)-1),Raw_Data!B961)</f>
        <v>Electronics</v>
      </c>
      <c r="D961" s="11">
        <f>IFERROR(VALUE(SUBSTITUTE(SUBSTITUTE(TRIM(Raw_Data!C961),"₹",""),",","")),"")</f>
        <v>699</v>
      </c>
      <c r="E961" s="11">
        <f>IFERROR(VALUE(SUBSTITUTE(SUBSTITUTE(TRIM(Raw_Data!D961),"₹",""),",","")),"")</f>
        <v>1199</v>
      </c>
      <c r="F961" s="12">
        <f>IFERROR(VALUE(SUBSTITUTE(Raw_Data!E961,"%",""))/100,"")</f>
        <v>0.42</v>
      </c>
      <c r="G961" s="13">
        <f>IFERROR(VALUE(Raw_Data!F961),"")</f>
        <v>4</v>
      </c>
      <c r="H961" s="14">
        <f>IFERROR(VALUE(SUBSTITUTE(Raw_Data!G961,",","")),"")</f>
        <v>14403</v>
      </c>
      <c r="I961" s="11">
        <f t="shared" si="56"/>
        <v>500</v>
      </c>
      <c r="J961" s="11">
        <f t="shared" si="57"/>
        <v>10067697</v>
      </c>
      <c r="K961" s="1">
        <f t="shared" si="58"/>
        <v>14403.000096100001</v>
      </c>
      <c r="L961" s="15">
        <f t="shared" si="59"/>
        <v>0.42009609999999997</v>
      </c>
    </row>
    <row r="962" spans="1:12" ht="15" customHeight="1" x14ac:dyDescent="0.25">
      <c r="A962" s="10" t="str">
        <f>Raw_Data!A962</f>
        <v>Xiaomi Mi 4A Dual_Band Ethernet 1200Mbps Speed Router| 2.4GHz &amp; 5GHz Frequency|128MB RAM | DualCore 4 Thread CPU|4 Omni Directional Antenna|Mi Wi-Fi app-Parental Control &amp; Anti Hacking|Repeater, White</v>
      </c>
      <c r="B962" s="10" t="str">
        <f>IFERROR(TRIM(LEFT(Raw_Data!A962,FIND(" ",Raw_Data!A962)-1)),Raw_Data!A962)</f>
        <v>Xiaomi</v>
      </c>
      <c r="C962" s="10" t="str">
        <f>IFERROR(LEFT(Raw_Data!B962,FIND("|",Raw_Data!B962)-1),Raw_Data!B962)</f>
        <v>Computers&amp;Accessories</v>
      </c>
      <c r="D962" s="11">
        <f>IFERROR(VALUE(SUBSTITUTE(SUBSTITUTE(TRIM(Raw_Data!C962),"₹",""),",","")),"")</f>
        <v>1565</v>
      </c>
      <c r="E962" s="11">
        <f>IFERROR(VALUE(SUBSTITUTE(SUBSTITUTE(TRIM(Raw_Data!D962),"₹",""),",","")),"")</f>
        <v>2999</v>
      </c>
      <c r="F962" s="12">
        <f>IFERROR(VALUE(SUBSTITUTE(Raw_Data!E962,"%",""))/100,"")</f>
        <v>0.48</v>
      </c>
      <c r="G962" s="13">
        <f>IFERROR(VALUE(Raw_Data!F962),"")</f>
        <v>4</v>
      </c>
      <c r="H962" s="14">
        <f>IFERROR(VALUE(SUBSTITUTE(Raw_Data!G962,",","")),"")</f>
        <v>11113</v>
      </c>
      <c r="I962" s="11">
        <f t="shared" ref="I962:I1025" si="60">IFERROR(E962-D962,"")</f>
        <v>1434</v>
      </c>
      <c r="J962" s="11">
        <f t="shared" ref="J962:J1025" si="61">IFERROR(D962*H962,"")</f>
        <v>17391845</v>
      </c>
      <c r="K962" s="1">
        <f t="shared" ref="K962:K1025" si="62">IF(ISNUMBER(H962),H962+ROW()/10000000,"")</f>
        <v>11113.000096199999</v>
      </c>
      <c r="L962" s="15">
        <f t="shared" ref="L962:L1025" si="63">IF(ISNUMBER(F962),F962+ROW()/10000000,"")</f>
        <v>0.48009619999999997</v>
      </c>
    </row>
    <row r="963" spans="1:12" ht="15" customHeight="1" x14ac:dyDescent="0.25">
      <c r="A963" s="10" t="str">
        <f>Raw_Data!A963</f>
        <v>SLOVIC® Tripod Mount Adapter| Tripod Mobile Holder|Tripod Phone Mount(Made in India)| Smartphone Clip Clipper 360 Degree for Taking Magic Video Shots &amp; Pictures.</v>
      </c>
      <c r="B963" s="10" t="str">
        <f>IFERROR(TRIM(LEFT(Raw_Data!A963,FIND(" ",Raw_Data!A963)-1)),Raw_Data!A963)</f>
        <v>SLOVIC®</v>
      </c>
      <c r="C963" s="10" t="str">
        <f>IFERROR(LEFT(Raw_Data!B963,FIND("|",Raw_Data!B963)-1),Raw_Data!B963)</f>
        <v>Electronics</v>
      </c>
      <c r="D963" s="11">
        <f>IFERROR(VALUE(SUBSTITUTE(SUBSTITUTE(TRIM(Raw_Data!C963),"₹",""),",","")),"")</f>
        <v>326</v>
      </c>
      <c r="E963" s="11">
        <f>IFERROR(VALUE(SUBSTITUTE(SUBSTITUTE(TRIM(Raw_Data!D963),"₹",""),",","")),"")</f>
        <v>799</v>
      </c>
      <c r="F963" s="12">
        <f>IFERROR(VALUE(SUBSTITUTE(Raw_Data!E963,"%",""))/100,"")</f>
        <v>0.59</v>
      </c>
      <c r="G963" s="13">
        <f>IFERROR(VALUE(Raw_Data!F963),"")</f>
        <v>4.4000000000000004</v>
      </c>
      <c r="H963" s="14">
        <f>IFERROR(VALUE(SUBSTITUTE(Raw_Data!G963,",","")),"")</f>
        <v>10773</v>
      </c>
      <c r="I963" s="11">
        <f t="shared" si="60"/>
        <v>473</v>
      </c>
      <c r="J963" s="11">
        <f t="shared" si="61"/>
        <v>3511998</v>
      </c>
      <c r="K963" s="1">
        <f t="shared" si="62"/>
        <v>10773.0000963</v>
      </c>
      <c r="L963" s="15">
        <f t="shared" si="63"/>
        <v>0.59009630000000002</v>
      </c>
    </row>
    <row r="964" spans="1:12" ht="15" customHeight="1" x14ac:dyDescent="0.25">
      <c r="A964" s="10" t="str">
        <f>Raw_Data!A964</f>
        <v>Sounce Gold Plated 3.5 mm Headphone Splitter for Computer 2 Male to 1 Female 3.5mm Headphone Mic Audio Y Splitter Cable Smartphone Headset to PC Adapter – (Black,20cm)</v>
      </c>
      <c r="B964" s="10" t="str">
        <f>IFERROR(TRIM(LEFT(Raw_Data!A964,FIND(" ",Raw_Data!A964)-1)),Raw_Data!A964)</f>
        <v>Sounce</v>
      </c>
      <c r="C964" s="10" t="str">
        <f>IFERROR(LEFT(Raw_Data!B964,FIND("|",Raw_Data!B964)-1),Raw_Data!B964)</f>
        <v>Electronics</v>
      </c>
      <c r="D964" s="11">
        <f>IFERROR(VALUE(SUBSTITUTE(SUBSTITUTE(TRIM(Raw_Data!C964),"₹",""),",","")),"")</f>
        <v>120</v>
      </c>
      <c r="E964" s="11">
        <f>IFERROR(VALUE(SUBSTITUTE(SUBSTITUTE(TRIM(Raw_Data!D964),"₹",""),",","")),"")</f>
        <v>999</v>
      </c>
      <c r="F964" s="12">
        <f>IFERROR(VALUE(SUBSTITUTE(Raw_Data!E964,"%",""))/100,"")</f>
        <v>0.88</v>
      </c>
      <c r="G964" s="13">
        <f>IFERROR(VALUE(Raw_Data!F964),"")</f>
        <v>3.9</v>
      </c>
      <c r="H964" s="14">
        <f>IFERROR(VALUE(SUBSTITUTE(Raw_Data!G964,",","")),"")</f>
        <v>6491</v>
      </c>
      <c r="I964" s="11">
        <f t="shared" si="60"/>
        <v>879</v>
      </c>
      <c r="J964" s="11">
        <f t="shared" si="61"/>
        <v>778920</v>
      </c>
      <c r="K964" s="1">
        <f t="shared" si="62"/>
        <v>6491.0000964000001</v>
      </c>
      <c r="L964" s="15">
        <f t="shared" si="63"/>
        <v>0.8800964</v>
      </c>
    </row>
    <row r="965" spans="1:12" ht="15" customHeight="1" x14ac:dyDescent="0.25">
      <c r="A965" s="10" t="str">
        <f>Raw_Data!A965</f>
        <v>Orico 2.5"(6.3cm) USB 3.0 HDD Enclosure Case Cover for SATA SSD HDD | SATA SSD HDD Enclosure High Speed USB 3.0 | Tool Free Installation | Black</v>
      </c>
      <c r="B965" s="10" t="str">
        <f>IFERROR(TRIM(LEFT(Raw_Data!A965,FIND(" ",Raw_Data!A965)-1)),Raw_Data!A965)</f>
        <v>Orico</v>
      </c>
      <c r="C965" s="10" t="str">
        <f>IFERROR(LEFT(Raw_Data!B965,FIND("|",Raw_Data!B965)-1),Raw_Data!B965)</f>
        <v>Computers&amp;Accessories</v>
      </c>
      <c r="D965" s="11">
        <f>IFERROR(VALUE(SUBSTITUTE(SUBSTITUTE(TRIM(Raw_Data!C965),"₹",""),",","")),"")</f>
        <v>657</v>
      </c>
      <c r="E965" s="11">
        <f>IFERROR(VALUE(SUBSTITUTE(SUBSTITUTE(TRIM(Raw_Data!D965),"₹",""),",","")),"")</f>
        <v>999</v>
      </c>
      <c r="F965" s="12">
        <f>IFERROR(VALUE(SUBSTITUTE(Raw_Data!E965,"%",""))/100,"")</f>
        <v>0.34</v>
      </c>
      <c r="G965" s="13">
        <f>IFERROR(VALUE(Raw_Data!F965),"")</f>
        <v>4.3</v>
      </c>
      <c r="H965" s="14">
        <f>IFERROR(VALUE(SUBSTITUTE(Raw_Data!G965,",","")),"")</f>
        <v>13944</v>
      </c>
      <c r="I965" s="11">
        <f t="shared" si="60"/>
        <v>342</v>
      </c>
      <c r="J965" s="11">
        <f t="shared" si="61"/>
        <v>9161208</v>
      </c>
      <c r="K965" s="1">
        <f t="shared" si="62"/>
        <v>13944.0000965</v>
      </c>
      <c r="L965" s="15">
        <f t="shared" si="63"/>
        <v>0.34009650000000002</v>
      </c>
    </row>
    <row r="966" spans="1:12" ht="15" customHeight="1" x14ac:dyDescent="0.25">
      <c r="A966" s="10" t="str">
        <f>Raw_Data!A966</f>
        <v>Logitech G402 Hyperion Fury USB Wired Gaming Mouse, 4,000 DPI, Lightweight, 8 Programmable Buttons, Compatible for PC/Mac - Black</v>
      </c>
      <c r="B966" s="10" t="str">
        <f>IFERROR(TRIM(LEFT(Raw_Data!A966,FIND(" ",Raw_Data!A966)-1)),Raw_Data!A966)</f>
        <v>Logitech</v>
      </c>
      <c r="C966" s="10" t="str">
        <f>IFERROR(LEFT(Raw_Data!B966,FIND("|",Raw_Data!B966)-1),Raw_Data!B966)</f>
        <v>Computers&amp;Accessories</v>
      </c>
      <c r="D966" s="11">
        <f>IFERROR(VALUE(SUBSTITUTE(SUBSTITUTE(TRIM(Raw_Data!C966),"₹",""),",","")),"")</f>
        <v>1995</v>
      </c>
      <c r="E966" s="11">
        <f>IFERROR(VALUE(SUBSTITUTE(SUBSTITUTE(TRIM(Raw_Data!D966),"₹",""),",","")),"")</f>
        <v>2895</v>
      </c>
      <c r="F966" s="12">
        <f>IFERROR(VALUE(SUBSTITUTE(Raw_Data!E966,"%",""))/100,"")</f>
        <v>0.31</v>
      </c>
      <c r="G966" s="13">
        <f>IFERROR(VALUE(Raw_Data!F966),"")</f>
        <v>4.5999999999999996</v>
      </c>
      <c r="H966" s="14">
        <f>IFERROR(VALUE(SUBSTITUTE(Raw_Data!G966,",","")),"")</f>
        <v>10760</v>
      </c>
      <c r="I966" s="11">
        <f t="shared" si="60"/>
        <v>900</v>
      </c>
      <c r="J966" s="11">
        <f t="shared" si="61"/>
        <v>21466200</v>
      </c>
      <c r="K966" s="1">
        <f t="shared" si="62"/>
        <v>10760.000096600001</v>
      </c>
      <c r="L966" s="15">
        <f t="shared" si="63"/>
        <v>0.3100966</v>
      </c>
    </row>
    <row r="967" spans="1:12" ht="15" customHeight="1" x14ac:dyDescent="0.25">
      <c r="A967" s="10" t="str">
        <f>Raw_Data!A967</f>
        <v>Panasonic Eneloop BQ-CC55N Advanced, Smart and Quick Charger for AA &amp; AAA Rechargeable Batteries, White</v>
      </c>
      <c r="B967" s="10" t="str">
        <f>IFERROR(TRIM(LEFT(Raw_Data!A967,FIND(" ",Raw_Data!A967)-1)),Raw_Data!A967)</f>
        <v>Panasonic</v>
      </c>
      <c r="C967" s="10" t="str">
        <f>IFERROR(LEFT(Raw_Data!B967,FIND("|",Raw_Data!B967)-1),Raw_Data!B967)</f>
        <v>Electronics</v>
      </c>
      <c r="D967" s="11">
        <f>IFERROR(VALUE(SUBSTITUTE(SUBSTITUTE(TRIM(Raw_Data!C967),"₹",""),",","")),"")</f>
        <v>1500</v>
      </c>
      <c r="E967" s="11">
        <f>IFERROR(VALUE(SUBSTITUTE(SUBSTITUTE(TRIM(Raw_Data!D967),"₹",""),",","")),"")</f>
        <v>1500</v>
      </c>
      <c r="F967" s="12">
        <f>IFERROR(VALUE(SUBSTITUTE(Raw_Data!E967,"%",""))/100,"")</f>
        <v>0</v>
      </c>
      <c r="G967" s="13">
        <f>IFERROR(VALUE(Raw_Data!F967),"")</f>
        <v>4.4000000000000004</v>
      </c>
      <c r="H967" s="14">
        <f>IFERROR(VALUE(SUBSTITUTE(Raw_Data!G967,",","")),"")</f>
        <v>25996</v>
      </c>
      <c r="I967" s="11">
        <f t="shared" si="60"/>
        <v>0</v>
      </c>
      <c r="J967" s="11">
        <f t="shared" si="61"/>
        <v>38994000</v>
      </c>
      <c r="K967" s="1">
        <f t="shared" si="62"/>
        <v>25996.000096700001</v>
      </c>
      <c r="L967" s="15">
        <f t="shared" si="63"/>
        <v>9.6700000000000006E-5</v>
      </c>
    </row>
    <row r="968" spans="1:12" ht="15" customHeight="1" x14ac:dyDescent="0.25">
      <c r="A968" s="10" t="str">
        <f>Raw_Data!A968</f>
        <v>Logitech K380 Wireless Multi-Device Keyboard for Windows, Apple iOS, Apple TV Android or Chrome, Bluetooth, Compact Space-Saving Design, PC/Mac/Laptop/Smartphone/Tablet (Dark Grey)</v>
      </c>
      <c r="B968" s="10" t="str">
        <f>IFERROR(TRIM(LEFT(Raw_Data!A968,FIND(" ",Raw_Data!A968)-1)),Raw_Data!A968)</f>
        <v>Logitech</v>
      </c>
      <c r="C968" s="10" t="str">
        <f>IFERROR(LEFT(Raw_Data!B968,FIND("|",Raw_Data!B968)-1),Raw_Data!B968)</f>
        <v>Computers&amp;Accessories</v>
      </c>
      <c r="D968" s="11">
        <f>IFERROR(VALUE(SUBSTITUTE(SUBSTITUTE(TRIM(Raw_Data!C968),"₹",""),",","")),"")</f>
        <v>2640</v>
      </c>
      <c r="E968" s="11">
        <f>IFERROR(VALUE(SUBSTITUTE(SUBSTITUTE(TRIM(Raw_Data!D968),"₹",""),",","")),"")</f>
        <v>3195</v>
      </c>
      <c r="F968" s="12">
        <f>IFERROR(VALUE(SUBSTITUTE(Raw_Data!E968,"%",""))/100,"")</f>
        <v>0.17</v>
      </c>
      <c r="G968" s="13">
        <f>IFERROR(VALUE(Raw_Data!F968),"")</f>
        <v>4.5</v>
      </c>
      <c r="H968" s="14">
        <f>IFERROR(VALUE(SUBSTITUTE(Raw_Data!G968,",","")),"")</f>
        <v>16146</v>
      </c>
      <c r="I968" s="11">
        <f t="shared" si="60"/>
        <v>555</v>
      </c>
      <c r="J968" s="11">
        <f t="shared" si="61"/>
        <v>42625440</v>
      </c>
      <c r="K968" s="1">
        <f t="shared" si="62"/>
        <v>16146.0000968</v>
      </c>
      <c r="L968" s="15">
        <f t="shared" si="63"/>
        <v>0.17009680000000002</v>
      </c>
    </row>
    <row r="969" spans="1:12" ht="15" customHeight="1" x14ac:dyDescent="0.25">
      <c r="A969" s="10" t="str">
        <f>Raw_Data!A969</f>
        <v>Canon PIXMA E477 All-in-One Wireless Ink Efficient Colour Printer (White/Blue)</v>
      </c>
      <c r="B969" s="10" t="str">
        <f>IFERROR(TRIM(LEFT(Raw_Data!A969,FIND(" ",Raw_Data!A969)-1)),Raw_Data!A969)</f>
        <v>Canon</v>
      </c>
      <c r="C969" s="10" t="str">
        <f>IFERROR(LEFT(Raw_Data!B969,FIND("|",Raw_Data!B969)-1),Raw_Data!B969)</f>
        <v>Computers&amp;Accessories</v>
      </c>
      <c r="D969" s="11">
        <f>IFERROR(VALUE(SUBSTITUTE(SUBSTITUTE(TRIM(Raw_Data!C969),"₹",""),",","")),"")</f>
        <v>5299</v>
      </c>
      <c r="E969" s="11">
        <f>IFERROR(VALUE(SUBSTITUTE(SUBSTITUTE(TRIM(Raw_Data!D969),"₹",""),",","")),"")</f>
        <v>6355</v>
      </c>
      <c r="F969" s="12">
        <f>IFERROR(VALUE(SUBSTITUTE(Raw_Data!E969,"%",""))/100,"")</f>
        <v>0.17</v>
      </c>
      <c r="G969" s="13">
        <f>IFERROR(VALUE(Raw_Data!F969),"")</f>
        <v>3.9</v>
      </c>
      <c r="H969" s="14">
        <f>IFERROR(VALUE(SUBSTITUTE(Raw_Data!G969,",","")),"")</f>
        <v>8280</v>
      </c>
      <c r="I969" s="11">
        <f t="shared" si="60"/>
        <v>1056</v>
      </c>
      <c r="J969" s="11">
        <f t="shared" si="61"/>
        <v>43875720</v>
      </c>
      <c r="K969" s="1">
        <f t="shared" si="62"/>
        <v>8280.0000968999993</v>
      </c>
      <c r="L969" s="15">
        <f t="shared" si="63"/>
        <v>0.17009690000000002</v>
      </c>
    </row>
    <row r="970" spans="1:12" ht="15" customHeight="1" x14ac:dyDescent="0.25">
      <c r="A970" s="10" t="str">
        <f>Raw_Data!A970</f>
        <v>Portronics Konnect L 20W PD Quick Charge Type-C to 8-Pin USB Mobile Charging Cable, 1.2M, Tangle Resistant, Fast Data Sync(Grey)</v>
      </c>
      <c r="B970" s="10" t="str">
        <f>IFERROR(TRIM(LEFT(Raw_Data!A970,FIND(" ",Raw_Data!A970)-1)),Raw_Data!A970)</f>
        <v>Portronics</v>
      </c>
      <c r="C970" s="10" t="str">
        <f>IFERROR(LEFT(Raw_Data!B970,FIND("|",Raw_Data!B970)-1),Raw_Data!B970)</f>
        <v>Computers&amp;Accessories</v>
      </c>
      <c r="D970" s="11">
        <f>IFERROR(VALUE(SUBSTITUTE(SUBSTITUTE(TRIM(Raw_Data!C970),"₹",""),",","")),"")</f>
        <v>263</v>
      </c>
      <c r="E970" s="11">
        <f>IFERROR(VALUE(SUBSTITUTE(SUBSTITUTE(TRIM(Raw_Data!D970),"₹",""),",","")),"")</f>
        <v>699</v>
      </c>
      <c r="F970" s="12">
        <f>IFERROR(VALUE(SUBSTITUTE(Raw_Data!E970,"%",""))/100,"")</f>
        <v>0.62</v>
      </c>
      <c r="G970" s="13">
        <f>IFERROR(VALUE(Raw_Data!F970),"")</f>
        <v>4.0999999999999996</v>
      </c>
      <c r="H970" s="14">
        <f>IFERROR(VALUE(SUBSTITUTE(Raw_Data!G970,",","")),"")</f>
        <v>450</v>
      </c>
      <c r="I970" s="11">
        <f t="shared" si="60"/>
        <v>436</v>
      </c>
      <c r="J970" s="11">
        <f t="shared" si="61"/>
        <v>118350</v>
      </c>
      <c r="K970" s="1">
        <f t="shared" si="62"/>
        <v>450.00009699999998</v>
      </c>
      <c r="L970" s="15">
        <f t="shared" si="63"/>
        <v>0.62009700000000001</v>
      </c>
    </row>
    <row r="971" spans="1:12" ht="15" customHeight="1" x14ac:dyDescent="0.25">
      <c r="A971" s="10" t="str">
        <f>Raw_Data!A971</f>
        <v>Redgear Cosmo 7,1 Usb Gaming Wired Over Ear Headphones With Mic With Virtual Surround Sound,50Mm Driver, Rgb Leds &amp; Remote Control(Black)</v>
      </c>
      <c r="B971" s="10" t="str">
        <f>IFERROR(TRIM(LEFT(Raw_Data!A971,FIND(" ",Raw_Data!A971)-1)),Raw_Data!A971)</f>
        <v>Redgear</v>
      </c>
      <c r="C971" s="10" t="str">
        <f>IFERROR(LEFT(Raw_Data!B971,FIND("|",Raw_Data!B971)-1),Raw_Data!B971)</f>
        <v>Computers&amp;Accessories</v>
      </c>
      <c r="D971" s="11">
        <f>IFERROR(VALUE(SUBSTITUTE(SUBSTITUTE(TRIM(Raw_Data!C971),"₹",""),",","")),"")</f>
        <v>1990</v>
      </c>
      <c r="E971" s="11">
        <f>IFERROR(VALUE(SUBSTITUTE(SUBSTITUTE(TRIM(Raw_Data!D971),"₹",""),",","")),"")</f>
        <v>2999</v>
      </c>
      <c r="F971" s="12">
        <f>IFERROR(VALUE(SUBSTITUTE(Raw_Data!E971,"%",""))/100,"")</f>
        <v>0.34</v>
      </c>
      <c r="G971" s="13">
        <f>IFERROR(VALUE(Raw_Data!F971),"")</f>
        <v>4.3</v>
      </c>
      <c r="H971" s="14">
        <f>IFERROR(VALUE(SUBSTITUTE(Raw_Data!G971,",","")),"")</f>
        <v>14237</v>
      </c>
      <c r="I971" s="11">
        <f t="shared" si="60"/>
        <v>1009</v>
      </c>
      <c r="J971" s="11">
        <f t="shared" si="61"/>
        <v>28331630</v>
      </c>
      <c r="K971" s="1">
        <f t="shared" si="62"/>
        <v>14237.000097100001</v>
      </c>
      <c r="L971" s="15">
        <f t="shared" si="63"/>
        <v>0.34009710000000004</v>
      </c>
    </row>
    <row r="972" spans="1:12" ht="15" customHeight="1" x14ac:dyDescent="0.25">
      <c r="A972" s="10" t="str">
        <f>Raw_Data!A972</f>
        <v>Belkin Essential Series 4-Socket Surge Protector Universal Socket with 5ft Heavy Duty Cable (Grey)</v>
      </c>
      <c r="B972" s="10" t="str">
        <f>IFERROR(TRIM(LEFT(Raw_Data!A972,FIND(" ",Raw_Data!A972)-1)),Raw_Data!A972)</f>
        <v>Belkin</v>
      </c>
      <c r="C972" s="10" t="str">
        <f>IFERROR(LEFT(Raw_Data!B972,FIND("|",Raw_Data!B972)-1),Raw_Data!B972)</f>
        <v>Electronics</v>
      </c>
      <c r="D972" s="11">
        <f>IFERROR(VALUE(SUBSTITUTE(SUBSTITUTE(TRIM(Raw_Data!C972),"₹",""),",","")),"")</f>
        <v>1289</v>
      </c>
      <c r="E972" s="11">
        <f>IFERROR(VALUE(SUBSTITUTE(SUBSTITUTE(TRIM(Raw_Data!D972),"₹",""),",","")),"")</f>
        <v>1499</v>
      </c>
      <c r="F972" s="12">
        <f>IFERROR(VALUE(SUBSTITUTE(Raw_Data!E972,"%",""))/100,"")</f>
        <v>0.14000000000000001</v>
      </c>
      <c r="G972" s="13">
        <f>IFERROR(VALUE(Raw_Data!F972),"")</f>
        <v>4.5</v>
      </c>
      <c r="H972" s="14">
        <f>IFERROR(VALUE(SUBSTITUTE(Raw_Data!G972,",","")),"")</f>
        <v>20668</v>
      </c>
      <c r="I972" s="11">
        <f t="shared" si="60"/>
        <v>210</v>
      </c>
      <c r="J972" s="11">
        <f t="shared" si="61"/>
        <v>26641052</v>
      </c>
      <c r="K972" s="1">
        <f t="shared" si="62"/>
        <v>20668.000097200002</v>
      </c>
      <c r="L972" s="15">
        <f t="shared" si="63"/>
        <v>0.14009720000000001</v>
      </c>
    </row>
    <row r="973" spans="1:12" ht="15" customHeight="1" x14ac:dyDescent="0.25">
      <c r="A973" s="10" t="str">
        <f>Raw_Data!A973</f>
        <v>Classmate Long Book - Unruled, 160 Pages, 314 mm x 194 mm - Pack Of 3</v>
      </c>
      <c r="B973" s="10" t="str">
        <f>IFERROR(TRIM(LEFT(Raw_Data!A973,FIND(" ",Raw_Data!A973)-1)),Raw_Data!A973)</f>
        <v>Classmate</v>
      </c>
      <c r="C973" s="10" t="str">
        <f>IFERROR(LEFT(Raw_Data!B973,FIND("|",Raw_Data!B973)-1),Raw_Data!B973)</f>
        <v>OfficeProducts</v>
      </c>
      <c r="D973" s="11">
        <f>IFERROR(VALUE(SUBSTITUTE(SUBSTITUTE(TRIM(Raw_Data!C973),"₹",""),",","")),"")</f>
        <v>165</v>
      </c>
      <c r="E973" s="11">
        <f>IFERROR(VALUE(SUBSTITUTE(SUBSTITUTE(TRIM(Raw_Data!D973),"₹",""),",","")),"")</f>
        <v>165</v>
      </c>
      <c r="F973" s="12">
        <f>IFERROR(VALUE(SUBSTITUTE(Raw_Data!E973,"%",""))/100,"")</f>
        <v>0</v>
      </c>
      <c r="G973" s="13">
        <f>IFERROR(VALUE(Raw_Data!F973),"")</f>
        <v>4.5</v>
      </c>
      <c r="H973" s="14">
        <f>IFERROR(VALUE(SUBSTITUTE(Raw_Data!G973,",","")),"")</f>
        <v>1674</v>
      </c>
      <c r="I973" s="11">
        <f t="shared" si="60"/>
        <v>0</v>
      </c>
      <c r="J973" s="11">
        <f t="shared" si="61"/>
        <v>276210</v>
      </c>
      <c r="K973" s="1">
        <f t="shared" si="62"/>
        <v>1674.0000973000001</v>
      </c>
      <c r="L973" s="15">
        <f t="shared" si="63"/>
        <v>9.7299999999999993E-5</v>
      </c>
    </row>
    <row r="974" spans="1:12" ht="15" customHeight="1" x14ac:dyDescent="0.25">
      <c r="A974" s="10" t="str">
        <f>Raw_Data!A974</f>
        <v>Artis AR-45W-MG2 45 Watts MG2 Laptop Adapter/Charger Compatible with MB Air 13” &amp; MB Air 11” (14.5 V, 3.1 A) Connector: MG2 (T Tip Connector)</v>
      </c>
      <c r="B974" s="10" t="str">
        <f>IFERROR(TRIM(LEFT(Raw_Data!A974,FIND(" ",Raw_Data!A974)-1)),Raw_Data!A974)</f>
        <v>Artis</v>
      </c>
      <c r="C974" s="10" t="str">
        <f>IFERROR(LEFT(Raw_Data!B974,FIND("|",Raw_Data!B974)-1),Raw_Data!B974)</f>
        <v>Computers&amp;Accessories</v>
      </c>
      <c r="D974" s="11">
        <f>IFERROR(VALUE(SUBSTITUTE(SUBSTITUTE(TRIM(Raw_Data!C974),"₹",""),",","")),"")</f>
        <v>1699</v>
      </c>
      <c r="E974" s="11">
        <f>IFERROR(VALUE(SUBSTITUTE(SUBSTITUTE(TRIM(Raw_Data!D974),"₹",""),",","")),"")</f>
        <v>3499</v>
      </c>
      <c r="F974" s="12">
        <f>IFERROR(VALUE(SUBSTITUTE(Raw_Data!E974,"%",""))/100,"")</f>
        <v>0.51</v>
      </c>
      <c r="G974" s="13">
        <f>IFERROR(VALUE(Raw_Data!F974),"")</f>
        <v>3.6</v>
      </c>
      <c r="H974" s="14">
        <f>IFERROR(VALUE(SUBSTITUTE(Raw_Data!G974,",","")),"")</f>
        <v>7689</v>
      </c>
      <c r="I974" s="11">
        <f t="shared" si="60"/>
        <v>1800</v>
      </c>
      <c r="J974" s="11">
        <f t="shared" si="61"/>
        <v>13063611</v>
      </c>
      <c r="K974" s="1">
        <f t="shared" si="62"/>
        <v>7689.0000974000004</v>
      </c>
      <c r="L974" s="15">
        <f t="shared" si="63"/>
        <v>0.51009740000000003</v>
      </c>
    </row>
    <row r="975" spans="1:12" ht="15" customHeight="1" x14ac:dyDescent="0.25">
      <c r="A975" s="10" t="str">
        <f>Raw_Data!A975</f>
        <v>Imou 360° 1080P Full HD Security Camera, Human Detection, Motion Tracking, 2-Way Audio, Night Vision, Dome Camera with WiFi &amp; Ethernet Connection, Alexa Google Assistant, Up to 256GB SD Card Support</v>
      </c>
      <c r="B975" s="10" t="str">
        <f>IFERROR(TRIM(LEFT(Raw_Data!A975,FIND(" ",Raw_Data!A975)-1)),Raw_Data!A975)</f>
        <v>Imou</v>
      </c>
      <c r="C975" s="10" t="str">
        <f>IFERROR(LEFT(Raw_Data!B975,FIND("|",Raw_Data!B975)-1),Raw_Data!B975)</f>
        <v>Electronics</v>
      </c>
      <c r="D975" s="11">
        <f>IFERROR(VALUE(SUBSTITUTE(SUBSTITUTE(TRIM(Raw_Data!C975),"₹",""),",","")),"")</f>
        <v>2299</v>
      </c>
      <c r="E975" s="11">
        <f>IFERROR(VALUE(SUBSTITUTE(SUBSTITUTE(TRIM(Raw_Data!D975),"₹",""),",","")),"")</f>
        <v>7500</v>
      </c>
      <c r="F975" s="12">
        <f>IFERROR(VALUE(SUBSTITUTE(Raw_Data!E975,"%",""))/100,"")</f>
        <v>0.69</v>
      </c>
      <c r="G975" s="13">
        <f>IFERROR(VALUE(Raw_Data!F975),"")</f>
        <v>4.0999999999999996</v>
      </c>
      <c r="H975" s="14">
        <f>IFERROR(VALUE(SUBSTITUTE(Raw_Data!G975,",","")),"")</f>
        <v>5554</v>
      </c>
      <c r="I975" s="11">
        <f t="shared" si="60"/>
        <v>5201</v>
      </c>
      <c r="J975" s="11">
        <f t="shared" si="61"/>
        <v>12768646</v>
      </c>
      <c r="K975" s="1">
        <f t="shared" si="62"/>
        <v>5554.0000975000003</v>
      </c>
      <c r="L975" s="15">
        <f t="shared" si="63"/>
        <v>0.69009749999999992</v>
      </c>
    </row>
    <row r="976" spans="1:12" ht="15" customHeight="1" x14ac:dyDescent="0.25">
      <c r="A976" s="10" t="str">
        <f>Raw_Data!A976</f>
        <v>Amazon Basics USB Type-C to USB-A 2.0 Male Fast Charging Cable for Laptop - 3 Feet (0.9 Meters), Black</v>
      </c>
      <c r="B976" s="10" t="str">
        <f>IFERROR(TRIM(LEFT(Raw_Data!A976,FIND(" ",Raw_Data!A976)-1)),Raw_Data!A976)</f>
        <v>Amazon</v>
      </c>
      <c r="C976" s="10" t="str">
        <f>IFERROR(LEFT(Raw_Data!B976,FIND("|",Raw_Data!B976)-1),Raw_Data!B976)</f>
        <v>Computers&amp;Accessories</v>
      </c>
      <c r="D976" s="11">
        <f>IFERROR(VALUE(SUBSTITUTE(SUBSTITUTE(TRIM(Raw_Data!C976),"₹",""),",","")),"")</f>
        <v>219</v>
      </c>
      <c r="E976" s="11">
        <f>IFERROR(VALUE(SUBSTITUTE(SUBSTITUTE(TRIM(Raw_Data!D976),"₹",""),",","")),"")</f>
        <v>700</v>
      </c>
      <c r="F976" s="12">
        <f>IFERROR(VALUE(SUBSTITUTE(Raw_Data!E976,"%",""))/100,"")</f>
        <v>0.69</v>
      </c>
      <c r="G976" s="13">
        <f>IFERROR(VALUE(Raw_Data!F976),"")</f>
        <v>4.3</v>
      </c>
      <c r="H976" s="14">
        <f>IFERROR(VALUE(SUBSTITUTE(Raw_Data!G976,",","")),"")</f>
        <v>20053</v>
      </c>
      <c r="I976" s="11">
        <f t="shared" si="60"/>
        <v>481</v>
      </c>
      <c r="J976" s="11">
        <f t="shared" si="61"/>
        <v>4391607</v>
      </c>
      <c r="K976" s="1">
        <f t="shared" si="62"/>
        <v>20053.000097600001</v>
      </c>
      <c r="L976" s="15">
        <f t="shared" si="63"/>
        <v>0.69009759999999998</v>
      </c>
    </row>
    <row r="977" spans="1:12" ht="15" customHeight="1" x14ac:dyDescent="0.25">
      <c r="A977" s="10" t="str">
        <f>Raw_Data!A977</f>
        <v>E-COSMOS 5V 1.2W Portable Flexible USB LED Light (Colours May Vary, Small, EC-POF1)</v>
      </c>
      <c r="B977" s="10" t="str">
        <f>IFERROR(TRIM(LEFT(Raw_Data!A977,FIND(" ",Raw_Data!A977)-1)),Raw_Data!A977)</f>
        <v>E-COSMOS</v>
      </c>
      <c r="C977" s="10" t="str">
        <f>IFERROR(LEFT(Raw_Data!B977,FIND("|",Raw_Data!B977)-1),Raw_Data!B977)</f>
        <v>Computers&amp;Accessories</v>
      </c>
      <c r="D977" s="11">
        <f>IFERROR(VALUE(SUBSTITUTE(SUBSTITUTE(TRIM(Raw_Data!C977),"₹",""),",","")),"")</f>
        <v>39</v>
      </c>
      <c r="E977" s="11">
        <f>IFERROR(VALUE(SUBSTITUTE(SUBSTITUTE(TRIM(Raw_Data!D977),"₹",""),",","")),"")</f>
        <v>39</v>
      </c>
      <c r="F977" s="12">
        <f>IFERROR(VALUE(SUBSTITUTE(Raw_Data!E977,"%",""))/100,"")</f>
        <v>0</v>
      </c>
      <c r="G977" s="13">
        <f>IFERROR(VALUE(Raw_Data!F977),"")</f>
        <v>3.8</v>
      </c>
      <c r="H977" s="14">
        <f>IFERROR(VALUE(SUBSTITUTE(Raw_Data!G977,",","")),"")</f>
        <v>3344</v>
      </c>
      <c r="I977" s="11">
        <f t="shared" si="60"/>
        <v>0</v>
      </c>
      <c r="J977" s="11">
        <f t="shared" si="61"/>
        <v>130416</v>
      </c>
      <c r="K977" s="1">
        <f t="shared" si="62"/>
        <v>3344.0000977</v>
      </c>
      <c r="L977" s="15">
        <f t="shared" si="63"/>
        <v>9.7700000000000003E-5</v>
      </c>
    </row>
    <row r="978" spans="1:12" ht="15" customHeight="1" x14ac:dyDescent="0.25">
      <c r="A978" s="10" t="str">
        <f>Raw_Data!A978</f>
        <v>Xiaomi Pad 5| Qualcomm Snapdragon 860| 120Hz Refresh Rate| 6GB, 128GB| 2.5K+ Display (10.95-inch/27.81cm)|1 Billion Colours| Dolby Vision Atmos| Quad Speakers| Wi-Fi| Gray</v>
      </c>
      <c r="B978" s="10" t="str">
        <f>IFERROR(TRIM(LEFT(Raw_Data!A978,FIND(" ",Raw_Data!A978)-1)),Raw_Data!A978)</f>
        <v>Xiaomi</v>
      </c>
      <c r="C978" s="10" t="str">
        <f>IFERROR(LEFT(Raw_Data!B978,FIND("|",Raw_Data!B978)-1),Raw_Data!B978)</f>
        <v>Computers&amp;Accessories</v>
      </c>
      <c r="D978" s="11">
        <f>IFERROR(VALUE(SUBSTITUTE(SUBSTITUTE(TRIM(Raw_Data!C978),"₹",""),",","")),"")</f>
        <v>26999</v>
      </c>
      <c r="E978" s="11">
        <f>IFERROR(VALUE(SUBSTITUTE(SUBSTITUTE(TRIM(Raw_Data!D978),"₹",""),",","")),"")</f>
        <v>37999</v>
      </c>
      <c r="F978" s="12">
        <f>IFERROR(VALUE(SUBSTITUTE(Raw_Data!E978,"%",""))/100,"")</f>
        <v>0.28999999999999998</v>
      </c>
      <c r="G978" s="13">
        <f>IFERROR(VALUE(Raw_Data!F978),"")</f>
        <v>4.5999999999999996</v>
      </c>
      <c r="H978" s="14">
        <f>IFERROR(VALUE(SUBSTITUTE(Raw_Data!G978,",","")),"")</f>
        <v>2886</v>
      </c>
      <c r="I978" s="11">
        <f t="shared" si="60"/>
        <v>11000</v>
      </c>
      <c r="J978" s="11">
        <f t="shared" si="61"/>
        <v>77919114</v>
      </c>
      <c r="K978" s="1">
        <f t="shared" si="62"/>
        <v>2886.0000977999998</v>
      </c>
      <c r="L978" s="15">
        <f t="shared" si="63"/>
        <v>0.29009779999999996</v>
      </c>
    </row>
    <row r="979" spans="1:12" ht="15" customHeight="1" x14ac:dyDescent="0.25">
      <c r="A979" s="10" t="str">
        <f>Raw_Data!A979</f>
        <v>Sennheiser CX 80S in-Ear Wired Headphones with in-line One-Button Smart Remote with Microphone Black</v>
      </c>
      <c r="B979" s="10" t="str">
        <f>IFERROR(TRIM(LEFT(Raw_Data!A979,FIND(" ",Raw_Data!A979)-1)),Raw_Data!A979)</f>
        <v>Sennheiser</v>
      </c>
      <c r="C979" s="10" t="str">
        <f>IFERROR(LEFT(Raw_Data!B979,FIND("|",Raw_Data!B979)-1),Raw_Data!B979)</f>
        <v>Electronics</v>
      </c>
      <c r="D979" s="11">
        <f>IFERROR(VALUE(SUBSTITUTE(SUBSTITUTE(TRIM(Raw_Data!C979),"₹",""),",","")),"")</f>
        <v>1490</v>
      </c>
      <c r="E979" s="11">
        <f>IFERROR(VALUE(SUBSTITUTE(SUBSTITUTE(TRIM(Raw_Data!D979),"₹",""),",","")),"")</f>
        <v>1990</v>
      </c>
      <c r="F979" s="12">
        <f>IFERROR(VALUE(SUBSTITUTE(Raw_Data!E979,"%",""))/100,"")</f>
        <v>0.25</v>
      </c>
      <c r="G979" s="13">
        <f>IFERROR(VALUE(Raw_Data!F979),"")</f>
        <v>4.0999999999999996</v>
      </c>
      <c r="H979" s="14">
        <f>IFERROR(VALUE(SUBSTITUTE(Raw_Data!G979,",","")),"")</f>
        <v>98250</v>
      </c>
      <c r="I979" s="11">
        <f t="shared" si="60"/>
        <v>500</v>
      </c>
      <c r="J979" s="11">
        <f t="shared" si="61"/>
        <v>146392500</v>
      </c>
      <c r="K979" s="1">
        <f t="shared" si="62"/>
        <v>98250.000097900003</v>
      </c>
      <c r="L979" s="15">
        <f t="shared" si="63"/>
        <v>0.25009789999999998</v>
      </c>
    </row>
    <row r="980" spans="1:12" ht="15" customHeight="1" x14ac:dyDescent="0.25">
      <c r="A980" s="10" t="str">
        <f>Raw_Data!A980</f>
        <v>HB Plus Folding Height Adjustable Aluminum Foldable Portable Adjustment Desktop Laptop Holder Riser Stand</v>
      </c>
      <c r="B980" s="10" t="str">
        <f>IFERROR(TRIM(LEFT(Raw_Data!A980,FIND(" ",Raw_Data!A980)-1)),Raw_Data!A980)</f>
        <v>HB</v>
      </c>
      <c r="C980" s="10" t="str">
        <f>IFERROR(LEFT(Raw_Data!B980,FIND("|",Raw_Data!B980)-1),Raw_Data!B980)</f>
        <v>Computers&amp;Accessories</v>
      </c>
      <c r="D980" s="11">
        <f>IFERROR(VALUE(SUBSTITUTE(SUBSTITUTE(TRIM(Raw_Data!C980),"₹",""),",","")),"")</f>
        <v>398</v>
      </c>
      <c r="E980" s="11">
        <f>IFERROR(VALUE(SUBSTITUTE(SUBSTITUTE(TRIM(Raw_Data!D980),"₹",""),",","")),"")</f>
        <v>1949</v>
      </c>
      <c r="F980" s="12">
        <f>IFERROR(VALUE(SUBSTITUTE(Raw_Data!E980,"%",""))/100,"")</f>
        <v>0.8</v>
      </c>
      <c r="G980" s="13">
        <f>IFERROR(VALUE(Raw_Data!F980),"")</f>
        <v>4</v>
      </c>
      <c r="H980" s="14">
        <f>IFERROR(VALUE(SUBSTITUTE(Raw_Data!G980,",","")),"")</f>
        <v>75</v>
      </c>
      <c r="I980" s="11">
        <f t="shared" si="60"/>
        <v>1551</v>
      </c>
      <c r="J980" s="11">
        <f t="shared" si="61"/>
        <v>29850</v>
      </c>
      <c r="K980" s="1">
        <f t="shared" si="62"/>
        <v>75.000097999999994</v>
      </c>
      <c r="L980" s="15">
        <f t="shared" si="63"/>
        <v>0.80009800000000009</v>
      </c>
    </row>
    <row r="981" spans="1:12" ht="15" customHeight="1" x14ac:dyDescent="0.25">
      <c r="A981" s="10" t="str">
        <f>Raw_Data!A981</f>
        <v>oraimo 65W Type C to C Fast Charging Cable USB C to USB C Cable High Speed Syncing, Nylon Braided 1M length with LED Indicator Compatible For Laptop, Macbook, Samsung Galaxy S22 S20 S10 S20Fe S21 S21 Ultra A70 A51 A71 A50S M31 M51 M31S M53 5G</v>
      </c>
      <c r="B981" s="10" t="str">
        <f>IFERROR(TRIM(LEFT(Raw_Data!A981,FIND(" ",Raw_Data!A981)-1)),Raw_Data!A981)</f>
        <v>oraimo</v>
      </c>
      <c r="C981" s="10" t="str">
        <f>IFERROR(LEFT(Raw_Data!B981,FIND("|",Raw_Data!B981)-1),Raw_Data!B981)</f>
        <v>Computers&amp;Accessories</v>
      </c>
      <c r="D981" s="11">
        <f>IFERROR(VALUE(SUBSTITUTE(SUBSTITUTE(TRIM(Raw_Data!C981),"₹",""),",","")),"")</f>
        <v>349</v>
      </c>
      <c r="E981" s="11">
        <f>IFERROR(VALUE(SUBSTITUTE(SUBSTITUTE(TRIM(Raw_Data!D981),"₹",""),",","")),"")</f>
        <v>899</v>
      </c>
      <c r="F981" s="12">
        <f>IFERROR(VALUE(SUBSTITUTE(Raw_Data!E981,"%",""))/100,"")</f>
        <v>0.61</v>
      </c>
      <c r="G981" s="13">
        <f>IFERROR(VALUE(Raw_Data!F981),"")</f>
        <v>4.5</v>
      </c>
      <c r="H981" s="14">
        <f>IFERROR(VALUE(SUBSTITUTE(Raw_Data!G981,",","")),"")</f>
        <v>149</v>
      </c>
      <c r="I981" s="11">
        <f t="shared" si="60"/>
        <v>550</v>
      </c>
      <c r="J981" s="11">
        <f t="shared" si="61"/>
        <v>52001</v>
      </c>
      <c r="K981" s="1">
        <f t="shared" si="62"/>
        <v>149.0000981</v>
      </c>
      <c r="L981" s="15">
        <f t="shared" si="63"/>
        <v>0.61009809999999998</v>
      </c>
    </row>
    <row r="982" spans="1:12" ht="15" customHeight="1" x14ac:dyDescent="0.25">
      <c r="A982" s="10" t="str">
        <f>Raw_Data!A982</f>
        <v>HP 65W AC Laptops Charger Adapter 4.5mm for HP Pavilion Black (Without Power Cable)</v>
      </c>
      <c r="B982" s="10" t="str">
        <f>IFERROR(TRIM(LEFT(Raw_Data!A982,FIND(" ",Raw_Data!A982)-1)),Raw_Data!A982)</f>
        <v>HP</v>
      </c>
      <c r="C982" s="10" t="str">
        <f>IFERROR(LEFT(Raw_Data!B982,FIND("|",Raw_Data!B982)-1),Raw_Data!B982)</f>
        <v>Computers&amp;Accessories</v>
      </c>
      <c r="D982" s="11">
        <f>IFERROR(VALUE(SUBSTITUTE(SUBSTITUTE(TRIM(Raw_Data!C982),"₹",""),",","")),"")</f>
        <v>770</v>
      </c>
      <c r="E982" s="11">
        <f>IFERROR(VALUE(SUBSTITUTE(SUBSTITUTE(TRIM(Raw_Data!D982),"₹",""),",","")),"")</f>
        <v>1547</v>
      </c>
      <c r="F982" s="12">
        <f>IFERROR(VALUE(SUBSTITUTE(Raw_Data!E982,"%",""))/100,"")</f>
        <v>0.5</v>
      </c>
      <c r="G982" s="13">
        <f>IFERROR(VALUE(Raw_Data!F982),"")</f>
        <v>4.3</v>
      </c>
      <c r="H982" s="14">
        <f>IFERROR(VALUE(SUBSTITUTE(Raw_Data!G982,",","")),"")</f>
        <v>2585</v>
      </c>
      <c r="I982" s="11">
        <f t="shared" si="60"/>
        <v>777</v>
      </c>
      <c r="J982" s="11">
        <f t="shared" si="61"/>
        <v>1990450</v>
      </c>
      <c r="K982" s="1">
        <f t="shared" si="62"/>
        <v>2585.0000982000001</v>
      </c>
      <c r="L982" s="15">
        <f t="shared" si="63"/>
        <v>0.50009820000000005</v>
      </c>
    </row>
    <row r="983" spans="1:12" ht="15" customHeight="1" x14ac:dyDescent="0.25">
      <c r="A983" s="10" t="str">
        <f>Raw_Data!A983</f>
        <v>Tukzer Fully Foldable Tabletop Desktop Tablet Mobile Stand Holder - Angle &amp; Height Adjustable for Desk, Cradle, Dock, Compatible with Smartphones &amp; Tablets (White)</v>
      </c>
      <c r="B983" s="10" t="str">
        <f>IFERROR(TRIM(LEFT(Raw_Data!A983,FIND(" ",Raw_Data!A983)-1)),Raw_Data!A983)</f>
        <v>Tukzer</v>
      </c>
      <c r="C983" s="10" t="str">
        <f>IFERROR(LEFT(Raw_Data!B983,FIND("|",Raw_Data!B983)-1),Raw_Data!B983)</f>
        <v>Electronics</v>
      </c>
      <c r="D983" s="11">
        <f>IFERROR(VALUE(SUBSTITUTE(SUBSTITUTE(TRIM(Raw_Data!C983),"₹",""),",","")),"")</f>
        <v>279</v>
      </c>
      <c r="E983" s="11">
        <f>IFERROR(VALUE(SUBSTITUTE(SUBSTITUTE(TRIM(Raw_Data!D983),"₹",""),",","")),"")</f>
        <v>1299</v>
      </c>
      <c r="F983" s="12">
        <f>IFERROR(VALUE(SUBSTITUTE(Raw_Data!E983,"%",""))/100,"")</f>
        <v>0.79</v>
      </c>
      <c r="G983" s="13">
        <f>IFERROR(VALUE(Raw_Data!F983),"")</f>
        <v>4</v>
      </c>
      <c r="H983" s="14">
        <f>IFERROR(VALUE(SUBSTITUTE(Raw_Data!G983,",","")),"")</f>
        <v>5072</v>
      </c>
      <c r="I983" s="11">
        <f t="shared" si="60"/>
        <v>1020</v>
      </c>
      <c r="J983" s="11">
        <f t="shared" si="61"/>
        <v>1415088</v>
      </c>
      <c r="K983" s="1">
        <f t="shared" si="62"/>
        <v>5072.0000983</v>
      </c>
      <c r="L983" s="15">
        <f t="shared" si="63"/>
        <v>0.79009830000000003</v>
      </c>
    </row>
    <row r="984" spans="1:12" ht="15" customHeight="1" x14ac:dyDescent="0.25">
      <c r="A984" s="10" t="str">
        <f>Raw_Data!A984</f>
        <v>Gizga Essentials Cable Organiser, Cord Management System for PC, TV, Home Theater, Speaker &amp; Cables, Reusable Cable Organizer for Desk, WFH Accessories, Organizer Tape Roll, Reusable Cable Ties Strap</v>
      </c>
      <c r="B984" s="10" t="str">
        <f>IFERROR(TRIM(LEFT(Raw_Data!A984,FIND(" ",Raw_Data!A984)-1)),Raw_Data!A984)</f>
        <v>Gizga</v>
      </c>
      <c r="C984" s="10" t="str">
        <f>IFERROR(LEFT(Raw_Data!B984,FIND("|",Raw_Data!B984)-1),Raw_Data!B984)</f>
        <v>HomeImprovement</v>
      </c>
      <c r="D984" s="11">
        <f>IFERROR(VALUE(SUBSTITUTE(SUBSTITUTE(TRIM(Raw_Data!C984),"₹",""),",","")),"")</f>
        <v>249</v>
      </c>
      <c r="E984" s="11">
        <f>IFERROR(VALUE(SUBSTITUTE(SUBSTITUTE(TRIM(Raw_Data!D984),"₹",""),",","")),"")</f>
        <v>599</v>
      </c>
      <c r="F984" s="12">
        <f>IFERROR(VALUE(SUBSTITUTE(Raw_Data!E984,"%",""))/100,"")</f>
        <v>0.57999999999999996</v>
      </c>
      <c r="G984" s="13">
        <f>IFERROR(VALUE(Raw_Data!F984),"")</f>
        <v>4.5</v>
      </c>
      <c r="H984" s="14">
        <f>IFERROR(VALUE(SUBSTITUTE(Raw_Data!G984,",","")),"")</f>
        <v>5985</v>
      </c>
      <c r="I984" s="11">
        <f t="shared" si="60"/>
        <v>350</v>
      </c>
      <c r="J984" s="11">
        <f t="shared" si="61"/>
        <v>1490265</v>
      </c>
      <c r="K984" s="1">
        <f t="shared" si="62"/>
        <v>5985.0000983999998</v>
      </c>
      <c r="L984" s="15">
        <f t="shared" si="63"/>
        <v>0.58009840000000001</v>
      </c>
    </row>
    <row r="985" spans="1:12" ht="15" customHeight="1" x14ac:dyDescent="0.25">
      <c r="A985" s="10" t="str">
        <f>Raw_Data!A985</f>
        <v>Pinnaclz Original Combo of 2 Micro USB Fast Charging Cable, USB Charging Cable for Data Transfer Perfect for Android Smart Phones White 1.2 Meter Made in India (Pack of 2)</v>
      </c>
      <c r="B985" s="10" t="str">
        <f>IFERROR(TRIM(LEFT(Raw_Data!A985,FIND(" ",Raw_Data!A985)-1)),Raw_Data!A985)</f>
        <v>Pinnaclz</v>
      </c>
      <c r="C985" s="10" t="str">
        <f>IFERROR(LEFT(Raw_Data!B985,FIND("|",Raw_Data!B985)-1),Raw_Data!B985)</f>
        <v>Computers&amp;Accessories</v>
      </c>
      <c r="D985" s="11">
        <f>IFERROR(VALUE(SUBSTITUTE(SUBSTITUTE(TRIM(Raw_Data!C985),"₹",""),",","")),"")</f>
        <v>115</v>
      </c>
      <c r="E985" s="11">
        <f>IFERROR(VALUE(SUBSTITUTE(SUBSTITUTE(TRIM(Raw_Data!D985),"₹",""),",","")),"")</f>
        <v>499</v>
      </c>
      <c r="F985" s="12">
        <f>IFERROR(VALUE(SUBSTITUTE(Raw_Data!E985,"%",""))/100,"")</f>
        <v>0.77</v>
      </c>
      <c r="G985" s="13">
        <f>IFERROR(VALUE(Raw_Data!F985),"")</f>
        <v>4</v>
      </c>
      <c r="H985" s="14">
        <f>IFERROR(VALUE(SUBSTITUTE(Raw_Data!G985,",","")),"")</f>
        <v>7732</v>
      </c>
      <c r="I985" s="11">
        <f t="shared" si="60"/>
        <v>384</v>
      </c>
      <c r="J985" s="11">
        <f t="shared" si="61"/>
        <v>889180</v>
      </c>
      <c r="K985" s="1">
        <f t="shared" si="62"/>
        <v>7732.0000984999997</v>
      </c>
      <c r="L985" s="15">
        <f t="shared" si="63"/>
        <v>0.77009850000000002</v>
      </c>
    </row>
    <row r="986" spans="1:12" ht="15" customHeight="1" x14ac:dyDescent="0.25">
      <c r="A986" s="10" t="str">
        <f>Raw_Data!A986</f>
        <v>Camel Oil Pastel with Reusable Plastic Box - 50 Shades</v>
      </c>
      <c r="B986" s="10" t="str">
        <f>IFERROR(TRIM(LEFT(Raw_Data!A986,FIND(" ",Raw_Data!A986)-1)),Raw_Data!A986)</f>
        <v>Camel</v>
      </c>
      <c r="C986" s="10" t="str">
        <f>IFERROR(LEFT(Raw_Data!B986,FIND("|",Raw_Data!B986)-1),Raw_Data!B986)</f>
        <v>Home&amp;Kitchen</v>
      </c>
      <c r="D986" s="11">
        <f>IFERROR(VALUE(SUBSTITUTE(SUBSTITUTE(TRIM(Raw_Data!C986),"₹",""),",","")),"")</f>
        <v>230</v>
      </c>
      <c r="E986" s="11">
        <f>IFERROR(VALUE(SUBSTITUTE(SUBSTITUTE(TRIM(Raw_Data!D986),"₹",""),",","")),"")</f>
        <v>230</v>
      </c>
      <c r="F986" s="12">
        <f>IFERROR(VALUE(SUBSTITUTE(Raw_Data!E986,"%",""))/100,"")</f>
        <v>0</v>
      </c>
      <c r="G986" s="13">
        <f>IFERROR(VALUE(Raw_Data!F986),"")</f>
        <v>4.5</v>
      </c>
      <c r="H986" s="14">
        <f>IFERROR(VALUE(SUBSTITUTE(Raw_Data!G986,",","")),"")</f>
        <v>9427</v>
      </c>
      <c r="I986" s="11">
        <f t="shared" si="60"/>
        <v>0</v>
      </c>
      <c r="J986" s="11">
        <f t="shared" si="61"/>
        <v>2168210</v>
      </c>
      <c r="K986" s="1">
        <f t="shared" si="62"/>
        <v>9427.0000985999995</v>
      </c>
      <c r="L986" s="15">
        <f t="shared" si="63"/>
        <v>9.8599999999999998E-5</v>
      </c>
    </row>
    <row r="987" spans="1:12" ht="15" customHeight="1" x14ac:dyDescent="0.25">
      <c r="A987" s="10" t="str">
        <f>Raw_Data!A987</f>
        <v>boAt Type C A750 Stress Resistant, Tangle-free, Sturdy Flat Cable with 6.5A Fast Charging &amp; 480Mbps Data Transmission, 10000+ Bends Lifespan and Extended 1.5m Length(Rebellious Black)</v>
      </c>
      <c r="B987" s="10" t="str">
        <f>IFERROR(TRIM(LEFT(Raw_Data!A987,FIND(" ",Raw_Data!A987)-1)),Raw_Data!A987)</f>
        <v>boAt</v>
      </c>
      <c r="C987" s="10" t="str">
        <f>IFERROR(LEFT(Raw_Data!B987,FIND("|",Raw_Data!B987)-1),Raw_Data!B987)</f>
        <v>Computers&amp;Accessories</v>
      </c>
      <c r="D987" s="11">
        <f>IFERROR(VALUE(SUBSTITUTE(SUBSTITUTE(TRIM(Raw_Data!C987),"₹",""),",","")),"")</f>
        <v>399</v>
      </c>
      <c r="E987" s="11">
        <f>IFERROR(VALUE(SUBSTITUTE(SUBSTITUTE(TRIM(Raw_Data!D987),"₹",""),",","")),"")</f>
        <v>999</v>
      </c>
      <c r="F987" s="12">
        <f>IFERROR(VALUE(SUBSTITUTE(Raw_Data!E987,"%",""))/100,"")</f>
        <v>0.6</v>
      </c>
      <c r="G987" s="13">
        <f>IFERROR(VALUE(Raw_Data!F987),"")</f>
        <v>4.0999999999999996</v>
      </c>
      <c r="H987" s="14">
        <f>IFERROR(VALUE(SUBSTITUTE(Raw_Data!G987,",","")),"")</f>
        <v>1780</v>
      </c>
      <c r="I987" s="11">
        <f t="shared" si="60"/>
        <v>600</v>
      </c>
      <c r="J987" s="11">
        <f t="shared" si="61"/>
        <v>710220</v>
      </c>
      <c r="K987" s="1">
        <f t="shared" si="62"/>
        <v>1780.0000987000001</v>
      </c>
      <c r="L987" s="15">
        <f t="shared" si="63"/>
        <v>0.60009869999999998</v>
      </c>
    </row>
    <row r="988" spans="1:12" ht="15" customHeight="1" x14ac:dyDescent="0.25">
      <c r="A988" s="10" t="str">
        <f>Raw_Data!A988</f>
        <v>HP M270 Backlit USB Wired Gaming Mouse with 6 Buttons, 4-Speed Customizable 2400 DPI, Ergonomic Design, Breathing LED Lighting, Metal Scroll Wheel, Lightweighted / 3 Years Warranty (7ZZ87AA), Black</v>
      </c>
      <c r="B988" s="10" t="str">
        <f>IFERROR(TRIM(LEFT(Raw_Data!A988,FIND(" ",Raw_Data!A988)-1)),Raw_Data!A988)</f>
        <v>HP</v>
      </c>
      <c r="C988" s="10" t="str">
        <f>IFERROR(LEFT(Raw_Data!B988,FIND("|",Raw_Data!B988)-1),Raw_Data!B988)</f>
        <v>Computers&amp;Accessories</v>
      </c>
      <c r="D988" s="11">
        <f>IFERROR(VALUE(SUBSTITUTE(SUBSTITUTE(TRIM(Raw_Data!C988),"₹",""),",","")),"")</f>
        <v>599</v>
      </c>
      <c r="E988" s="11">
        <f>IFERROR(VALUE(SUBSTITUTE(SUBSTITUTE(TRIM(Raw_Data!D988),"₹",""),",","")),"")</f>
        <v>700</v>
      </c>
      <c r="F988" s="12">
        <f>IFERROR(VALUE(SUBSTITUTE(Raw_Data!E988,"%",""))/100,"")</f>
        <v>0.14000000000000001</v>
      </c>
      <c r="G988" s="13">
        <f>IFERROR(VALUE(Raw_Data!F988),"")</f>
        <v>4.3</v>
      </c>
      <c r="H988" s="14">
        <f>IFERROR(VALUE(SUBSTITUTE(Raw_Data!G988,",","")),"")</f>
        <v>2301</v>
      </c>
      <c r="I988" s="11">
        <f t="shared" si="60"/>
        <v>101</v>
      </c>
      <c r="J988" s="11">
        <f t="shared" si="61"/>
        <v>1378299</v>
      </c>
      <c r="K988" s="1">
        <f t="shared" si="62"/>
        <v>2301.0000988000002</v>
      </c>
      <c r="L988" s="15">
        <f t="shared" si="63"/>
        <v>0.14009880000000002</v>
      </c>
    </row>
    <row r="989" spans="1:12" ht="15" customHeight="1" x14ac:dyDescent="0.25">
      <c r="A989" s="10" t="str">
        <f>Raw_Data!A989</f>
        <v>Foxin FTC 12A / Q2612A Black Laser Toner Cartridge Compatible with Laserjet 1020,M1005,1018,1010,1012,1015,1020 Plus,1022,3015,3020,3030,3050, 3050Z, 3052,3055 (Black)</v>
      </c>
      <c r="B989" s="10" t="str">
        <f>IFERROR(TRIM(LEFT(Raw_Data!A989,FIND(" ",Raw_Data!A989)-1)),Raw_Data!A989)</f>
        <v>Foxin</v>
      </c>
      <c r="C989" s="10" t="str">
        <f>IFERROR(LEFT(Raw_Data!B989,FIND("|",Raw_Data!B989)-1),Raw_Data!B989)</f>
        <v>Computers&amp;Accessories</v>
      </c>
      <c r="D989" s="11">
        <f>IFERROR(VALUE(SUBSTITUTE(SUBSTITUTE(TRIM(Raw_Data!C989),"₹",""),",","")),"")</f>
        <v>598</v>
      </c>
      <c r="E989" s="11">
        <f>IFERROR(VALUE(SUBSTITUTE(SUBSTITUTE(TRIM(Raw_Data!D989),"₹",""),",","")),"")</f>
        <v>1150</v>
      </c>
      <c r="F989" s="12">
        <f>IFERROR(VALUE(SUBSTITUTE(Raw_Data!E989,"%",""))/100,"")</f>
        <v>0.48</v>
      </c>
      <c r="G989" s="13">
        <f>IFERROR(VALUE(Raw_Data!F989),"")</f>
        <v>4.0999999999999996</v>
      </c>
      <c r="H989" s="14">
        <f>IFERROR(VALUE(SUBSTITUTE(Raw_Data!G989,",","")),"")</f>
        <v>2535</v>
      </c>
      <c r="I989" s="11">
        <f t="shared" si="60"/>
        <v>552</v>
      </c>
      <c r="J989" s="11">
        <f t="shared" si="61"/>
        <v>1515930</v>
      </c>
      <c r="K989" s="1">
        <f t="shared" si="62"/>
        <v>2535.0000989</v>
      </c>
      <c r="L989" s="15">
        <f t="shared" si="63"/>
        <v>0.4800989</v>
      </c>
    </row>
    <row r="990" spans="1:12" ht="15" customHeight="1" x14ac:dyDescent="0.25">
      <c r="A990" s="10" t="str">
        <f>Raw_Data!A990</f>
        <v>Robustrion [Anti-Scratch] &amp; [Smudge Proof] [Bubble Free] Premium Tempered Glass Screen Protector Guard for Samsung Galaxy Tab A8 10.5 inch [SM-X200/X205/X207] 2022</v>
      </c>
      <c r="B990" s="10" t="str">
        <f>IFERROR(TRIM(LEFT(Raw_Data!A990,FIND(" ",Raw_Data!A990)-1)),Raw_Data!A990)</f>
        <v>Robustrion</v>
      </c>
      <c r="C990" s="10" t="str">
        <f>IFERROR(LEFT(Raw_Data!B990,FIND("|",Raw_Data!B990)-1),Raw_Data!B990)</f>
        <v>Computers&amp;Accessories</v>
      </c>
      <c r="D990" s="11">
        <f>IFERROR(VALUE(SUBSTITUTE(SUBSTITUTE(TRIM(Raw_Data!C990),"₹",""),",","")),"")</f>
        <v>399</v>
      </c>
      <c r="E990" s="11">
        <f>IFERROR(VALUE(SUBSTITUTE(SUBSTITUTE(TRIM(Raw_Data!D990),"₹",""),",","")),"")</f>
        <v>1499</v>
      </c>
      <c r="F990" s="12">
        <f>IFERROR(VALUE(SUBSTITUTE(Raw_Data!E990,"%",""))/100,"")</f>
        <v>0.73</v>
      </c>
      <c r="G990" s="13">
        <f>IFERROR(VALUE(Raw_Data!F990),"")</f>
        <v>4</v>
      </c>
      <c r="H990" s="14">
        <f>IFERROR(VALUE(SUBSTITUTE(Raw_Data!G990,",","")),"")</f>
        <v>691</v>
      </c>
      <c r="I990" s="11">
        <f t="shared" si="60"/>
        <v>1100</v>
      </c>
      <c r="J990" s="11">
        <f t="shared" si="61"/>
        <v>275709</v>
      </c>
      <c r="K990" s="1">
        <f t="shared" si="62"/>
        <v>691.00009899999998</v>
      </c>
      <c r="L990" s="15">
        <f t="shared" si="63"/>
        <v>0.73009899999999994</v>
      </c>
    </row>
    <row r="991" spans="1:12" ht="15" customHeight="1" x14ac:dyDescent="0.25">
      <c r="A991" s="10" t="str">
        <f>Raw_Data!A991</f>
        <v>PC SQUARE Laptop Tabletop Stand/ Computer Tablet Stand 6 Angles Adjustable Aluminum Ergonomic Foldable Portable Desktop Holder Compatible with MacBook, HP, Dell, Lenovo &amp; All Other Notebook (Silver)</v>
      </c>
      <c r="B991" s="10" t="str">
        <f>IFERROR(TRIM(LEFT(Raw_Data!A991,FIND(" ",Raw_Data!A991)-1)),Raw_Data!A991)</f>
        <v>PC</v>
      </c>
      <c r="C991" s="10" t="str">
        <f>IFERROR(LEFT(Raw_Data!B991,FIND("|",Raw_Data!B991)-1),Raw_Data!B991)</f>
        <v>Computers&amp;Accessories</v>
      </c>
      <c r="D991" s="11">
        <f>IFERROR(VALUE(SUBSTITUTE(SUBSTITUTE(TRIM(Raw_Data!C991),"₹",""),",","")),"")</f>
        <v>499</v>
      </c>
      <c r="E991" s="11">
        <f>IFERROR(VALUE(SUBSTITUTE(SUBSTITUTE(TRIM(Raw_Data!D991),"₹",""),",","")),"")</f>
        <v>1299</v>
      </c>
      <c r="F991" s="12">
        <f>IFERROR(VALUE(SUBSTITUTE(Raw_Data!E991,"%",""))/100,"")</f>
        <v>0.62</v>
      </c>
      <c r="G991" s="13">
        <f>IFERROR(VALUE(Raw_Data!F991),"")</f>
        <v>4.0999999999999996</v>
      </c>
      <c r="H991" s="14">
        <f>IFERROR(VALUE(SUBSTITUTE(Raw_Data!G991,",","")),"")</f>
        <v>2740</v>
      </c>
      <c r="I991" s="11">
        <f t="shared" si="60"/>
        <v>800</v>
      </c>
      <c r="J991" s="11">
        <f t="shared" si="61"/>
        <v>1367260</v>
      </c>
      <c r="K991" s="1">
        <f t="shared" si="62"/>
        <v>2740.0000991000002</v>
      </c>
      <c r="L991" s="15">
        <f t="shared" si="63"/>
        <v>0.62009910000000001</v>
      </c>
    </row>
    <row r="992" spans="1:12" ht="15" customHeight="1" x14ac:dyDescent="0.25">
      <c r="A992" s="10" t="str">
        <f>Raw_Data!A992</f>
        <v>Ambrane 2 in 1 Type-C &amp; Micro USB Cable with 60W / 3A Fast Charging, 480 mbps High Data, PD Technology &amp; Quick Charge 3.0, Compatible with All Type-C &amp; Micro USB Devices (ABDC-10, Black)</v>
      </c>
      <c r="B992" s="10" t="str">
        <f>IFERROR(TRIM(LEFT(Raw_Data!A992,FIND(" ",Raw_Data!A992)-1)),Raw_Data!A992)</f>
        <v>Ambrane</v>
      </c>
      <c r="C992" s="10" t="str">
        <f>IFERROR(LEFT(Raw_Data!B992,FIND("|",Raw_Data!B992)-1),Raw_Data!B992)</f>
        <v>Computers&amp;Accessories</v>
      </c>
      <c r="D992" s="11">
        <f>IFERROR(VALUE(SUBSTITUTE(SUBSTITUTE(TRIM(Raw_Data!C992),"₹",""),",","")),"")</f>
        <v>199</v>
      </c>
      <c r="E992" s="11">
        <f>IFERROR(VALUE(SUBSTITUTE(SUBSTITUTE(TRIM(Raw_Data!D992),"₹",""),",","")),"")</f>
        <v>499</v>
      </c>
      <c r="F992" s="12">
        <f>IFERROR(VALUE(SUBSTITUTE(Raw_Data!E992,"%",""))/100,"")</f>
        <v>0.6</v>
      </c>
      <c r="G992" s="13">
        <f>IFERROR(VALUE(Raw_Data!F992),"")</f>
        <v>4.0999999999999996</v>
      </c>
      <c r="H992" s="14">
        <f>IFERROR(VALUE(SUBSTITUTE(Raw_Data!G992,",","")),"")</f>
        <v>602</v>
      </c>
      <c r="I992" s="11">
        <f t="shared" si="60"/>
        <v>300</v>
      </c>
      <c r="J992" s="11">
        <f t="shared" si="61"/>
        <v>119798</v>
      </c>
      <c r="K992" s="1">
        <f t="shared" si="62"/>
        <v>602.00009920000002</v>
      </c>
      <c r="L992" s="15">
        <f t="shared" si="63"/>
        <v>0.60009919999999994</v>
      </c>
    </row>
    <row r="993" spans="1:12" ht="15" customHeight="1" x14ac:dyDescent="0.25">
      <c r="A993" s="10" t="str">
        <f>Raw_Data!A993</f>
        <v>Lenovo 130 Wireless Compact Mouse, 1K DPI Optical sensor, 2.4GHz Wireless NanoUSB, 10m range, 3button(left,right,scroll) upto 3M left/right clicks, 10 month battery, Ambidextrous, Ergonomic GY51C12380</v>
      </c>
      <c r="B993" s="10" t="str">
        <f>IFERROR(TRIM(LEFT(Raw_Data!A993,FIND(" ",Raw_Data!A993)-1)),Raw_Data!A993)</f>
        <v>Lenovo</v>
      </c>
      <c r="C993" s="10" t="str">
        <f>IFERROR(LEFT(Raw_Data!B993,FIND("|",Raw_Data!B993)-1),Raw_Data!B993)</f>
        <v>Computers&amp;Accessories</v>
      </c>
      <c r="D993" s="11">
        <f>IFERROR(VALUE(SUBSTITUTE(SUBSTITUTE(TRIM(Raw_Data!C993),"₹",""),",","")),"")</f>
        <v>579</v>
      </c>
      <c r="E993" s="11">
        <f>IFERROR(VALUE(SUBSTITUTE(SUBSTITUTE(TRIM(Raw_Data!D993),"₹",""),",","")),"")</f>
        <v>1090</v>
      </c>
      <c r="F993" s="12">
        <f>IFERROR(VALUE(SUBSTITUTE(Raw_Data!E993,"%",""))/100,"")</f>
        <v>0.47</v>
      </c>
      <c r="G993" s="13">
        <f>IFERROR(VALUE(Raw_Data!F993),"")</f>
        <v>4.4000000000000004</v>
      </c>
      <c r="H993" s="14">
        <f>IFERROR(VALUE(SUBSTITUTE(Raw_Data!G993,",","")),"")</f>
        <v>3482</v>
      </c>
      <c r="I993" s="11">
        <f t="shared" si="60"/>
        <v>511</v>
      </c>
      <c r="J993" s="11">
        <f t="shared" si="61"/>
        <v>2016078</v>
      </c>
      <c r="K993" s="1">
        <f t="shared" si="62"/>
        <v>3482.0000992999999</v>
      </c>
      <c r="L993" s="15">
        <f t="shared" si="63"/>
        <v>0.4700993</v>
      </c>
    </row>
    <row r="994" spans="1:12" ht="15" customHeight="1" x14ac:dyDescent="0.25">
      <c r="A994" s="10" t="str">
        <f>Raw_Data!A994</f>
        <v>Ambrane 60W / 3A Fast Charging Output Cable with Type-C to USB for Mobile, Neckband, True Wireless Earphone Charging, 480mbps Data Sync Speed, 1m Length (ACT - AZ10, Black)</v>
      </c>
      <c r="B994" s="10" t="str">
        <f>IFERROR(TRIM(LEFT(Raw_Data!A994,FIND(" ",Raw_Data!A994)-1)),Raw_Data!A994)</f>
        <v>Ambrane</v>
      </c>
      <c r="C994" s="10" t="str">
        <f>IFERROR(LEFT(Raw_Data!B994,FIND("|",Raw_Data!B994)-1),Raw_Data!B994)</f>
        <v>Computers&amp;Accessories</v>
      </c>
      <c r="D994" s="11">
        <f>IFERROR(VALUE(SUBSTITUTE(SUBSTITUTE(TRIM(Raw_Data!C994),"₹",""),",","")),"")</f>
        <v>179</v>
      </c>
      <c r="E994" s="11">
        <f>IFERROR(VALUE(SUBSTITUTE(SUBSTITUTE(TRIM(Raw_Data!D994),"₹",""),",","")),"")</f>
        <v>399</v>
      </c>
      <c r="F994" s="12">
        <f>IFERROR(VALUE(SUBSTITUTE(Raw_Data!E994,"%",""))/100,"")</f>
        <v>0.55000000000000004</v>
      </c>
      <c r="G994" s="13">
        <f>IFERROR(VALUE(Raw_Data!F994),"")</f>
        <v>4</v>
      </c>
      <c r="H994" s="14">
        <f>IFERROR(VALUE(SUBSTITUTE(Raw_Data!G994,",","")),"")</f>
        <v>1423</v>
      </c>
      <c r="I994" s="11">
        <f t="shared" si="60"/>
        <v>220</v>
      </c>
      <c r="J994" s="11">
        <f t="shared" si="61"/>
        <v>254717</v>
      </c>
      <c r="K994" s="1">
        <f t="shared" si="62"/>
        <v>1423.0000994</v>
      </c>
      <c r="L994" s="15">
        <f t="shared" si="63"/>
        <v>0.55009940000000002</v>
      </c>
    </row>
    <row r="995" spans="1:12" ht="15" customHeight="1" x14ac:dyDescent="0.25">
      <c r="A995" s="10" t="str">
        <f>Raw_Data!A995</f>
        <v>Pilot Frixion Clicker Roller Pen (Blue), (9000019529)</v>
      </c>
      <c r="B995" s="10" t="str">
        <f>IFERROR(TRIM(LEFT(Raw_Data!A995,FIND(" ",Raw_Data!A995)-1)),Raw_Data!A995)</f>
        <v>Pilot</v>
      </c>
      <c r="C995" s="10" t="str">
        <f>IFERROR(LEFT(Raw_Data!B995,FIND("|",Raw_Data!B995)-1),Raw_Data!B995)</f>
        <v>OfficeProducts</v>
      </c>
      <c r="D995" s="11">
        <f>IFERROR(VALUE(SUBSTITUTE(SUBSTITUTE(TRIM(Raw_Data!C995),"₹",""),",","")),"")</f>
        <v>90</v>
      </c>
      <c r="E995" s="11">
        <f>IFERROR(VALUE(SUBSTITUTE(SUBSTITUTE(TRIM(Raw_Data!D995),"₹",""),",","")),"")</f>
        <v>100</v>
      </c>
      <c r="F995" s="12">
        <f>IFERROR(VALUE(SUBSTITUTE(Raw_Data!E995,"%",""))/100,"")</f>
        <v>0.1</v>
      </c>
      <c r="G995" s="13">
        <f>IFERROR(VALUE(Raw_Data!F995),"")</f>
        <v>4.0999999999999996</v>
      </c>
      <c r="H995" s="14">
        <f>IFERROR(VALUE(SUBSTITUTE(Raw_Data!G995,",","")),"")</f>
        <v>6199</v>
      </c>
      <c r="I995" s="11">
        <f t="shared" si="60"/>
        <v>10</v>
      </c>
      <c r="J995" s="11">
        <f t="shared" si="61"/>
        <v>557910</v>
      </c>
      <c r="K995" s="1">
        <f t="shared" si="62"/>
        <v>6199.0000995</v>
      </c>
      <c r="L995" s="15">
        <f t="shared" si="63"/>
        <v>0.10009950000000001</v>
      </c>
    </row>
    <row r="996" spans="1:12" ht="15" customHeight="1" x14ac:dyDescent="0.25">
      <c r="A996" s="10" t="str">
        <f>Raw_Data!A996</f>
        <v>ZEBRONICS Aluminium Alloy Laptop Stand, Compatible with 9-15.6 inch Laptops, 7 Angles Adjustable, Anti Slip Silicon Rubber Pads, Foldable, Velvet Pouch Inside, Zeb-NS2000 (Dark Grey)</v>
      </c>
      <c r="B996" s="10" t="str">
        <f>IFERROR(TRIM(LEFT(Raw_Data!A996,FIND(" ",Raw_Data!A996)-1)),Raw_Data!A996)</f>
        <v>ZEBRONICS</v>
      </c>
      <c r="C996" s="10" t="str">
        <f>IFERROR(LEFT(Raw_Data!B996,FIND("|",Raw_Data!B996)-1),Raw_Data!B996)</f>
        <v>Computers&amp;Accessories</v>
      </c>
      <c r="D996" s="11">
        <f>IFERROR(VALUE(SUBSTITUTE(SUBSTITUTE(TRIM(Raw_Data!C996),"₹",""),",","")),"")</f>
        <v>899</v>
      </c>
      <c r="E996" s="11">
        <f>IFERROR(VALUE(SUBSTITUTE(SUBSTITUTE(TRIM(Raw_Data!D996),"₹",""),",","")),"")</f>
        <v>1999</v>
      </c>
      <c r="F996" s="12">
        <f>IFERROR(VALUE(SUBSTITUTE(Raw_Data!E996,"%",""))/100,"")</f>
        <v>0.55000000000000004</v>
      </c>
      <c r="G996" s="13">
        <f>IFERROR(VALUE(Raw_Data!F996),"")</f>
        <v>4.4000000000000004</v>
      </c>
      <c r="H996" s="14">
        <f>IFERROR(VALUE(SUBSTITUTE(Raw_Data!G996,",","")),"")</f>
        <v>1667</v>
      </c>
      <c r="I996" s="11">
        <f t="shared" si="60"/>
        <v>1100</v>
      </c>
      <c r="J996" s="11">
        <f t="shared" si="61"/>
        <v>1498633</v>
      </c>
      <c r="K996" s="1">
        <f t="shared" si="62"/>
        <v>1667.0000996000001</v>
      </c>
      <c r="L996" s="15">
        <f t="shared" si="63"/>
        <v>0.55009960000000002</v>
      </c>
    </row>
    <row r="997" spans="1:12" ht="15" customHeight="1" x14ac:dyDescent="0.25">
      <c r="A997" s="10" t="str">
        <f>Raw_Data!A997</f>
        <v>HP K500F Backlit Membrane Wired Gaming Keyboard with Mixed Color Lighting, Metal Panel with Logo Lighting, 26 Anti-Ghosting Keys, and Windows Lock Key / 3 Years Warranty(7ZZ97AA)</v>
      </c>
      <c r="B997" s="10" t="str">
        <f>IFERROR(TRIM(LEFT(Raw_Data!A997,FIND(" ",Raw_Data!A997)-1)),Raw_Data!A997)</f>
        <v>HP</v>
      </c>
      <c r="C997" s="10" t="str">
        <f>IFERROR(LEFT(Raw_Data!B997,FIND("|",Raw_Data!B997)-1),Raw_Data!B997)</f>
        <v>Computers&amp;Accessories</v>
      </c>
      <c r="D997" s="11">
        <f>IFERROR(VALUE(SUBSTITUTE(SUBSTITUTE(TRIM(Raw_Data!C997),"₹",""),",","")),"")</f>
        <v>1149</v>
      </c>
      <c r="E997" s="11">
        <f>IFERROR(VALUE(SUBSTITUTE(SUBSTITUTE(TRIM(Raw_Data!D997),"₹",""),",","")),"")</f>
        <v>1800</v>
      </c>
      <c r="F997" s="12">
        <f>IFERROR(VALUE(SUBSTITUTE(Raw_Data!E997,"%",""))/100,"")</f>
        <v>0.36</v>
      </c>
      <c r="G997" s="13">
        <f>IFERROR(VALUE(Raw_Data!F997),"")</f>
        <v>4.3</v>
      </c>
      <c r="H997" s="14">
        <f>IFERROR(VALUE(SUBSTITUTE(Raw_Data!G997,",","")),"")</f>
        <v>4723</v>
      </c>
      <c r="I997" s="11">
        <f t="shared" si="60"/>
        <v>651</v>
      </c>
      <c r="J997" s="11">
        <f t="shared" si="61"/>
        <v>5426727</v>
      </c>
      <c r="K997" s="1">
        <f t="shared" si="62"/>
        <v>4723.0000996999997</v>
      </c>
      <c r="L997" s="15">
        <f t="shared" si="63"/>
        <v>0.36009969999999997</v>
      </c>
    </row>
    <row r="998" spans="1:12" ht="15" customHeight="1" x14ac:dyDescent="0.25">
      <c r="A998" s="10" t="str">
        <f>Raw_Data!A998</f>
        <v>GIZGA Club-laptop Neoprene Reversible for 15.6-inches Laptop Sleeve - Black-Red</v>
      </c>
      <c r="B998" s="10" t="str">
        <f>IFERROR(TRIM(LEFT(Raw_Data!A998,FIND(" ",Raw_Data!A998)-1)),Raw_Data!A998)</f>
        <v>GIZGA</v>
      </c>
      <c r="C998" s="10" t="str">
        <f>IFERROR(LEFT(Raw_Data!B998,FIND("|",Raw_Data!B998)-1),Raw_Data!B998)</f>
        <v>Computers&amp;Accessories</v>
      </c>
      <c r="D998" s="11">
        <f>IFERROR(VALUE(SUBSTITUTE(SUBSTITUTE(TRIM(Raw_Data!C998),"₹",""),",","")),"")</f>
        <v>249</v>
      </c>
      <c r="E998" s="11">
        <f>IFERROR(VALUE(SUBSTITUTE(SUBSTITUTE(TRIM(Raw_Data!D998),"₹",""),",","")),"")</f>
        <v>499</v>
      </c>
      <c r="F998" s="12">
        <f>IFERROR(VALUE(SUBSTITUTE(Raw_Data!E998,"%",""))/100,"")</f>
        <v>0.5</v>
      </c>
      <c r="G998" s="13">
        <f>IFERROR(VALUE(Raw_Data!F998),"")</f>
        <v>4.2</v>
      </c>
      <c r="H998" s="14">
        <f>IFERROR(VALUE(SUBSTITUTE(Raw_Data!G998,",","")),"")</f>
        <v>22860</v>
      </c>
      <c r="I998" s="11">
        <f t="shared" si="60"/>
        <v>250</v>
      </c>
      <c r="J998" s="11">
        <f t="shared" si="61"/>
        <v>5692140</v>
      </c>
      <c r="K998" s="1">
        <f t="shared" si="62"/>
        <v>22860.0000998</v>
      </c>
      <c r="L998" s="15">
        <f t="shared" si="63"/>
        <v>0.50009979999999998</v>
      </c>
    </row>
    <row r="999" spans="1:12" ht="15" customHeight="1" x14ac:dyDescent="0.25">
      <c r="A999" s="10" t="str">
        <f>Raw_Data!A999</f>
        <v>Inventis 5V 1.2W Portable Flexible USB LED Light Lamp (Colors may vary)</v>
      </c>
      <c r="B999" s="10" t="str">
        <f>IFERROR(TRIM(LEFT(Raw_Data!A999,FIND(" ",Raw_Data!A999)-1)),Raw_Data!A999)</f>
        <v>Inventis</v>
      </c>
      <c r="C999" s="10" t="str">
        <f>IFERROR(LEFT(Raw_Data!B999,FIND("|",Raw_Data!B999)-1),Raw_Data!B999)</f>
        <v>Computers&amp;Accessories</v>
      </c>
      <c r="D999" s="11">
        <f>IFERROR(VALUE(SUBSTITUTE(SUBSTITUTE(TRIM(Raw_Data!C999),"₹",""),",","")),"")</f>
        <v>39</v>
      </c>
      <c r="E999" s="11">
        <f>IFERROR(VALUE(SUBSTITUTE(SUBSTITUTE(TRIM(Raw_Data!D999),"₹",""),",","")),"")</f>
        <v>39</v>
      </c>
      <c r="F999" s="12">
        <f>IFERROR(VALUE(SUBSTITUTE(Raw_Data!E999,"%",""))/100,"")</f>
        <v>0</v>
      </c>
      <c r="G999" s="13">
        <f>IFERROR(VALUE(Raw_Data!F999),"")</f>
        <v>3.6</v>
      </c>
      <c r="H999" s="14">
        <f>IFERROR(VALUE(SUBSTITUTE(Raw_Data!G999,",","")),"")</f>
        <v>13572</v>
      </c>
      <c r="I999" s="11">
        <f t="shared" si="60"/>
        <v>0</v>
      </c>
      <c r="J999" s="11">
        <f t="shared" si="61"/>
        <v>529308</v>
      </c>
      <c r="K999" s="1">
        <f t="shared" si="62"/>
        <v>13572.0000999</v>
      </c>
      <c r="L999" s="15">
        <f t="shared" si="63"/>
        <v>9.9900000000000002E-5</v>
      </c>
    </row>
    <row r="1000" spans="1:12" ht="15" customHeight="1" x14ac:dyDescent="0.25">
      <c r="A1000" s="10" t="str">
        <f>Raw_Data!A1000</f>
        <v>TP-Link TL-WA855RE 300 Mbps Wi-Fi Range Extender (White)</v>
      </c>
      <c r="B1000" s="10" t="str">
        <f>IFERROR(TRIM(LEFT(Raw_Data!A1000,FIND(" ",Raw_Data!A1000)-1)),Raw_Data!A1000)</f>
        <v>TP-Link</v>
      </c>
      <c r="C1000" s="10" t="str">
        <f>IFERROR(LEFT(Raw_Data!B1000,FIND("|",Raw_Data!B1000)-1),Raw_Data!B1000)</f>
        <v>Computers&amp;Accessories</v>
      </c>
      <c r="D1000" s="11">
        <f>IFERROR(VALUE(SUBSTITUTE(SUBSTITUTE(TRIM(Raw_Data!C1000),"₹",""),",","")),"")</f>
        <v>1599</v>
      </c>
      <c r="E1000" s="11">
        <f>IFERROR(VALUE(SUBSTITUTE(SUBSTITUTE(TRIM(Raw_Data!D1000),"₹",""),",","")),"")</f>
        <v>3599</v>
      </c>
      <c r="F1000" s="12">
        <f>IFERROR(VALUE(SUBSTITUTE(Raw_Data!E1000,"%",""))/100,"")</f>
        <v>0.56000000000000005</v>
      </c>
      <c r="G1000" s="13">
        <f>IFERROR(VALUE(Raw_Data!F1000),"")</f>
        <v>4.2</v>
      </c>
      <c r="H1000" s="14">
        <f>IFERROR(VALUE(SUBSTITUTE(Raw_Data!G1000,",","")),"")</f>
        <v>16182</v>
      </c>
      <c r="I1000" s="11">
        <f t="shared" si="60"/>
        <v>2000</v>
      </c>
      <c r="J1000" s="11">
        <f t="shared" si="61"/>
        <v>25875018</v>
      </c>
      <c r="K1000" s="1">
        <f t="shared" si="62"/>
        <v>16182.000099999999</v>
      </c>
      <c r="L1000" s="15">
        <f t="shared" si="63"/>
        <v>0.56010000000000004</v>
      </c>
    </row>
    <row r="1001" spans="1:12" ht="15" customHeight="1" x14ac:dyDescent="0.25">
      <c r="A1001" s="10" t="str">
        <f>Raw_Data!A1001</f>
        <v>boAt Stone 250 Portable Wireless Speaker with 5W RMS Immersive Audio, RGB LEDs, Up to 8HRS Playtime, IPX7 Water Resistance, Multi-Compatibility Modes(Black)</v>
      </c>
      <c r="B1001" s="10" t="str">
        <f>IFERROR(TRIM(LEFT(Raw_Data!A1001,FIND(" ",Raw_Data!A1001)-1)),Raw_Data!A1001)</f>
        <v>boAt</v>
      </c>
      <c r="C1001" s="10" t="str">
        <f>IFERROR(LEFT(Raw_Data!B1001,FIND("|",Raw_Data!B1001)-1),Raw_Data!B1001)</f>
        <v>Electronics</v>
      </c>
      <c r="D1001" s="11">
        <f>IFERROR(VALUE(SUBSTITUTE(SUBSTITUTE(TRIM(Raw_Data!C1001),"₹",""),",","")),"")</f>
        <v>1199</v>
      </c>
      <c r="E1001" s="11">
        <f>IFERROR(VALUE(SUBSTITUTE(SUBSTITUTE(TRIM(Raw_Data!D1001),"₹",""),",","")),"")</f>
        <v>3990</v>
      </c>
      <c r="F1001" s="12">
        <f>IFERROR(VALUE(SUBSTITUTE(Raw_Data!E1001,"%",""))/100,"")</f>
        <v>0.7</v>
      </c>
      <c r="G1001" s="13">
        <f>IFERROR(VALUE(Raw_Data!F1001),"")</f>
        <v>4.2</v>
      </c>
      <c r="H1001" s="14">
        <f>IFERROR(VALUE(SUBSTITUTE(Raw_Data!G1001,",","")),"")</f>
        <v>2908</v>
      </c>
      <c r="I1001" s="11">
        <f t="shared" si="60"/>
        <v>2791</v>
      </c>
      <c r="J1001" s="11">
        <f t="shared" si="61"/>
        <v>3486692</v>
      </c>
      <c r="K1001" s="1">
        <f t="shared" si="62"/>
        <v>2908.0001001000001</v>
      </c>
      <c r="L1001" s="15">
        <f t="shared" si="63"/>
        <v>0.7001001</v>
      </c>
    </row>
    <row r="1002" spans="1:12" ht="15" customHeight="1" x14ac:dyDescent="0.25">
      <c r="A1002" s="10" t="str">
        <f>Raw_Data!A1002</f>
        <v>SWAPKART Fast Charging Cable and Data Sync USB Cable Compatible for iPhone 6/6S/7/7+/8/8+/10/11, 12, 13 Pro max iPad Air/Mini, iPod and iOS Devices (White)</v>
      </c>
      <c r="B1002" s="10" t="str">
        <f>IFERROR(TRIM(LEFT(Raw_Data!A1002,FIND(" ",Raw_Data!A1002)-1)),Raw_Data!A1002)</f>
        <v>SWAPKART</v>
      </c>
      <c r="C1002" s="10" t="str">
        <f>IFERROR(LEFT(Raw_Data!B1002,FIND("|",Raw_Data!B1002)-1),Raw_Data!B1002)</f>
        <v>Computers&amp;Accessories</v>
      </c>
      <c r="D1002" s="11">
        <f>IFERROR(VALUE(SUBSTITUTE(SUBSTITUTE(TRIM(Raw_Data!C1002),"₹",""),",","")),"")</f>
        <v>209</v>
      </c>
      <c r="E1002" s="11">
        <f>IFERROR(VALUE(SUBSTITUTE(SUBSTITUTE(TRIM(Raw_Data!D1002),"₹",""),",","")),"")</f>
        <v>499</v>
      </c>
      <c r="F1002" s="12">
        <f>IFERROR(VALUE(SUBSTITUTE(Raw_Data!E1002,"%",""))/100,"")</f>
        <v>0.57999999999999996</v>
      </c>
      <c r="G1002" s="13">
        <f>IFERROR(VALUE(Raw_Data!F1002),"")</f>
        <v>3.9</v>
      </c>
      <c r="H1002" s="14">
        <f>IFERROR(VALUE(SUBSTITUTE(Raw_Data!G1002,",","")),"")</f>
        <v>536</v>
      </c>
      <c r="I1002" s="11">
        <f t="shared" si="60"/>
        <v>290</v>
      </c>
      <c r="J1002" s="11">
        <f t="shared" si="61"/>
        <v>112024</v>
      </c>
      <c r="K1002" s="1">
        <f t="shared" si="62"/>
        <v>536.00010020000002</v>
      </c>
      <c r="L1002" s="15">
        <f t="shared" si="63"/>
        <v>0.58010019999999995</v>
      </c>
    </row>
    <row r="1003" spans="1:12" ht="15" customHeight="1" x14ac:dyDescent="0.25">
      <c r="A1003" s="10" t="str">
        <f>Raw_Data!A1003</f>
        <v>Offbeat® - DASH 2.4GHz Wireless + Bluetooth 5.1 Mouse, Multi-Device Dual Mode Slim Rechargeable Silent Click Buttons Wireless Bluetooth Mouse, 3 Adjustable DPI, Works on 2 devices at the same time with a switch button for Windows/Mac/Android/Ipad/Smart TV</v>
      </c>
      <c r="B1003" s="10" t="str">
        <f>IFERROR(TRIM(LEFT(Raw_Data!A1003,FIND(" ",Raw_Data!A1003)-1)),Raw_Data!A1003)</f>
        <v>Offbeat®</v>
      </c>
      <c r="C1003" s="10" t="str">
        <f>IFERROR(LEFT(Raw_Data!B1003,FIND("|",Raw_Data!B1003)-1),Raw_Data!B1003)</f>
        <v>Computers&amp;Accessories</v>
      </c>
      <c r="D1003" s="11">
        <f>IFERROR(VALUE(SUBSTITUTE(SUBSTITUTE(TRIM(Raw_Data!C1003),"₹",""),",","")),"")</f>
        <v>1099</v>
      </c>
      <c r="E1003" s="11">
        <f>IFERROR(VALUE(SUBSTITUTE(SUBSTITUTE(TRIM(Raw_Data!D1003),"₹",""),",","")),"")</f>
        <v>1499</v>
      </c>
      <c r="F1003" s="12">
        <f>IFERROR(VALUE(SUBSTITUTE(Raw_Data!E1003,"%",""))/100,"")</f>
        <v>0.27</v>
      </c>
      <c r="G1003" s="13">
        <f>IFERROR(VALUE(Raw_Data!F1003),"")</f>
        <v>4.2</v>
      </c>
      <c r="H1003" s="14">
        <f>IFERROR(VALUE(SUBSTITUTE(Raw_Data!G1003,",","")),"")</f>
        <v>2375</v>
      </c>
      <c r="I1003" s="11">
        <f t="shared" si="60"/>
        <v>400</v>
      </c>
      <c r="J1003" s="11">
        <f t="shared" si="61"/>
        <v>2610125</v>
      </c>
      <c r="K1003" s="1">
        <f t="shared" si="62"/>
        <v>2375.0001003000002</v>
      </c>
      <c r="L1003" s="15">
        <f t="shared" si="63"/>
        <v>0.27010030000000002</v>
      </c>
    </row>
    <row r="1004" spans="1:12" ht="15" customHeight="1" x14ac:dyDescent="0.25">
      <c r="A1004" s="10" t="str">
        <f>Raw_Data!A1004</f>
        <v>Classmate Drawing Book - Unruled, 40 Pages, 210 mm x 297 mm - Pack Of 4</v>
      </c>
      <c r="B1004" s="10" t="str">
        <f>IFERROR(TRIM(LEFT(Raw_Data!A1004,FIND(" ",Raw_Data!A1004)-1)),Raw_Data!A1004)</f>
        <v>Classmate</v>
      </c>
      <c r="C1004" s="10" t="str">
        <f>IFERROR(LEFT(Raw_Data!B1004,FIND("|",Raw_Data!B1004)-1),Raw_Data!B1004)</f>
        <v>OfficeProducts</v>
      </c>
      <c r="D1004" s="11">
        <f>IFERROR(VALUE(SUBSTITUTE(SUBSTITUTE(TRIM(Raw_Data!C1004),"₹",""),",","")),"")</f>
        <v>120</v>
      </c>
      <c r="E1004" s="11">
        <f>IFERROR(VALUE(SUBSTITUTE(SUBSTITUTE(TRIM(Raw_Data!D1004),"₹",""),",","")),"")</f>
        <v>120</v>
      </c>
      <c r="F1004" s="12">
        <f>IFERROR(VALUE(SUBSTITUTE(Raw_Data!E1004,"%",""))/100,"")</f>
        <v>0</v>
      </c>
      <c r="G1004" s="13">
        <f>IFERROR(VALUE(Raw_Data!F1004),"")</f>
        <v>4.5</v>
      </c>
      <c r="H1004" s="14">
        <f>IFERROR(VALUE(SUBSTITUTE(Raw_Data!G1004,",","")),"")</f>
        <v>4951</v>
      </c>
      <c r="I1004" s="11">
        <f t="shared" si="60"/>
        <v>0</v>
      </c>
      <c r="J1004" s="11">
        <f t="shared" si="61"/>
        <v>594120</v>
      </c>
      <c r="K1004" s="1">
        <f t="shared" si="62"/>
        <v>4951.0001003999996</v>
      </c>
      <c r="L1004" s="15">
        <f t="shared" si="63"/>
        <v>1.004E-4</v>
      </c>
    </row>
    <row r="1005" spans="1:12" ht="15" customHeight="1" x14ac:dyDescent="0.25">
      <c r="A1005" s="10" t="str">
        <f>Raw_Data!A1005</f>
        <v>HP GK320 Wired Full Size RGB Backlight Mechanical Gaming Keyboard, 4 LED Indicators, Mechanical Switches, Double Injection Key Caps, and Windows Lock Key(4QN01AA)</v>
      </c>
      <c r="B1005" s="10" t="str">
        <f>IFERROR(TRIM(LEFT(Raw_Data!A1005,FIND(" ",Raw_Data!A1005)-1)),Raw_Data!A1005)</f>
        <v>HP</v>
      </c>
      <c r="C1005" s="10" t="str">
        <f>IFERROR(LEFT(Raw_Data!B1005,FIND("|",Raw_Data!B1005)-1),Raw_Data!B1005)</f>
        <v>Computers&amp;Accessories</v>
      </c>
      <c r="D1005" s="11">
        <f>IFERROR(VALUE(SUBSTITUTE(SUBSTITUTE(TRIM(Raw_Data!C1005),"₹",""),",","")),"")</f>
        <v>1519</v>
      </c>
      <c r="E1005" s="11">
        <f>IFERROR(VALUE(SUBSTITUTE(SUBSTITUTE(TRIM(Raw_Data!D1005),"₹",""),",","")),"")</f>
        <v>3499</v>
      </c>
      <c r="F1005" s="12">
        <f>IFERROR(VALUE(SUBSTITUTE(Raw_Data!E1005,"%",""))/100,"")</f>
        <v>0.56999999999999995</v>
      </c>
      <c r="G1005" s="13">
        <f>IFERROR(VALUE(Raw_Data!F1005),"")</f>
        <v>4.3</v>
      </c>
      <c r="H1005" s="14">
        <f>IFERROR(VALUE(SUBSTITUTE(Raw_Data!G1005,",","")),"")</f>
        <v>408</v>
      </c>
      <c r="I1005" s="11">
        <f t="shared" si="60"/>
        <v>1980</v>
      </c>
      <c r="J1005" s="11">
        <f t="shared" si="61"/>
        <v>619752</v>
      </c>
      <c r="K1005" s="1">
        <f t="shared" si="62"/>
        <v>408.00010049999997</v>
      </c>
      <c r="L1005" s="15">
        <f t="shared" si="63"/>
        <v>0.5701004999999999</v>
      </c>
    </row>
    <row r="1006" spans="1:12" ht="15" customHeight="1" x14ac:dyDescent="0.25">
      <c r="A1006" s="10" t="str">
        <f>Raw_Data!A1006</f>
        <v>Parker Moments Vector Timecheck Gold Trim Roller Ball Pen (Black)</v>
      </c>
      <c r="B1006" s="10" t="str">
        <f>IFERROR(TRIM(LEFT(Raw_Data!A1006,FIND(" ",Raw_Data!A1006)-1)),Raw_Data!A1006)</f>
        <v>Parker</v>
      </c>
      <c r="C1006" s="10" t="str">
        <f>IFERROR(LEFT(Raw_Data!B1006,FIND("|",Raw_Data!B1006)-1),Raw_Data!B1006)</f>
        <v>OfficeProducts</v>
      </c>
      <c r="D1006" s="11">
        <f>IFERROR(VALUE(SUBSTITUTE(SUBSTITUTE(TRIM(Raw_Data!C1006),"₹",""),",","")),"")</f>
        <v>420</v>
      </c>
      <c r="E1006" s="11">
        <f>IFERROR(VALUE(SUBSTITUTE(SUBSTITUTE(TRIM(Raw_Data!D1006),"₹",""),",","")),"")</f>
        <v>420</v>
      </c>
      <c r="F1006" s="12">
        <f>IFERROR(VALUE(SUBSTITUTE(Raw_Data!E1006,"%",""))/100,"")</f>
        <v>0</v>
      </c>
      <c r="G1006" s="13">
        <f>IFERROR(VALUE(Raw_Data!F1006),"")</f>
        <v>4.2</v>
      </c>
      <c r="H1006" s="14">
        <f>IFERROR(VALUE(SUBSTITUTE(Raw_Data!G1006,",","")),"")</f>
        <v>1926</v>
      </c>
      <c r="I1006" s="11">
        <f t="shared" si="60"/>
        <v>0</v>
      </c>
      <c r="J1006" s="11">
        <f t="shared" si="61"/>
        <v>808920</v>
      </c>
      <c r="K1006" s="1">
        <f t="shared" si="62"/>
        <v>1926.0001006</v>
      </c>
      <c r="L1006" s="15">
        <f t="shared" si="63"/>
        <v>1.0060000000000001E-4</v>
      </c>
    </row>
    <row r="1007" spans="1:12" ht="15" customHeight="1" x14ac:dyDescent="0.25">
      <c r="A1007" s="10" t="str">
        <f>Raw_Data!A1007</f>
        <v>Camlin Elegante Fountain Pen - Black/Blue/Red</v>
      </c>
      <c r="B1007" s="10" t="str">
        <f>IFERROR(TRIM(LEFT(Raw_Data!A1007,FIND(" ",Raw_Data!A1007)-1)),Raw_Data!A1007)</f>
        <v>Camlin</v>
      </c>
      <c r="C1007" s="10" t="str">
        <f>IFERROR(LEFT(Raw_Data!B1007,FIND("|",Raw_Data!B1007)-1),Raw_Data!B1007)</f>
        <v>OfficeProducts</v>
      </c>
      <c r="D1007" s="11">
        <f>IFERROR(VALUE(SUBSTITUTE(SUBSTITUTE(TRIM(Raw_Data!C1007),"₹",""),",","")),"")</f>
        <v>225</v>
      </c>
      <c r="E1007" s="11">
        <f>IFERROR(VALUE(SUBSTITUTE(SUBSTITUTE(TRIM(Raw_Data!D1007),"₹",""),",","")),"")</f>
        <v>225</v>
      </c>
      <c r="F1007" s="12">
        <f>IFERROR(VALUE(SUBSTITUTE(Raw_Data!E1007,"%",""))/100,"")</f>
        <v>0</v>
      </c>
      <c r="G1007" s="13">
        <f>IFERROR(VALUE(Raw_Data!F1007),"")</f>
        <v>4.0999999999999996</v>
      </c>
      <c r="H1007" s="14">
        <f>IFERROR(VALUE(SUBSTITUTE(Raw_Data!G1007,",","")),"")</f>
        <v>4798</v>
      </c>
      <c r="I1007" s="11">
        <f t="shared" si="60"/>
        <v>0</v>
      </c>
      <c r="J1007" s="11">
        <f t="shared" si="61"/>
        <v>1079550</v>
      </c>
      <c r="K1007" s="1">
        <f t="shared" si="62"/>
        <v>4798.0001007000001</v>
      </c>
      <c r="L1007" s="15">
        <f t="shared" si="63"/>
        <v>1.0069999999999999E-4</v>
      </c>
    </row>
    <row r="1008" spans="1:12" ht="15" customHeight="1" x14ac:dyDescent="0.25">
      <c r="A1008" s="10" t="str">
        <f>Raw_Data!A1008</f>
        <v>CARECASE® Optical Bay 2nd Hard Drive Caddy, 9.5 mm CD/DVD Drive Slot for SSD and HDD</v>
      </c>
      <c r="B1008" s="10" t="str">
        <f>IFERROR(TRIM(LEFT(Raw_Data!A1008,FIND(" ",Raw_Data!A1008)-1)),Raw_Data!A1008)</f>
        <v>CARECASE®</v>
      </c>
      <c r="C1008" s="10" t="str">
        <f>IFERROR(LEFT(Raw_Data!B1008,FIND("|",Raw_Data!B1008)-1),Raw_Data!B1008)</f>
        <v>Computers&amp;Accessories</v>
      </c>
      <c r="D1008" s="11">
        <f>IFERROR(VALUE(SUBSTITUTE(SUBSTITUTE(TRIM(Raw_Data!C1008),"₹",""),",","")),"")</f>
        <v>199</v>
      </c>
      <c r="E1008" s="11">
        <f>IFERROR(VALUE(SUBSTITUTE(SUBSTITUTE(TRIM(Raw_Data!D1008),"₹",""),",","")),"")</f>
        <v>799</v>
      </c>
      <c r="F1008" s="12">
        <f>IFERROR(VALUE(SUBSTITUTE(Raw_Data!E1008,"%",""))/100,"")</f>
        <v>0.75</v>
      </c>
      <c r="G1008" s="13">
        <f>IFERROR(VALUE(Raw_Data!F1008),"")</f>
        <v>4.0999999999999996</v>
      </c>
      <c r="H1008" s="14">
        <f>IFERROR(VALUE(SUBSTITUTE(Raw_Data!G1008,",","")),"")</f>
        <v>7333</v>
      </c>
      <c r="I1008" s="11">
        <f t="shared" si="60"/>
        <v>600</v>
      </c>
      <c r="J1008" s="11">
        <f t="shared" si="61"/>
        <v>1459267</v>
      </c>
      <c r="K1008" s="1">
        <f t="shared" si="62"/>
        <v>7333.0001007999999</v>
      </c>
      <c r="L1008" s="15">
        <f t="shared" si="63"/>
        <v>0.75010080000000001</v>
      </c>
    </row>
    <row r="1009" spans="1:12" ht="15" customHeight="1" x14ac:dyDescent="0.25">
      <c r="A1009" s="10" t="str">
        <f>Raw_Data!A1009</f>
        <v>WeCool S5 Long Selfie Stick, with Large Reinforced Tripod Stand up to 61 Inch / 156 Cms, Ultra Long Multi Function Bluetooth Selfie Stick with 1/4 Screw Compatible with Gopro, Camera, and Ring Light</v>
      </c>
      <c r="B1009" s="10" t="str">
        <f>IFERROR(TRIM(LEFT(Raw_Data!A1009,FIND(" ",Raw_Data!A1009)-1)),Raw_Data!A1009)</f>
        <v>WeCool</v>
      </c>
      <c r="C1009" s="10" t="str">
        <f>IFERROR(LEFT(Raw_Data!B1009,FIND("|",Raw_Data!B1009)-1),Raw_Data!B1009)</f>
        <v>Electronics</v>
      </c>
      <c r="D1009" s="11">
        <f>IFERROR(VALUE(SUBSTITUTE(SUBSTITUTE(TRIM(Raw_Data!C1009),"₹",""),",","")),"")</f>
        <v>1799</v>
      </c>
      <c r="E1009" s="11">
        <f>IFERROR(VALUE(SUBSTITUTE(SUBSTITUTE(TRIM(Raw_Data!D1009),"₹",""),",","")),"")</f>
        <v>3999</v>
      </c>
      <c r="F1009" s="12">
        <f>IFERROR(VALUE(SUBSTITUTE(Raw_Data!E1009,"%",""))/100,"")</f>
        <v>0.55000000000000004</v>
      </c>
      <c r="G1009" s="13">
        <f>IFERROR(VALUE(Raw_Data!F1009),"")</f>
        <v>4.5999999999999996</v>
      </c>
      <c r="H1009" s="14">
        <f>IFERROR(VALUE(SUBSTITUTE(Raw_Data!G1009,",","")),"")</f>
        <v>245</v>
      </c>
      <c r="I1009" s="11">
        <f t="shared" si="60"/>
        <v>2200</v>
      </c>
      <c r="J1009" s="11">
        <f t="shared" si="61"/>
        <v>440755</v>
      </c>
      <c r="K1009" s="1">
        <f t="shared" si="62"/>
        <v>245.00010090000001</v>
      </c>
      <c r="L1009" s="15">
        <f t="shared" si="63"/>
        <v>0.5501009</v>
      </c>
    </row>
    <row r="1010" spans="1:12" ht="15" customHeight="1" x14ac:dyDescent="0.25">
      <c r="A1010" s="10" t="str">
        <f>Raw_Data!A1010</f>
        <v>Canon E4570 All-in-One Wi-Fi Ink Efficient Colour Printer with FAX/ADF/Duplex Printing (Black)- Smart Speaker Compatible, Standard</v>
      </c>
      <c r="B1010" s="10" t="str">
        <f>IFERROR(TRIM(LEFT(Raw_Data!A1010,FIND(" ",Raw_Data!A1010)-1)),Raw_Data!A1010)</f>
        <v>Canon</v>
      </c>
      <c r="C1010" s="10" t="str">
        <f>IFERROR(LEFT(Raw_Data!B1010,FIND("|",Raw_Data!B1010)-1),Raw_Data!B1010)</f>
        <v>Computers&amp;Accessories</v>
      </c>
      <c r="D1010" s="11">
        <f>IFERROR(VALUE(SUBSTITUTE(SUBSTITUTE(TRIM(Raw_Data!C1010),"₹",""),",","")),"")</f>
        <v>8349</v>
      </c>
      <c r="E1010" s="11">
        <f>IFERROR(VALUE(SUBSTITUTE(SUBSTITUTE(TRIM(Raw_Data!D1010),"₹",""),",","")),"")</f>
        <v>9625</v>
      </c>
      <c r="F1010" s="12">
        <f>IFERROR(VALUE(SUBSTITUTE(Raw_Data!E1010,"%",""))/100,"")</f>
        <v>0.13</v>
      </c>
      <c r="G1010" s="13">
        <f>IFERROR(VALUE(Raw_Data!F1010),"")</f>
        <v>3.8</v>
      </c>
      <c r="H1010" s="14">
        <f>IFERROR(VALUE(SUBSTITUTE(Raw_Data!G1010,",","")),"")</f>
        <v>3652</v>
      </c>
      <c r="I1010" s="11">
        <f t="shared" si="60"/>
        <v>1276</v>
      </c>
      <c r="J1010" s="11">
        <f t="shared" si="61"/>
        <v>30490548</v>
      </c>
      <c r="K1010" s="1">
        <f t="shared" si="62"/>
        <v>3652.0001010000001</v>
      </c>
      <c r="L1010" s="15">
        <f t="shared" si="63"/>
        <v>0.13010099999999999</v>
      </c>
    </row>
    <row r="1011" spans="1:12" ht="15" customHeight="1" x14ac:dyDescent="0.25">
      <c r="A1011" s="10" t="str">
        <f>Raw_Data!A1011</f>
        <v>Crucial P3 500GB PCIe 3.0 3D NAND NVMe M.2 SSD, up to 3500MB/s - CT500P3SSD8</v>
      </c>
      <c r="B1011" s="10" t="str">
        <f>IFERROR(TRIM(LEFT(Raw_Data!A1011,FIND(" ",Raw_Data!A1011)-1)),Raw_Data!A1011)</f>
        <v>Crucial</v>
      </c>
      <c r="C1011" s="10" t="str">
        <f>IFERROR(LEFT(Raw_Data!B1011,FIND("|",Raw_Data!B1011)-1),Raw_Data!B1011)</f>
        <v>Computers&amp;Accessories</v>
      </c>
      <c r="D1011" s="11">
        <f>IFERROR(VALUE(SUBSTITUTE(SUBSTITUTE(TRIM(Raw_Data!C1011),"₹",""),",","")),"")</f>
        <v>3307</v>
      </c>
      <c r="E1011" s="11">
        <f>IFERROR(VALUE(SUBSTITUTE(SUBSTITUTE(TRIM(Raw_Data!D1011),"₹",""),",","")),"")</f>
        <v>6100</v>
      </c>
      <c r="F1011" s="12">
        <f>IFERROR(VALUE(SUBSTITUTE(Raw_Data!E1011,"%",""))/100,"")</f>
        <v>0.46</v>
      </c>
      <c r="G1011" s="13">
        <f>IFERROR(VALUE(Raw_Data!F1011),"")</f>
        <v>4.3</v>
      </c>
      <c r="H1011" s="14">
        <f>IFERROR(VALUE(SUBSTITUTE(Raw_Data!G1011,",","")),"")</f>
        <v>2515</v>
      </c>
      <c r="I1011" s="11">
        <f t="shared" si="60"/>
        <v>2793</v>
      </c>
      <c r="J1011" s="11">
        <f t="shared" si="61"/>
        <v>8317105</v>
      </c>
      <c r="K1011" s="1">
        <f t="shared" si="62"/>
        <v>2515.0001010999999</v>
      </c>
      <c r="L1011" s="15">
        <f t="shared" si="63"/>
        <v>0.46010110000000004</v>
      </c>
    </row>
    <row r="1012" spans="1:12" ht="15" customHeight="1" x14ac:dyDescent="0.25">
      <c r="A1012" s="10" t="str">
        <f>Raw_Data!A1012</f>
        <v>Wayona Usb Type C Fast Charger Cable Fast Charging Usb C Cable/Cord Compatible For Samsung Galaxy S10E S10 S9 S8 Plus S10+,Note 10 Note 9 Note 8,S20,M31S,M40,Realme X3,Pixel 2 Xl (3 Ft Pack Of 1,Grey)</v>
      </c>
      <c r="B1012" s="10" t="str">
        <f>IFERROR(TRIM(LEFT(Raw_Data!A1012,FIND(" ",Raw_Data!A1012)-1)),Raw_Data!A1012)</f>
        <v>Wayona</v>
      </c>
      <c r="C1012" s="10" t="str">
        <f>IFERROR(LEFT(Raw_Data!B1012,FIND("|",Raw_Data!B1012)-1),Raw_Data!B1012)</f>
        <v>Computers&amp;Accessories</v>
      </c>
      <c r="D1012" s="11">
        <f>IFERROR(VALUE(SUBSTITUTE(SUBSTITUTE(TRIM(Raw_Data!C1012),"₹",""),",","")),"")</f>
        <v>325</v>
      </c>
      <c r="E1012" s="11">
        <f>IFERROR(VALUE(SUBSTITUTE(SUBSTITUTE(TRIM(Raw_Data!D1012),"₹",""),",","")),"")</f>
        <v>1299</v>
      </c>
      <c r="F1012" s="12">
        <f>IFERROR(VALUE(SUBSTITUTE(Raw_Data!E1012,"%",""))/100,"")</f>
        <v>0.75</v>
      </c>
      <c r="G1012" s="13">
        <f>IFERROR(VALUE(Raw_Data!F1012),"")</f>
        <v>4.2</v>
      </c>
      <c r="H1012" s="14">
        <f>IFERROR(VALUE(SUBSTITUTE(Raw_Data!G1012,",","")),"")</f>
        <v>10576</v>
      </c>
      <c r="I1012" s="11">
        <f t="shared" si="60"/>
        <v>974</v>
      </c>
      <c r="J1012" s="11">
        <f t="shared" si="61"/>
        <v>3437200</v>
      </c>
      <c r="K1012" s="1">
        <f t="shared" si="62"/>
        <v>10576.000101199999</v>
      </c>
      <c r="L1012" s="15">
        <f t="shared" si="63"/>
        <v>0.75010120000000002</v>
      </c>
    </row>
    <row r="1013" spans="1:12" ht="15" customHeight="1" x14ac:dyDescent="0.25">
      <c r="A1013" s="10" t="str">
        <f>Raw_Data!A1013</f>
        <v>HP v222w 64GB USB 2.0 Pen Drive (Silver)</v>
      </c>
      <c r="B1013" s="10" t="str">
        <f>IFERROR(TRIM(LEFT(Raw_Data!A1013,FIND(" ",Raw_Data!A1013)-1)),Raw_Data!A1013)</f>
        <v>HP</v>
      </c>
      <c r="C1013" s="10" t="str">
        <f>IFERROR(LEFT(Raw_Data!B1013,FIND("|",Raw_Data!B1013)-1),Raw_Data!B1013)</f>
        <v>Computers&amp;Accessories</v>
      </c>
      <c r="D1013" s="11">
        <f>IFERROR(VALUE(SUBSTITUTE(SUBSTITUTE(TRIM(Raw_Data!C1013),"₹",""),",","")),"")</f>
        <v>449</v>
      </c>
      <c r="E1013" s="11">
        <f>IFERROR(VALUE(SUBSTITUTE(SUBSTITUTE(TRIM(Raw_Data!D1013),"₹",""),",","")),"")</f>
        <v>1300</v>
      </c>
      <c r="F1013" s="12">
        <f>IFERROR(VALUE(SUBSTITUTE(Raw_Data!E1013,"%",""))/100,"")</f>
        <v>0.65</v>
      </c>
      <c r="G1013" s="13">
        <f>IFERROR(VALUE(Raw_Data!F1013),"")</f>
        <v>4.2</v>
      </c>
      <c r="H1013" s="14">
        <f>IFERROR(VALUE(SUBSTITUTE(Raw_Data!G1013,",","")),"")</f>
        <v>4959</v>
      </c>
      <c r="I1013" s="11">
        <f t="shared" si="60"/>
        <v>851</v>
      </c>
      <c r="J1013" s="11">
        <f t="shared" si="61"/>
        <v>2226591</v>
      </c>
      <c r="K1013" s="1">
        <f t="shared" si="62"/>
        <v>4959.0001013000001</v>
      </c>
      <c r="L1013" s="15">
        <f t="shared" si="63"/>
        <v>0.65010129999999999</v>
      </c>
    </row>
    <row r="1014" spans="1:12" ht="15" customHeight="1" x14ac:dyDescent="0.25">
      <c r="A1014" s="10" t="str">
        <f>Raw_Data!A1014</f>
        <v>Duracell Ultra Alkaline D Battery, 2 Pcs</v>
      </c>
      <c r="B1014" s="10" t="str">
        <f>IFERROR(TRIM(LEFT(Raw_Data!A1014,FIND(" ",Raw_Data!A1014)-1)),Raw_Data!A1014)</f>
        <v>Duracell</v>
      </c>
      <c r="C1014" s="10" t="str">
        <f>IFERROR(LEFT(Raw_Data!B1014,FIND("|",Raw_Data!B1014)-1),Raw_Data!B1014)</f>
        <v>Electronics</v>
      </c>
      <c r="D1014" s="11">
        <f>IFERROR(VALUE(SUBSTITUTE(SUBSTITUTE(TRIM(Raw_Data!C1014),"₹",""),",","")),"")</f>
        <v>380</v>
      </c>
      <c r="E1014" s="11">
        <f>IFERROR(VALUE(SUBSTITUTE(SUBSTITUTE(TRIM(Raw_Data!D1014),"₹",""),",","")),"")</f>
        <v>400</v>
      </c>
      <c r="F1014" s="12">
        <f>IFERROR(VALUE(SUBSTITUTE(Raw_Data!E1014,"%",""))/100,"")</f>
        <v>0.05</v>
      </c>
      <c r="G1014" s="13">
        <f>IFERROR(VALUE(Raw_Data!F1014),"")</f>
        <v>4.4000000000000004</v>
      </c>
      <c r="H1014" s="14">
        <f>IFERROR(VALUE(SUBSTITUTE(Raw_Data!G1014,",","")),"")</f>
        <v>2111</v>
      </c>
      <c r="I1014" s="11">
        <f t="shared" si="60"/>
        <v>20</v>
      </c>
      <c r="J1014" s="11">
        <f t="shared" si="61"/>
        <v>802180</v>
      </c>
      <c r="K1014" s="1">
        <f t="shared" si="62"/>
        <v>2111.0001013999999</v>
      </c>
      <c r="L1014" s="15">
        <f t="shared" si="63"/>
        <v>5.0101400000000004E-2</v>
      </c>
    </row>
    <row r="1015" spans="1:12" ht="15" customHeight="1" x14ac:dyDescent="0.25">
      <c r="A1015" s="10" t="str">
        <f>Raw_Data!A1015</f>
        <v>BESTOR® LCD Writing Tablet/pad 12 inches | Electronic Writing Scribble Board for Kids | Kids Learning Toy | Portable Ruff for LCD Paperless Memo Digital Tablet Notepad E-Writer/Writing/Drawing Pad Home/School/Office (Black)</v>
      </c>
      <c r="B1015" s="10" t="str">
        <f>IFERROR(TRIM(LEFT(Raw_Data!A1015,FIND(" ",Raw_Data!A1015)-1)),Raw_Data!A1015)</f>
        <v>BESTOR®</v>
      </c>
      <c r="C1015" s="10" t="str">
        <f>IFERROR(LEFT(Raw_Data!B1015,FIND("|",Raw_Data!B1015)-1),Raw_Data!B1015)</f>
        <v>Computers&amp;Accessories</v>
      </c>
      <c r="D1015" s="11">
        <f>IFERROR(VALUE(SUBSTITUTE(SUBSTITUTE(TRIM(Raw_Data!C1015),"₹",""),",","")),"")</f>
        <v>499</v>
      </c>
      <c r="E1015" s="11">
        <f>IFERROR(VALUE(SUBSTITUTE(SUBSTITUTE(TRIM(Raw_Data!D1015),"₹",""),",","")),"")</f>
        <v>1399</v>
      </c>
      <c r="F1015" s="12">
        <f>IFERROR(VALUE(SUBSTITUTE(Raw_Data!E1015,"%",""))/100,"")</f>
        <v>0.64</v>
      </c>
      <c r="G1015" s="13">
        <f>IFERROR(VALUE(Raw_Data!F1015),"")</f>
        <v>3.9</v>
      </c>
      <c r="H1015" s="14">
        <f>IFERROR(VALUE(SUBSTITUTE(Raw_Data!G1015,",","")),"")</f>
        <v>1462</v>
      </c>
      <c r="I1015" s="11">
        <f t="shared" si="60"/>
        <v>900</v>
      </c>
      <c r="J1015" s="11">
        <f t="shared" si="61"/>
        <v>729538</v>
      </c>
      <c r="K1015" s="1">
        <f t="shared" si="62"/>
        <v>1462.0001015</v>
      </c>
      <c r="L1015" s="15">
        <f t="shared" si="63"/>
        <v>0.64010149999999999</v>
      </c>
    </row>
    <row r="1016" spans="1:12" ht="15" customHeight="1" x14ac:dyDescent="0.25">
      <c r="A1016" s="10" t="str">
        <f>Raw_Data!A1016</f>
        <v>Lenovo IdeaPad 3 11th Gen Intel Core i3 15.6" FHD Thin &amp; Light Laptop(8GB/512GB SSD/Windows 11/Office 2021/2Yr Warranty/3months Xbox Game Pass/Platinum Grey/1.7Kg), 81X800LGIN</v>
      </c>
      <c r="B1016" s="10" t="str">
        <f>IFERROR(TRIM(LEFT(Raw_Data!A1016,FIND(" ",Raw_Data!A1016)-1)),Raw_Data!A1016)</f>
        <v>Lenovo</v>
      </c>
      <c r="C1016" s="10" t="str">
        <f>IFERROR(LEFT(Raw_Data!B1016,FIND("|",Raw_Data!B1016)-1),Raw_Data!B1016)</f>
        <v>Computers&amp;Accessories</v>
      </c>
      <c r="D1016" s="11">
        <f>IFERROR(VALUE(SUBSTITUTE(SUBSTITUTE(TRIM(Raw_Data!C1016),"₹",""),",","")),"")</f>
        <v>37247</v>
      </c>
      <c r="E1016" s="11">
        <f>IFERROR(VALUE(SUBSTITUTE(SUBSTITUTE(TRIM(Raw_Data!D1016),"₹",""),",","")),"")</f>
        <v>59890</v>
      </c>
      <c r="F1016" s="12">
        <f>IFERROR(VALUE(SUBSTITUTE(Raw_Data!E1016,"%",""))/100,"")</f>
        <v>0.38</v>
      </c>
      <c r="G1016" s="13">
        <f>IFERROR(VALUE(Raw_Data!F1016),"")</f>
        <v>4</v>
      </c>
      <c r="H1016" s="14">
        <f>IFERROR(VALUE(SUBSTITUTE(Raw_Data!G1016,",","")),"")</f>
        <v>323</v>
      </c>
      <c r="I1016" s="11">
        <f t="shared" si="60"/>
        <v>22643</v>
      </c>
      <c r="J1016" s="11">
        <f t="shared" si="61"/>
        <v>12030781</v>
      </c>
      <c r="K1016" s="1">
        <f t="shared" si="62"/>
        <v>323.00010159999999</v>
      </c>
      <c r="L1016" s="15">
        <f t="shared" si="63"/>
        <v>0.38010159999999998</v>
      </c>
    </row>
    <row r="1017" spans="1:12" ht="15" customHeight="1" x14ac:dyDescent="0.25">
      <c r="A1017" s="10" t="str">
        <f>Raw_Data!A1017</f>
        <v>boAt BassHeads 900 On-Ear Wired Headphones with Mic (White)</v>
      </c>
      <c r="B1017" s="10" t="str">
        <f>IFERROR(TRIM(LEFT(Raw_Data!A1017,FIND(" ",Raw_Data!A1017)-1)),Raw_Data!A1017)</f>
        <v>boAt</v>
      </c>
      <c r="C1017" s="10" t="str">
        <f>IFERROR(LEFT(Raw_Data!B1017,FIND("|",Raw_Data!B1017)-1),Raw_Data!B1017)</f>
        <v>Electronics</v>
      </c>
      <c r="D1017" s="11">
        <f>IFERROR(VALUE(SUBSTITUTE(SUBSTITUTE(TRIM(Raw_Data!C1017),"₹",""),",","")),"")</f>
        <v>849</v>
      </c>
      <c r="E1017" s="11">
        <f>IFERROR(VALUE(SUBSTITUTE(SUBSTITUTE(TRIM(Raw_Data!D1017),"₹",""),",","")),"")</f>
        <v>2490</v>
      </c>
      <c r="F1017" s="12">
        <f>IFERROR(VALUE(SUBSTITUTE(Raw_Data!E1017,"%",""))/100,"")</f>
        <v>0.66</v>
      </c>
      <c r="G1017" s="13">
        <f>IFERROR(VALUE(Raw_Data!F1017),"")</f>
        <v>4.2</v>
      </c>
      <c r="H1017" s="14">
        <f>IFERROR(VALUE(SUBSTITUTE(Raw_Data!G1017,",","")),"")</f>
        <v>91188</v>
      </c>
      <c r="I1017" s="11">
        <f t="shared" si="60"/>
        <v>1641</v>
      </c>
      <c r="J1017" s="11">
        <f t="shared" si="61"/>
        <v>77418612</v>
      </c>
      <c r="K1017" s="1">
        <f t="shared" si="62"/>
        <v>91188.000101700003</v>
      </c>
      <c r="L1017" s="15">
        <f t="shared" si="63"/>
        <v>0.66010170000000001</v>
      </c>
    </row>
    <row r="1018" spans="1:12" ht="15" customHeight="1" x14ac:dyDescent="0.25">
      <c r="A1018" s="10" t="str">
        <f>Raw_Data!A1018</f>
        <v>Zebronics Astra 10 Portable Wireless BT v5.0 Speaker, 10W RMS Power, 15* Hours Backup, 2.25" Drive Size, up to 6.4" Mobile Holder Support, Carry Handle, USB, mSD, AUX Input and FM Radio with Antenna</v>
      </c>
      <c r="B1018" s="10" t="str">
        <f>IFERROR(TRIM(LEFT(Raw_Data!A1018,FIND(" ",Raw_Data!A1018)-1)),Raw_Data!A1018)</f>
        <v>Zebronics</v>
      </c>
      <c r="C1018" s="10" t="str">
        <f>IFERROR(LEFT(Raw_Data!B1018,FIND("|",Raw_Data!B1018)-1),Raw_Data!B1018)</f>
        <v>Electronics</v>
      </c>
      <c r="D1018" s="11">
        <f>IFERROR(VALUE(SUBSTITUTE(SUBSTITUTE(TRIM(Raw_Data!C1018),"₹",""),",","")),"")</f>
        <v>799</v>
      </c>
      <c r="E1018" s="11">
        <f>IFERROR(VALUE(SUBSTITUTE(SUBSTITUTE(TRIM(Raw_Data!D1018),"₹",""),",","")),"")</f>
        <v>1999</v>
      </c>
      <c r="F1018" s="12">
        <f>IFERROR(VALUE(SUBSTITUTE(Raw_Data!E1018,"%",""))/100,"")</f>
        <v>0.6</v>
      </c>
      <c r="G1018" s="13">
        <f>IFERROR(VALUE(Raw_Data!F1018),"")</f>
        <v>3.7</v>
      </c>
      <c r="H1018" s="14">
        <f>IFERROR(VALUE(SUBSTITUTE(Raw_Data!G1018,",","")),"")</f>
        <v>418</v>
      </c>
      <c r="I1018" s="11">
        <f t="shared" si="60"/>
        <v>1200</v>
      </c>
      <c r="J1018" s="11">
        <f t="shared" si="61"/>
        <v>333982</v>
      </c>
      <c r="K1018" s="1">
        <f t="shared" si="62"/>
        <v>418.00010179999998</v>
      </c>
      <c r="L1018" s="15">
        <f t="shared" si="63"/>
        <v>0.60010180000000002</v>
      </c>
    </row>
    <row r="1019" spans="1:12" ht="15" customHeight="1" x14ac:dyDescent="0.25">
      <c r="A1019" s="10" t="str">
        <f>Raw_Data!A1019</f>
        <v>KINGONE Wireless Charging Pencil (2nd Generation) for iPad with Magnetic and Tilt Sensitive, Palm Rejection, Compatible with Apple iPad Pro 11 inch 1/2/3/4, iPad Pro 12.9 Inch 3/4/5/6, iPad Air 4/5, mini6</v>
      </c>
      <c r="B1019" s="10" t="str">
        <f>IFERROR(TRIM(LEFT(Raw_Data!A1019,FIND(" ",Raw_Data!A1019)-1)),Raw_Data!A1019)</f>
        <v>KINGONE</v>
      </c>
      <c r="C1019" s="10" t="str">
        <f>IFERROR(LEFT(Raw_Data!B1019,FIND("|",Raw_Data!B1019)-1),Raw_Data!B1019)</f>
        <v>Electronics</v>
      </c>
      <c r="D1019" s="11">
        <f>IFERROR(VALUE(SUBSTITUTE(SUBSTITUTE(TRIM(Raw_Data!C1019),"₹",""),",","")),"")</f>
        <v>2599</v>
      </c>
      <c r="E1019" s="11">
        <f>IFERROR(VALUE(SUBSTITUTE(SUBSTITUTE(TRIM(Raw_Data!D1019),"₹",""),",","")),"")</f>
        <v>6999</v>
      </c>
      <c r="F1019" s="12">
        <f>IFERROR(VALUE(SUBSTITUTE(Raw_Data!E1019,"%",""))/100,"")</f>
        <v>0.63</v>
      </c>
      <c r="G1019" s="13">
        <f>IFERROR(VALUE(Raw_Data!F1019),"")</f>
        <v>4.5</v>
      </c>
      <c r="H1019" s="14">
        <f>IFERROR(VALUE(SUBSTITUTE(Raw_Data!G1019,",","")),"")</f>
        <v>1526</v>
      </c>
      <c r="I1019" s="11">
        <f t="shared" si="60"/>
        <v>4400</v>
      </c>
      <c r="J1019" s="11">
        <f t="shared" si="61"/>
        <v>3966074</v>
      </c>
      <c r="K1019" s="1">
        <f t="shared" si="62"/>
        <v>1526.0001018999999</v>
      </c>
      <c r="L1019" s="15">
        <f t="shared" si="63"/>
        <v>0.63010189999999999</v>
      </c>
    </row>
    <row r="1020" spans="1:12" ht="15" customHeight="1" x14ac:dyDescent="0.25">
      <c r="A1020" s="10" t="str">
        <f>Raw_Data!A1020</f>
        <v>Lapster 65W compatible for OnePlus Dash Warp Charge Cable , type c to c cable fast charging Data Sync Cable Compatible with One Plus 10R / 9RT/ 9 pro/ 9R/ 8T/ 9/ Nord &amp; for All Type C Devices – Red, 1 Meter</v>
      </c>
      <c r="B1020" s="10" t="str">
        <f>IFERROR(TRIM(LEFT(Raw_Data!A1020,FIND(" ",Raw_Data!A1020)-1)),Raw_Data!A1020)</f>
        <v>Lapster</v>
      </c>
      <c r="C1020" s="10" t="str">
        <f>IFERROR(LEFT(Raw_Data!B1020,FIND("|",Raw_Data!B1020)-1),Raw_Data!B1020)</f>
        <v>Computers&amp;Accessories</v>
      </c>
      <c r="D1020" s="11">
        <f>IFERROR(VALUE(SUBSTITUTE(SUBSTITUTE(TRIM(Raw_Data!C1020),"₹",""),",","")),"")</f>
        <v>199</v>
      </c>
      <c r="E1020" s="11">
        <f>IFERROR(VALUE(SUBSTITUTE(SUBSTITUTE(TRIM(Raw_Data!D1020),"₹",""),",","")),"")</f>
        <v>999</v>
      </c>
      <c r="F1020" s="12">
        <f>IFERROR(VALUE(SUBSTITUTE(Raw_Data!E1020,"%",""))/100,"")</f>
        <v>0.8</v>
      </c>
      <c r="G1020" s="13">
        <f>IFERROR(VALUE(Raw_Data!F1020),"")</f>
        <v>4.5</v>
      </c>
      <c r="H1020" s="14">
        <f>IFERROR(VALUE(SUBSTITUTE(Raw_Data!G1020,",","")),"")</f>
        <v>127</v>
      </c>
      <c r="I1020" s="11">
        <f t="shared" si="60"/>
        <v>800</v>
      </c>
      <c r="J1020" s="11">
        <f t="shared" si="61"/>
        <v>25273</v>
      </c>
      <c r="K1020" s="1">
        <f t="shared" si="62"/>
        <v>127.000102</v>
      </c>
      <c r="L1020" s="15">
        <f t="shared" si="63"/>
        <v>0.80010200000000009</v>
      </c>
    </row>
    <row r="1021" spans="1:12" ht="15" customHeight="1" x14ac:dyDescent="0.25">
      <c r="A1021" s="10" t="str">
        <f>Raw_Data!A1021</f>
        <v>Gizga Essentials USB WiFi Adapter for PC, 150 Mbps Wireless Network Adapter for Desktop - Nano Size WiFi Dongle Compatible with Windows, Mac OS &amp; Linux Kernel | WPA/WPA2 Encryption Standards| Black</v>
      </c>
      <c r="B1021" s="10" t="str">
        <f>IFERROR(TRIM(LEFT(Raw_Data!A1021,FIND(" ",Raw_Data!A1021)-1)),Raw_Data!A1021)</f>
        <v>Gizga</v>
      </c>
      <c r="C1021" s="10" t="str">
        <f>IFERROR(LEFT(Raw_Data!B1021,FIND("|",Raw_Data!B1021)-1),Raw_Data!B1021)</f>
        <v>Computers&amp;Accessories</v>
      </c>
      <c r="D1021" s="11">
        <f>IFERROR(VALUE(SUBSTITUTE(SUBSTITUTE(TRIM(Raw_Data!C1021),"₹",""),",","")),"")</f>
        <v>269</v>
      </c>
      <c r="E1021" s="11">
        <f>IFERROR(VALUE(SUBSTITUTE(SUBSTITUTE(TRIM(Raw_Data!D1021),"₹",""),",","")),"")</f>
        <v>800</v>
      </c>
      <c r="F1021" s="12">
        <f>IFERROR(VALUE(SUBSTITUTE(Raw_Data!E1021,"%",""))/100,"")</f>
        <v>0.66</v>
      </c>
      <c r="G1021" s="13">
        <f>IFERROR(VALUE(Raw_Data!F1021),"")</f>
        <v>3.6</v>
      </c>
      <c r="H1021" s="14">
        <f>IFERROR(VALUE(SUBSTITUTE(Raw_Data!G1021,",","")),"")</f>
        <v>10134</v>
      </c>
      <c r="I1021" s="11">
        <f t="shared" si="60"/>
        <v>531</v>
      </c>
      <c r="J1021" s="11">
        <f t="shared" si="61"/>
        <v>2726046</v>
      </c>
      <c r="K1021" s="1">
        <f t="shared" si="62"/>
        <v>10134.000102100001</v>
      </c>
      <c r="L1021" s="15">
        <f t="shared" si="63"/>
        <v>0.66010210000000002</v>
      </c>
    </row>
    <row r="1022" spans="1:12" ht="15" customHeight="1" x14ac:dyDescent="0.25">
      <c r="A1022" s="10" t="str">
        <f>Raw_Data!A1022</f>
        <v>SWAPKART Portable Flexible Adjustable Eye Protection USB LED Desk Light Table Lamp for Reading, Working on PC, Laptop, Power Bank, Bedroom ( Multicolour )</v>
      </c>
      <c r="B1022" s="10" t="str">
        <f>IFERROR(TRIM(LEFT(Raw_Data!A1022,FIND(" ",Raw_Data!A1022)-1)),Raw_Data!A1022)</f>
        <v>SWAPKART</v>
      </c>
      <c r="C1022" s="10" t="str">
        <f>IFERROR(LEFT(Raw_Data!B1022,FIND("|",Raw_Data!B1022)-1),Raw_Data!B1022)</f>
        <v>Computers&amp;Accessories</v>
      </c>
      <c r="D1022" s="11">
        <f>IFERROR(VALUE(SUBSTITUTE(SUBSTITUTE(TRIM(Raw_Data!C1022),"₹",""),",","")),"")</f>
        <v>298</v>
      </c>
      <c r="E1022" s="11">
        <f>IFERROR(VALUE(SUBSTITUTE(SUBSTITUTE(TRIM(Raw_Data!D1022),"₹",""),",","")),"")</f>
        <v>999</v>
      </c>
      <c r="F1022" s="12">
        <f>IFERROR(VALUE(SUBSTITUTE(Raw_Data!E1022,"%",""))/100,"")</f>
        <v>0.7</v>
      </c>
      <c r="G1022" s="13">
        <f>IFERROR(VALUE(Raw_Data!F1022),"")</f>
        <v>4.3</v>
      </c>
      <c r="H1022" s="14">
        <f>IFERROR(VALUE(SUBSTITUTE(Raw_Data!G1022,",","")),"")</f>
        <v>1552</v>
      </c>
      <c r="I1022" s="11">
        <f t="shared" si="60"/>
        <v>701</v>
      </c>
      <c r="J1022" s="11">
        <f t="shared" si="61"/>
        <v>462496</v>
      </c>
      <c r="K1022" s="1">
        <f t="shared" si="62"/>
        <v>1552.0001021999999</v>
      </c>
      <c r="L1022" s="15">
        <f t="shared" si="63"/>
        <v>0.70010220000000001</v>
      </c>
    </row>
    <row r="1023" spans="1:12" ht="15" customHeight="1" x14ac:dyDescent="0.25">
      <c r="A1023" s="10" t="str">
        <f>Raw_Data!A1023</f>
        <v>Infinity (JBL Fuze 100, Wireless Portable Bluetooth Speaker with Mic, Deep Bass, Dual Equalizer, IPX7 Waterproof, Rugged Fabric Design (Black)</v>
      </c>
      <c r="B1023" s="10" t="str">
        <f>IFERROR(TRIM(LEFT(Raw_Data!A1023,FIND(" ",Raw_Data!A1023)-1)),Raw_Data!A1023)</f>
        <v>Infinity</v>
      </c>
      <c r="C1023" s="10" t="str">
        <f>IFERROR(LEFT(Raw_Data!B1023,FIND("|",Raw_Data!B1023)-1),Raw_Data!B1023)</f>
        <v>Electronics</v>
      </c>
      <c r="D1023" s="11">
        <f>IFERROR(VALUE(SUBSTITUTE(SUBSTITUTE(TRIM(Raw_Data!C1023),"₹",""),",","")),"")</f>
        <v>1499</v>
      </c>
      <c r="E1023" s="11">
        <f>IFERROR(VALUE(SUBSTITUTE(SUBSTITUTE(TRIM(Raw_Data!D1023),"₹",""),",","")),"")</f>
        <v>2999</v>
      </c>
      <c r="F1023" s="12">
        <f>IFERROR(VALUE(SUBSTITUTE(Raw_Data!E1023,"%",""))/100,"")</f>
        <v>0.5</v>
      </c>
      <c r="G1023" s="13">
        <f>IFERROR(VALUE(Raw_Data!F1023),"")</f>
        <v>4.0999999999999996</v>
      </c>
      <c r="H1023" s="14">
        <f>IFERROR(VALUE(SUBSTITUTE(Raw_Data!G1023,",","")),"")</f>
        <v>25262</v>
      </c>
      <c r="I1023" s="11">
        <f t="shared" si="60"/>
        <v>1500</v>
      </c>
      <c r="J1023" s="11">
        <f t="shared" si="61"/>
        <v>37867738</v>
      </c>
      <c r="K1023" s="1">
        <f t="shared" si="62"/>
        <v>25262.0001023</v>
      </c>
      <c r="L1023" s="15">
        <f t="shared" si="63"/>
        <v>0.5001023</v>
      </c>
    </row>
    <row r="1024" spans="1:12" ht="15" customHeight="1" x14ac:dyDescent="0.25">
      <c r="A1024" s="10" t="str">
        <f>Raw_Data!A1024</f>
        <v>Pigeon by Stovekraft Amaze Plus Electric Kettle (14289) with Stainless Steel Body, 1.5 litre, used for boiling Water, making tea and coffee, instant noodles, soup etc. 1500 Watt (Silver)</v>
      </c>
      <c r="B1024" s="10" t="str">
        <f>IFERROR(TRIM(LEFT(Raw_Data!A1024,FIND(" ",Raw_Data!A1024)-1)),Raw_Data!A1024)</f>
        <v>Pigeon</v>
      </c>
      <c r="C1024" s="10" t="str">
        <f>IFERROR(LEFT(Raw_Data!B1024,FIND("|",Raw_Data!B1024)-1),Raw_Data!B1024)</f>
        <v>Home&amp;Kitchen</v>
      </c>
      <c r="D1024" s="11">
        <f>IFERROR(VALUE(SUBSTITUTE(SUBSTITUTE(TRIM(Raw_Data!C1024),"₹",""),",","")),"")</f>
        <v>649</v>
      </c>
      <c r="E1024" s="11">
        <f>IFERROR(VALUE(SUBSTITUTE(SUBSTITUTE(TRIM(Raw_Data!D1024),"₹",""),",","")),"")</f>
        <v>1245</v>
      </c>
      <c r="F1024" s="12">
        <f>IFERROR(VALUE(SUBSTITUTE(Raw_Data!E1024,"%",""))/100,"")</f>
        <v>0.48</v>
      </c>
      <c r="G1024" s="13">
        <f>IFERROR(VALUE(Raw_Data!F1024),"")</f>
        <v>3.9</v>
      </c>
      <c r="H1024" s="14">
        <f>IFERROR(VALUE(SUBSTITUTE(Raw_Data!G1024,",","")),"")</f>
        <v>123365</v>
      </c>
      <c r="I1024" s="11">
        <f t="shared" si="60"/>
        <v>596</v>
      </c>
      <c r="J1024" s="11">
        <f t="shared" si="61"/>
        <v>80063885</v>
      </c>
      <c r="K1024" s="1">
        <f t="shared" si="62"/>
        <v>123365.00010239999</v>
      </c>
      <c r="L1024" s="15">
        <f t="shared" si="63"/>
        <v>0.48010239999999998</v>
      </c>
    </row>
    <row r="1025" spans="1:12" ht="15" customHeight="1" x14ac:dyDescent="0.25">
      <c r="A1025" s="10" t="str">
        <f>Raw_Data!A1025</f>
        <v>USHA Quartz Room Heater with Overheating Protection (3002, Ivory, 800 Watts)</v>
      </c>
      <c r="B1025" s="10" t="str">
        <f>IFERROR(TRIM(LEFT(Raw_Data!A1025,FIND(" ",Raw_Data!A1025)-1)),Raw_Data!A1025)</f>
        <v>USHA</v>
      </c>
      <c r="C1025" s="10" t="str">
        <f>IFERROR(LEFT(Raw_Data!B1025,FIND("|",Raw_Data!B1025)-1),Raw_Data!B1025)</f>
        <v>Home&amp;Kitchen</v>
      </c>
      <c r="D1025" s="11">
        <f>IFERROR(VALUE(SUBSTITUTE(SUBSTITUTE(TRIM(Raw_Data!C1025),"₹",""),",","")),"")</f>
        <v>1199</v>
      </c>
      <c r="E1025" s="11">
        <f>IFERROR(VALUE(SUBSTITUTE(SUBSTITUTE(TRIM(Raw_Data!D1025),"₹",""),",","")),"")</f>
        <v>1695</v>
      </c>
      <c r="F1025" s="12">
        <f>IFERROR(VALUE(SUBSTITUTE(Raw_Data!E1025,"%",""))/100,"")</f>
        <v>0.28999999999999998</v>
      </c>
      <c r="G1025" s="13">
        <f>IFERROR(VALUE(Raw_Data!F1025),"")</f>
        <v>3.6</v>
      </c>
      <c r="H1025" s="14">
        <f>IFERROR(VALUE(SUBSTITUTE(Raw_Data!G1025,",","")),"")</f>
        <v>13300</v>
      </c>
      <c r="I1025" s="11">
        <f t="shared" si="60"/>
        <v>496</v>
      </c>
      <c r="J1025" s="11">
        <f t="shared" si="61"/>
        <v>15946700</v>
      </c>
      <c r="K1025" s="1">
        <f t="shared" si="62"/>
        <v>13300.0001025</v>
      </c>
      <c r="L1025" s="15">
        <f t="shared" si="63"/>
        <v>0.29010249999999999</v>
      </c>
    </row>
    <row r="1026" spans="1:12" ht="15" customHeight="1" x14ac:dyDescent="0.25">
      <c r="A1026" s="10" t="str">
        <f>Raw_Data!A1026</f>
        <v>Amazon Brand - Solimo 2000/1000 Watts Room Heater with Adjustable Thermostat (ISI certified, White colour, Ideal for small to medium room/area)</v>
      </c>
      <c r="B1026" s="10" t="str">
        <f>IFERROR(TRIM(LEFT(Raw_Data!A1026,FIND(" ",Raw_Data!A1026)-1)),Raw_Data!A1026)</f>
        <v>Amazon</v>
      </c>
      <c r="C1026" s="10" t="str">
        <f>IFERROR(LEFT(Raw_Data!B1026,FIND("|",Raw_Data!B1026)-1),Raw_Data!B1026)</f>
        <v>Home&amp;Kitchen</v>
      </c>
      <c r="D1026" s="11">
        <f>IFERROR(VALUE(SUBSTITUTE(SUBSTITUTE(TRIM(Raw_Data!C1026),"₹",""),",","")),"")</f>
        <v>1199</v>
      </c>
      <c r="E1026" s="11">
        <f>IFERROR(VALUE(SUBSTITUTE(SUBSTITUTE(TRIM(Raw_Data!D1026),"₹",""),",","")),"")</f>
        <v>2000</v>
      </c>
      <c r="F1026" s="12">
        <f>IFERROR(VALUE(SUBSTITUTE(Raw_Data!E1026,"%",""))/100,"")</f>
        <v>0.4</v>
      </c>
      <c r="G1026" s="13">
        <f>IFERROR(VALUE(Raw_Data!F1026),"")</f>
        <v>4</v>
      </c>
      <c r="H1026" s="14">
        <f>IFERROR(VALUE(SUBSTITUTE(Raw_Data!G1026,",","")),"")</f>
        <v>18543</v>
      </c>
      <c r="I1026" s="11">
        <f t="shared" ref="I1026:I1089" si="64">IFERROR(E1026-D1026,"")</f>
        <v>801</v>
      </c>
      <c r="J1026" s="11">
        <f t="shared" ref="J1026:J1089" si="65">IFERROR(D1026*H1026,"")</f>
        <v>22233057</v>
      </c>
      <c r="K1026" s="1">
        <f t="shared" ref="K1026:K1089" si="66">IF(ISNUMBER(H1026),H1026+ROW()/10000000,"")</f>
        <v>18543.000102599999</v>
      </c>
      <c r="L1026" s="15">
        <f t="shared" ref="L1026:L1089" si="67">IF(ISNUMBER(F1026),F1026+ROW()/10000000,"")</f>
        <v>0.40010260000000003</v>
      </c>
    </row>
    <row r="1027" spans="1:12" ht="15" customHeight="1" x14ac:dyDescent="0.25">
      <c r="A1027" s="10" t="str">
        <f>Raw_Data!A1027</f>
        <v>StyleHouse Lint Remover for Woolen Clothes, Electric Lint Remover, Best Lint Shaver for Clothes</v>
      </c>
      <c r="B1027" s="10" t="str">
        <f>IFERROR(TRIM(LEFT(Raw_Data!A1027,FIND(" ",Raw_Data!A1027)-1)),Raw_Data!A1027)</f>
        <v>StyleHouse</v>
      </c>
      <c r="C1027" s="10" t="str">
        <f>IFERROR(LEFT(Raw_Data!B1027,FIND("|",Raw_Data!B1027)-1),Raw_Data!B1027)</f>
        <v>Home&amp;Kitchen</v>
      </c>
      <c r="D1027" s="11">
        <f>IFERROR(VALUE(SUBSTITUTE(SUBSTITUTE(TRIM(Raw_Data!C1027),"₹",""),",","")),"")</f>
        <v>455</v>
      </c>
      <c r="E1027" s="11">
        <f>IFERROR(VALUE(SUBSTITUTE(SUBSTITUTE(TRIM(Raw_Data!D1027),"₹",""),",","")),"")</f>
        <v>999</v>
      </c>
      <c r="F1027" s="12">
        <f>IFERROR(VALUE(SUBSTITUTE(Raw_Data!E1027,"%",""))/100,"")</f>
        <v>0.54</v>
      </c>
      <c r="G1027" s="13">
        <f>IFERROR(VALUE(Raw_Data!F1027),"")</f>
        <v>4.0999999999999996</v>
      </c>
      <c r="H1027" s="14">
        <f>IFERROR(VALUE(SUBSTITUTE(Raw_Data!G1027,",","")),"")</f>
        <v>3578</v>
      </c>
      <c r="I1027" s="11">
        <f t="shared" si="64"/>
        <v>544</v>
      </c>
      <c r="J1027" s="11">
        <f t="shared" si="65"/>
        <v>1627990</v>
      </c>
      <c r="K1027" s="1">
        <f t="shared" si="66"/>
        <v>3578.0001026999998</v>
      </c>
      <c r="L1027" s="15">
        <f t="shared" si="67"/>
        <v>0.54010270000000005</v>
      </c>
    </row>
    <row r="1028" spans="1:12" ht="15" customHeight="1" x14ac:dyDescent="0.25">
      <c r="A1028" s="10" t="str">
        <f>Raw_Data!A1028</f>
        <v>beatXP Kitchen Scale Multipurpose Portable Electronic Digital Weighing Scale | Weight Machine With Back light LCD Display | White |10 kg | 2 Year Warranty |</v>
      </c>
      <c r="B1028" s="10" t="str">
        <f>IFERROR(TRIM(LEFT(Raw_Data!A1028,FIND(" ",Raw_Data!A1028)-1)),Raw_Data!A1028)</f>
        <v>beatXP</v>
      </c>
      <c r="C1028" s="10" t="str">
        <f>IFERROR(LEFT(Raw_Data!B1028,FIND("|",Raw_Data!B1028)-1),Raw_Data!B1028)</f>
        <v>Home&amp;Kitchen</v>
      </c>
      <c r="D1028" s="11">
        <f>IFERROR(VALUE(SUBSTITUTE(SUBSTITUTE(TRIM(Raw_Data!C1028),"₹",""),",","")),"")</f>
        <v>199</v>
      </c>
      <c r="E1028" s="11">
        <f>IFERROR(VALUE(SUBSTITUTE(SUBSTITUTE(TRIM(Raw_Data!D1028),"₹",""),",","")),"")</f>
        <v>1999</v>
      </c>
      <c r="F1028" s="12">
        <f>IFERROR(VALUE(SUBSTITUTE(Raw_Data!E1028,"%",""))/100,"")</f>
        <v>0.9</v>
      </c>
      <c r="G1028" s="13">
        <f>IFERROR(VALUE(Raw_Data!F1028),"")</f>
        <v>3.7</v>
      </c>
      <c r="H1028" s="14">
        <f>IFERROR(VALUE(SUBSTITUTE(Raw_Data!G1028,",","")),"")</f>
        <v>2031</v>
      </c>
      <c r="I1028" s="11">
        <f t="shared" si="64"/>
        <v>1800</v>
      </c>
      <c r="J1028" s="11">
        <f t="shared" si="65"/>
        <v>404169</v>
      </c>
      <c r="K1028" s="1">
        <f t="shared" si="66"/>
        <v>2031.0001027999999</v>
      </c>
      <c r="L1028" s="15">
        <f t="shared" si="67"/>
        <v>0.90010279999999998</v>
      </c>
    </row>
    <row r="1029" spans="1:12" ht="15" customHeight="1" x14ac:dyDescent="0.25">
      <c r="A1029" s="10" t="str">
        <f>Raw_Data!A1029</f>
        <v>Glun Multipurpose Portable Electronic Digital Weighing Scale Weight Machine (10 Kg - with Back Light)</v>
      </c>
      <c r="B1029" s="10" t="str">
        <f>IFERROR(TRIM(LEFT(Raw_Data!A1029,FIND(" ",Raw_Data!A1029)-1)),Raw_Data!A1029)</f>
        <v>Glun</v>
      </c>
      <c r="C1029" s="10" t="str">
        <f>IFERROR(LEFT(Raw_Data!B1029,FIND("|",Raw_Data!B1029)-1),Raw_Data!B1029)</f>
        <v>Home&amp;Kitchen</v>
      </c>
      <c r="D1029" s="11">
        <f>IFERROR(VALUE(SUBSTITUTE(SUBSTITUTE(TRIM(Raw_Data!C1029),"₹",""),",","")),"")</f>
        <v>293</v>
      </c>
      <c r="E1029" s="11">
        <f>IFERROR(VALUE(SUBSTITUTE(SUBSTITUTE(TRIM(Raw_Data!D1029),"₹",""),",","")),"")</f>
        <v>499</v>
      </c>
      <c r="F1029" s="12">
        <f>IFERROR(VALUE(SUBSTITUTE(Raw_Data!E1029,"%",""))/100,"")</f>
        <v>0.41</v>
      </c>
      <c r="G1029" s="13">
        <f>IFERROR(VALUE(Raw_Data!F1029),"")</f>
        <v>3.9</v>
      </c>
      <c r="H1029" s="14">
        <f>IFERROR(VALUE(SUBSTITUTE(Raw_Data!G1029,",","")),"")</f>
        <v>44994</v>
      </c>
      <c r="I1029" s="11">
        <f t="shared" si="64"/>
        <v>206</v>
      </c>
      <c r="J1029" s="11">
        <f t="shared" si="65"/>
        <v>13183242</v>
      </c>
      <c r="K1029" s="1">
        <f t="shared" si="66"/>
        <v>44994.000102899998</v>
      </c>
      <c r="L1029" s="15">
        <f t="shared" si="67"/>
        <v>0.41010289999999999</v>
      </c>
    </row>
    <row r="1030" spans="1:12" ht="15" customHeight="1" x14ac:dyDescent="0.25">
      <c r="A1030" s="10" t="str">
        <f>Raw_Data!A1030</f>
        <v>Pigeon Polypropylene Mini Handy and Compact Chopper with 3 Blades for Effortlessly Chopping Vegetables and Fruits for Your Kitchen (12420, Green, 400 ml)</v>
      </c>
      <c r="B1030" s="10" t="str">
        <f>IFERROR(TRIM(LEFT(Raw_Data!A1030,FIND(" ",Raw_Data!A1030)-1)),Raw_Data!A1030)</f>
        <v>Pigeon</v>
      </c>
      <c r="C1030" s="10" t="str">
        <f>IFERROR(LEFT(Raw_Data!B1030,FIND("|",Raw_Data!B1030)-1),Raw_Data!B1030)</f>
        <v>Home&amp;Kitchen</v>
      </c>
      <c r="D1030" s="11">
        <f>IFERROR(VALUE(SUBSTITUTE(SUBSTITUTE(TRIM(Raw_Data!C1030),"₹",""),",","")),"")</f>
        <v>199</v>
      </c>
      <c r="E1030" s="11">
        <f>IFERROR(VALUE(SUBSTITUTE(SUBSTITUTE(TRIM(Raw_Data!D1030),"₹",""),",","")),"")</f>
        <v>495</v>
      </c>
      <c r="F1030" s="12">
        <f>IFERROR(VALUE(SUBSTITUTE(Raw_Data!E1030,"%",""))/100,"")</f>
        <v>0.6</v>
      </c>
      <c r="G1030" s="13">
        <f>IFERROR(VALUE(Raw_Data!F1030),"")</f>
        <v>4.0999999999999996</v>
      </c>
      <c r="H1030" s="14">
        <f>IFERROR(VALUE(SUBSTITUTE(Raw_Data!G1030,",","")),"")</f>
        <v>270563</v>
      </c>
      <c r="I1030" s="11">
        <f t="shared" si="64"/>
        <v>296</v>
      </c>
      <c r="J1030" s="11">
        <f t="shared" si="65"/>
        <v>53842037</v>
      </c>
      <c r="K1030" s="1">
        <f t="shared" si="66"/>
        <v>270563.00010300003</v>
      </c>
      <c r="L1030" s="15">
        <f t="shared" si="67"/>
        <v>0.60010299999999994</v>
      </c>
    </row>
    <row r="1031" spans="1:12" ht="15" customHeight="1" x14ac:dyDescent="0.25">
      <c r="A1031" s="10" t="str">
        <f>Raw_Data!A1031</f>
        <v>Prestige 1.5 Litre Kettle 1500-watts, Red</v>
      </c>
      <c r="B1031" s="10" t="str">
        <f>IFERROR(TRIM(LEFT(Raw_Data!A1031,FIND(" ",Raw_Data!A1031)-1)),Raw_Data!A1031)</f>
        <v>Prestige</v>
      </c>
      <c r="C1031" s="10" t="str">
        <f>IFERROR(LEFT(Raw_Data!B1031,FIND("|",Raw_Data!B1031)-1),Raw_Data!B1031)</f>
        <v>Home&amp;Kitchen</v>
      </c>
      <c r="D1031" s="11">
        <f>IFERROR(VALUE(SUBSTITUTE(SUBSTITUTE(TRIM(Raw_Data!C1031),"₹",""),",","")),"")</f>
        <v>749</v>
      </c>
      <c r="E1031" s="11">
        <f>IFERROR(VALUE(SUBSTITUTE(SUBSTITUTE(TRIM(Raw_Data!D1031),"₹",""),",","")),"")</f>
        <v>1245</v>
      </c>
      <c r="F1031" s="12">
        <f>IFERROR(VALUE(SUBSTITUTE(Raw_Data!E1031,"%",""))/100,"")</f>
        <v>0.4</v>
      </c>
      <c r="G1031" s="13">
        <f>IFERROR(VALUE(Raw_Data!F1031),"")</f>
        <v>3.9</v>
      </c>
      <c r="H1031" s="14">
        <f>IFERROR(VALUE(SUBSTITUTE(Raw_Data!G1031,",","")),"")</f>
        <v>31783</v>
      </c>
      <c r="I1031" s="11">
        <f t="shared" si="64"/>
        <v>496</v>
      </c>
      <c r="J1031" s="11">
        <f t="shared" si="65"/>
        <v>23805467</v>
      </c>
      <c r="K1031" s="1">
        <f t="shared" si="66"/>
        <v>31783.000103099999</v>
      </c>
      <c r="L1031" s="15">
        <f t="shared" si="67"/>
        <v>0.40010310000000004</v>
      </c>
    </row>
    <row r="1032" spans="1:12" ht="15" customHeight="1" x14ac:dyDescent="0.25">
      <c r="A1032" s="10" t="str">
        <f>Raw_Data!A1032</f>
        <v>Bajaj RHX-2 800-Watt Room Heater (White)</v>
      </c>
      <c r="B1032" s="10" t="str">
        <f>IFERROR(TRIM(LEFT(Raw_Data!A1032,FIND(" ",Raw_Data!A1032)-1)),Raw_Data!A1032)</f>
        <v>Bajaj</v>
      </c>
      <c r="C1032" s="10" t="str">
        <f>IFERROR(LEFT(Raw_Data!B1032,FIND("|",Raw_Data!B1032)-1),Raw_Data!B1032)</f>
        <v>Home&amp;Kitchen</v>
      </c>
      <c r="D1032" s="11">
        <f>IFERROR(VALUE(SUBSTITUTE(SUBSTITUTE(TRIM(Raw_Data!C1032),"₹",""),",","")),"")</f>
        <v>1399</v>
      </c>
      <c r="E1032" s="11">
        <f>IFERROR(VALUE(SUBSTITUTE(SUBSTITUTE(TRIM(Raw_Data!D1032),"₹",""),",","")),"")</f>
        <v>1549</v>
      </c>
      <c r="F1032" s="12">
        <f>IFERROR(VALUE(SUBSTITUTE(Raw_Data!E1032,"%",""))/100,"")</f>
        <v>0.1</v>
      </c>
      <c r="G1032" s="13">
        <f>IFERROR(VALUE(Raw_Data!F1032),"")</f>
        <v>3.9</v>
      </c>
      <c r="H1032" s="14">
        <f>IFERROR(VALUE(SUBSTITUTE(Raw_Data!G1032,",","")),"")</f>
        <v>2602</v>
      </c>
      <c r="I1032" s="11">
        <f t="shared" si="64"/>
        <v>150</v>
      </c>
      <c r="J1032" s="11">
        <f t="shared" si="65"/>
        <v>3640198</v>
      </c>
      <c r="K1032" s="1">
        <f t="shared" si="66"/>
        <v>2602.0001032</v>
      </c>
      <c r="L1032" s="15">
        <f t="shared" si="67"/>
        <v>0.1001032</v>
      </c>
    </row>
    <row r="1033" spans="1:12" ht="15" customHeight="1" x14ac:dyDescent="0.25">
      <c r="A1033" s="10" t="str">
        <f>Raw_Data!A1033</f>
        <v>Prestige Electric Kettle PKOSS - 1500watts, Steel (1.5Ltr), Black</v>
      </c>
      <c r="B1033" s="10" t="str">
        <f>IFERROR(TRIM(LEFT(Raw_Data!A1033,FIND(" ",Raw_Data!A1033)-1)),Raw_Data!A1033)</f>
        <v>Prestige</v>
      </c>
      <c r="C1033" s="10" t="str">
        <f>IFERROR(LEFT(Raw_Data!B1033,FIND("|",Raw_Data!B1033)-1),Raw_Data!B1033)</f>
        <v>Home&amp;Kitchen</v>
      </c>
      <c r="D1033" s="11">
        <f>IFERROR(VALUE(SUBSTITUTE(SUBSTITUTE(TRIM(Raw_Data!C1033),"₹",""),",","")),"")</f>
        <v>749</v>
      </c>
      <c r="E1033" s="11">
        <f>IFERROR(VALUE(SUBSTITUTE(SUBSTITUTE(TRIM(Raw_Data!D1033),"₹",""),",","")),"")</f>
        <v>1445</v>
      </c>
      <c r="F1033" s="12">
        <f>IFERROR(VALUE(SUBSTITUTE(Raw_Data!E1033,"%",""))/100,"")</f>
        <v>0.48</v>
      </c>
      <c r="G1033" s="13">
        <f>IFERROR(VALUE(Raw_Data!F1033),"")</f>
        <v>3.9</v>
      </c>
      <c r="H1033" s="14">
        <f>IFERROR(VALUE(SUBSTITUTE(Raw_Data!G1033,",","")),"")</f>
        <v>63350</v>
      </c>
      <c r="I1033" s="11">
        <f t="shared" si="64"/>
        <v>696</v>
      </c>
      <c r="J1033" s="11">
        <f t="shared" si="65"/>
        <v>47449150</v>
      </c>
      <c r="K1033" s="1">
        <f t="shared" si="66"/>
        <v>63350.000103300001</v>
      </c>
      <c r="L1033" s="15">
        <f t="shared" si="67"/>
        <v>0.48010329999999996</v>
      </c>
    </row>
    <row r="1034" spans="1:12" ht="15" customHeight="1" x14ac:dyDescent="0.25">
      <c r="A1034" s="10" t="str">
        <f>Raw_Data!A1034</f>
        <v>Pigeon by Stovekraft Cruise 1800 watt Induction Cooktop (Black)</v>
      </c>
      <c r="B1034" s="10" t="str">
        <f>IFERROR(TRIM(LEFT(Raw_Data!A1034,FIND(" ",Raw_Data!A1034)-1)),Raw_Data!A1034)</f>
        <v>Pigeon</v>
      </c>
      <c r="C1034" s="10" t="str">
        <f>IFERROR(LEFT(Raw_Data!B1034,FIND("|",Raw_Data!B1034)-1),Raw_Data!B1034)</f>
        <v>Home&amp;Kitchen</v>
      </c>
      <c r="D1034" s="11">
        <f>IFERROR(VALUE(SUBSTITUTE(SUBSTITUTE(TRIM(Raw_Data!C1034),"₹",""),",","")),"")</f>
        <v>1699</v>
      </c>
      <c r="E1034" s="11">
        <f>IFERROR(VALUE(SUBSTITUTE(SUBSTITUTE(TRIM(Raw_Data!D1034),"₹",""),",","")),"")</f>
        <v>3193</v>
      </c>
      <c r="F1034" s="12">
        <f>IFERROR(VALUE(SUBSTITUTE(Raw_Data!E1034,"%",""))/100,"")</f>
        <v>0.47</v>
      </c>
      <c r="G1034" s="13">
        <f>IFERROR(VALUE(Raw_Data!F1034),"")</f>
        <v>3.8</v>
      </c>
      <c r="H1034" s="14">
        <f>IFERROR(VALUE(SUBSTITUTE(Raw_Data!G1034,",","")),"")</f>
        <v>54032</v>
      </c>
      <c r="I1034" s="11">
        <f t="shared" si="64"/>
        <v>1494</v>
      </c>
      <c r="J1034" s="11">
        <f t="shared" si="65"/>
        <v>91800368</v>
      </c>
      <c r="K1034" s="1">
        <f t="shared" si="66"/>
        <v>54032.000103400002</v>
      </c>
      <c r="L1034" s="15">
        <f t="shared" si="67"/>
        <v>0.47010339999999995</v>
      </c>
    </row>
    <row r="1035" spans="1:12" ht="15" customHeight="1" x14ac:dyDescent="0.25">
      <c r="A1035" s="10" t="str">
        <f>Raw_Data!A1035</f>
        <v>Prestige PKGSS 1.7L 1500W Electric Kettle (Stainless Steel)</v>
      </c>
      <c r="B1035" s="10" t="str">
        <f>IFERROR(TRIM(LEFT(Raw_Data!A1035,FIND(" ",Raw_Data!A1035)-1)),Raw_Data!A1035)</f>
        <v>Prestige</v>
      </c>
      <c r="C1035" s="10" t="str">
        <f>IFERROR(LEFT(Raw_Data!B1035,FIND("|",Raw_Data!B1035)-1),Raw_Data!B1035)</f>
        <v>Home&amp;Kitchen</v>
      </c>
      <c r="D1035" s="11">
        <f>IFERROR(VALUE(SUBSTITUTE(SUBSTITUTE(TRIM(Raw_Data!C1035),"₹",""),",","")),"")</f>
        <v>1043</v>
      </c>
      <c r="E1035" s="11">
        <f>IFERROR(VALUE(SUBSTITUTE(SUBSTITUTE(TRIM(Raw_Data!D1035),"₹",""),",","")),"")</f>
        <v>1345</v>
      </c>
      <c r="F1035" s="12">
        <f>IFERROR(VALUE(SUBSTITUTE(Raw_Data!E1035,"%",""))/100,"")</f>
        <v>0.22</v>
      </c>
      <c r="G1035" s="13">
        <f>IFERROR(VALUE(Raw_Data!F1035),"")</f>
        <v>3.8</v>
      </c>
      <c r="H1035" s="14">
        <f>IFERROR(VALUE(SUBSTITUTE(Raw_Data!G1035,",","")),"")</f>
        <v>15592</v>
      </c>
      <c r="I1035" s="11">
        <f t="shared" si="64"/>
        <v>302</v>
      </c>
      <c r="J1035" s="11">
        <f t="shared" si="65"/>
        <v>16262456</v>
      </c>
      <c r="K1035" s="1">
        <f t="shared" si="66"/>
        <v>15592.0001035</v>
      </c>
      <c r="L1035" s="15">
        <f t="shared" si="67"/>
        <v>0.22010350000000001</v>
      </c>
    </row>
    <row r="1036" spans="1:12" ht="15" customHeight="1" x14ac:dyDescent="0.25">
      <c r="A1036" s="10" t="str">
        <f>Raw_Data!A1036</f>
        <v>SHOPTOSHOP Electric Lint Remover, Best Lint Shaver for Clothes,Lint Remover for Woolen Clothes ,Lint Remover for Sweaters</v>
      </c>
      <c r="B1036" s="10" t="str">
        <f>IFERROR(TRIM(LEFT(Raw_Data!A1036,FIND(" ",Raw_Data!A1036)-1)),Raw_Data!A1036)</f>
        <v>SHOPTOSHOP</v>
      </c>
      <c r="C1036" s="10" t="str">
        <f>IFERROR(LEFT(Raw_Data!B1036,FIND("|",Raw_Data!B1036)-1),Raw_Data!B1036)</f>
        <v>Home&amp;Kitchen</v>
      </c>
      <c r="D1036" s="11">
        <f>IFERROR(VALUE(SUBSTITUTE(SUBSTITUTE(TRIM(Raw_Data!C1036),"₹",""),",","")),"")</f>
        <v>499</v>
      </c>
      <c r="E1036" s="11">
        <f>IFERROR(VALUE(SUBSTITUTE(SUBSTITUTE(TRIM(Raw_Data!D1036),"₹",""),",","")),"")</f>
        <v>999</v>
      </c>
      <c r="F1036" s="12">
        <f>IFERROR(VALUE(SUBSTITUTE(Raw_Data!E1036,"%",""))/100,"")</f>
        <v>0.5</v>
      </c>
      <c r="G1036" s="13">
        <f>IFERROR(VALUE(Raw_Data!F1036),"")</f>
        <v>4.0999999999999996</v>
      </c>
      <c r="H1036" s="14">
        <f>IFERROR(VALUE(SUBSTITUTE(Raw_Data!G1036,",","")),"")</f>
        <v>4859</v>
      </c>
      <c r="I1036" s="11">
        <f t="shared" si="64"/>
        <v>500</v>
      </c>
      <c r="J1036" s="11">
        <f t="shared" si="65"/>
        <v>2424641</v>
      </c>
      <c r="K1036" s="1">
        <f t="shared" si="66"/>
        <v>4859.0001036000003</v>
      </c>
      <c r="L1036" s="15">
        <f t="shared" si="67"/>
        <v>0.50010359999999998</v>
      </c>
    </row>
    <row r="1037" spans="1:12" ht="15" customHeight="1" x14ac:dyDescent="0.25">
      <c r="A1037" s="10" t="str">
        <f>Raw_Data!A1037</f>
        <v>Orpat OEH-1260 2000-Watt Fan Heater (Grey)</v>
      </c>
      <c r="B1037" s="10" t="str">
        <f>IFERROR(TRIM(LEFT(Raw_Data!A1037,FIND(" ",Raw_Data!A1037)-1)),Raw_Data!A1037)</f>
        <v>Orpat</v>
      </c>
      <c r="C1037" s="10" t="str">
        <f>IFERROR(LEFT(Raw_Data!B1037,FIND("|",Raw_Data!B1037)-1),Raw_Data!B1037)</f>
        <v>Home&amp;Kitchen</v>
      </c>
      <c r="D1037" s="11">
        <f>IFERROR(VALUE(SUBSTITUTE(SUBSTITUTE(TRIM(Raw_Data!C1037),"₹",""),",","")),"")</f>
        <v>1464</v>
      </c>
      <c r="E1037" s="11">
        <f>IFERROR(VALUE(SUBSTITUTE(SUBSTITUTE(TRIM(Raw_Data!D1037),"₹",""),",","")),"")</f>
        <v>1650</v>
      </c>
      <c r="F1037" s="12">
        <f>IFERROR(VALUE(SUBSTITUTE(Raw_Data!E1037,"%",""))/100,"")</f>
        <v>0.11</v>
      </c>
      <c r="G1037" s="13">
        <f>IFERROR(VALUE(Raw_Data!F1037),"")</f>
        <v>4.0999999999999996</v>
      </c>
      <c r="H1037" s="14">
        <f>IFERROR(VALUE(SUBSTITUTE(Raw_Data!G1037,",","")),"")</f>
        <v>14120</v>
      </c>
      <c r="I1037" s="11">
        <f t="shared" si="64"/>
        <v>186</v>
      </c>
      <c r="J1037" s="11">
        <f t="shared" si="65"/>
        <v>20671680</v>
      </c>
      <c r="K1037" s="1">
        <f t="shared" si="66"/>
        <v>14120.0001037</v>
      </c>
      <c r="L1037" s="15">
        <f t="shared" si="67"/>
        <v>0.1101037</v>
      </c>
    </row>
    <row r="1038" spans="1:12" ht="15" customHeight="1" x14ac:dyDescent="0.25">
      <c r="A1038" s="10" t="str">
        <f>Raw_Data!A1038</f>
        <v>PRO365 Indo Mocktails/Coffee Foamer/Cappuccino/Lemonade/Milk Frother (6 Months Warranty)</v>
      </c>
      <c r="B1038" s="10" t="str">
        <f>IFERROR(TRIM(LEFT(Raw_Data!A1038,FIND(" ",Raw_Data!A1038)-1)),Raw_Data!A1038)</f>
        <v>PRO365</v>
      </c>
      <c r="C1038" s="10" t="str">
        <f>IFERROR(LEFT(Raw_Data!B1038,FIND("|",Raw_Data!B1038)-1),Raw_Data!B1038)</f>
        <v>Home&amp;Kitchen</v>
      </c>
      <c r="D1038" s="11">
        <f>IFERROR(VALUE(SUBSTITUTE(SUBSTITUTE(TRIM(Raw_Data!C1038),"₹",""),",","")),"")</f>
        <v>249</v>
      </c>
      <c r="E1038" s="11">
        <f>IFERROR(VALUE(SUBSTITUTE(SUBSTITUTE(TRIM(Raw_Data!D1038),"₹",""),",","")),"")</f>
        <v>499</v>
      </c>
      <c r="F1038" s="12">
        <f>IFERROR(VALUE(SUBSTITUTE(Raw_Data!E1038,"%",""))/100,"")</f>
        <v>0.5</v>
      </c>
      <c r="G1038" s="13">
        <f>IFERROR(VALUE(Raw_Data!F1038),"")</f>
        <v>3.3</v>
      </c>
      <c r="H1038" s="14">
        <f>IFERROR(VALUE(SUBSTITUTE(Raw_Data!G1038,",","")),"")</f>
        <v>8427</v>
      </c>
      <c r="I1038" s="11">
        <f t="shared" si="64"/>
        <v>250</v>
      </c>
      <c r="J1038" s="11">
        <f t="shared" si="65"/>
        <v>2098323</v>
      </c>
      <c r="K1038" s="1">
        <f t="shared" si="66"/>
        <v>8427.0001037999991</v>
      </c>
      <c r="L1038" s="15">
        <f t="shared" si="67"/>
        <v>0.50010379999999999</v>
      </c>
    </row>
    <row r="1039" spans="1:12" ht="15" customHeight="1" x14ac:dyDescent="0.25">
      <c r="A1039" s="10" t="str">
        <f>Raw_Data!A1039</f>
        <v>Bajaj DX-6 1000W Dry Iron with Advance Soleplate and Anti-bacterial German Coating Technology, White</v>
      </c>
      <c r="B1039" s="10" t="str">
        <f>IFERROR(TRIM(LEFT(Raw_Data!A1039,FIND(" ",Raw_Data!A1039)-1)),Raw_Data!A1039)</f>
        <v>Bajaj</v>
      </c>
      <c r="C1039" s="10" t="str">
        <f>IFERROR(LEFT(Raw_Data!B1039,FIND("|",Raw_Data!B1039)-1),Raw_Data!B1039)</f>
        <v>Home&amp;Kitchen</v>
      </c>
      <c r="D1039" s="11">
        <f>IFERROR(VALUE(SUBSTITUTE(SUBSTITUTE(TRIM(Raw_Data!C1039),"₹",""),",","")),"")</f>
        <v>625</v>
      </c>
      <c r="E1039" s="11">
        <f>IFERROR(VALUE(SUBSTITUTE(SUBSTITUTE(TRIM(Raw_Data!D1039),"₹",""),",","")),"")</f>
        <v>1400</v>
      </c>
      <c r="F1039" s="12">
        <f>IFERROR(VALUE(SUBSTITUTE(Raw_Data!E1039,"%",""))/100,"")</f>
        <v>0.55000000000000004</v>
      </c>
      <c r="G1039" s="13">
        <f>IFERROR(VALUE(Raw_Data!F1039),"")</f>
        <v>4.2</v>
      </c>
      <c r="H1039" s="14">
        <f>IFERROR(VALUE(SUBSTITUTE(Raw_Data!G1039,",","")),"")</f>
        <v>23316</v>
      </c>
      <c r="I1039" s="11">
        <f t="shared" si="64"/>
        <v>775</v>
      </c>
      <c r="J1039" s="11">
        <f t="shared" si="65"/>
        <v>14572500</v>
      </c>
      <c r="K1039" s="1">
        <f t="shared" si="66"/>
        <v>23316.000103900002</v>
      </c>
      <c r="L1039" s="15">
        <f t="shared" si="67"/>
        <v>0.55010390000000009</v>
      </c>
    </row>
    <row r="1040" spans="1:12" ht="15" customHeight="1" x14ac:dyDescent="0.25">
      <c r="A1040" s="10" t="str">
        <f>Raw_Data!A1040</f>
        <v>Croma 500W Mixer Grinder with 3 Stainless Steel Leak-proof Jars, 3 speed &amp; Pulse function, 2 years warranty (CRAK4184, White &amp; Purple)</v>
      </c>
      <c r="B1040" s="10" t="str">
        <f>IFERROR(TRIM(LEFT(Raw_Data!A1040,FIND(" ",Raw_Data!A1040)-1)),Raw_Data!A1040)</f>
        <v>Croma</v>
      </c>
      <c r="C1040" s="10" t="str">
        <f>IFERROR(LEFT(Raw_Data!B1040,FIND("|",Raw_Data!B1040)-1),Raw_Data!B1040)</f>
        <v>Home&amp;Kitchen</v>
      </c>
      <c r="D1040" s="11">
        <f>IFERROR(VALUE(SUBSTITUTE(SUBSTITUTE(TRIM(Raw_Data!C1040),"₹",""),",","")),"")</f>
        <v>1290</v>
      </c>
      <c r="E1040" s="11">
        <f>IFERROR(VALUE(SUBSTITUTE(SUBSTITUTE(TRIM(Raw_Data!D1040),"₹",""),",","")),"")</f>
        <v>2500</v>
      </c>
      <c r="F1040" s="12">
        <f>IFERROR(VALUE(SUBSTITUTE(Raw_Data!E1040,"%",""))/100,"")</f>
        <v>0.48</v>
      </c>
      <c r="G1040" s="13">
        <f>IFERROR(VALUE(Raw_Data!F1040),"")</f>
        <v>4</v>
      </c>
      <c r="H1040" s="14">
        <f>IFERROR(VALUE(SUBSTITUTE(Raw_Data!G1040,",","")),"")</f>
        <v>6530</v>
      </c>
      <c r="I1040" s="11">
        <f t="shared" si="64"/>
        <v>1210</v>
      </c>
      <c r="J1040" s="11">
        <f t="shared" si="65"/>
        <v>8423700</v>
      </c>
      <c r="K1040" s="1">
        <f t="shared" si="66"/>
        <v>6530.0001039999997</v>
      </c>
      <c r="L1040" s="15">
        <f t="shared" si="67"/>
        <v>0.48010399999999998</v>
      </c>
    </row>
    <row r="1041" spans="1:12" ht="15" customHeight="1" x14ac:dyDescent="0.25">
      <c r="A1041" s="10" t="str">
        <f>Raw_Data!A1041</f>
        <v>Havells Instanio 3-Litre Instant Geyser (White/Blue)</v>
      </c>
      <c r="B1041" s="10" t="str">
        <f>IFERROR(TRIM(LEFT(Raw_Data!A1041,FIND(" ",Raw_Data!A1041)-1)),Raw_Data!A1041)</f>
        <v>Havells</v>
      </c>
      <c r="C1041" s="10" t="str">
        <f>IFERROR(LEFT(Raw_Data!B1041,FIND("|",Raw_Data!B1041)-1),Raw_Data!B1041)</f>
        <v>Home&amp;Kitchen</v>
      </c>
      <c r="D1041" s="11">
        <f>IFERROR(VALUE(SUBSTITUTE(SUBSTITUTE(TRIM(Raw_Data!C1041),"₹",""),",","")),"")</f>
        <v>3600</v>
      </c>
      <c r="E1041" s="11">
        <f>IFERROR(VALUE(SUBSTITUTE(SUBSTITUTE(TRIM(Raw_Data!D1041),"₹",""),",","")),"")</f>
        <v>6190</v>
      </c>
      <c r="F1041" s="12">
        <f>IFERROR(VALUE(SUBSTITUTE(Raw_Data!E1041,"%",""))/100,"")</f>
        <v>0.42</v>
      </c>
      <c r="G1041" s="13">
        <f>IFERROR(VALUE(Raw_Data!F1041),"")</f>
        <v>4.3</v>
      </c>
      <c r="H1041" s="14">
        <f>IFERROR(VALUE(SUBSTITUTE(Raw_Data!G1041,",","")),"")</f>
        <v>11924</v>
      </c>
      <c r="I1041" s="11">
        <f t="shared" si="64"/>
        <v>2590</v>
      </c>
      <c r="J1041" s="11">
        <f t="shared" si="65"/>
        <v>42926400</v>
      </c>
      <c r="K1041" s="1">
        <f t="shared" si="66"/>
        <v>11924.0001041</v>
      </c>
      <c r="L1041" s="15">
        <f t="shared" si="67"/>
        <v>0.42010409999999998</v>
      </c>
    </row>
    <row r="1042" spans="1:12" ht="15" customHeight="1" x14ac:dyDescent="0.25">
      <c r="A1042" s="10" t="str">
        <f>Raw_Data!A1042</f>
        <v>Morphy Richards OFR Room Heater, 09 Fin 2000 Watts Oil Filled Room Heater , ISI Approved (OFR 9 Grey)</v>
      </c>
      <c r="B1042" s="10" t="str">
        <f>IFERROR(TRIM(LEFT(Raw_Data!A1042,FIND(" ",Raw_Data!A1042)-1)),Raw_Data!A1042)</f>
        <v>Morphy</v>
      </c>
      <c r="C1042" s="10" t="str">
        <f>IFERROR(LEFT(Raw_Data!B1042,FIND("|",Raw_Data!B1042)-1),Raw_Data!B1042)</f>
        <v>Home&amp;Kitchen</v>
      </c>
      <c r="D1042" s="11">
        <f>IFERROR(VALUE(SUBSTITUTE(SUBSTITUTE(TRIM(Raw_Data!C1042),"₹",""),",","")),"")</f>
        <v>6549</v>
      </c>
      <c r="E1042" s="11">
        <f>IFERROR(VALUE(SUBSTITUTE(SUBSTITUTE(TRIM(Raw_Data!D1042),"₹",""),",","")),"")</f>
        <v>13999</v>
      </c>
      <c r="F1042" s="12">
        <f>IFERROR(VALUE(SUBSTITUTE(Raw_Data!E1042,"%",""))/100,"")</f>
        <v>0.53</v>
      </c>
      <c r="G1042" s="13">
        <f>IFERROR(VALUE(Raw_Data!F1042),"")</f>
        <v>4</v>
      </c>
      <c r="H1042" s="14">
        <f>IFERROR(VALUE(SUBSTITUTE(Raw_Data!G1042,",","")),"")</f>
        <v>2961</v>
      </c>
      <c r="I1042" s="11">
        <f t="shared" si="64"/>
        <v>7450</v>
      </c>
      <c r="J1042" s="11">
        <f t="shared" si="65"/>
        <v>19391589</v>
      </c>
      <c r="K1042" s="1">
        <f t="shared" si="66"/>
        <v>2961.0001041999999</v>
      </c>
      <c r="L1042" s="15">
        <f t="shared" si="67"/>
        <v>0.53010420000000003</v>
      </c>
    </row>
    <row r="1043" spans="1:12" ht="15" customHeight="1" x14ac:dyDescent="0.25">
      <c r="A1043" s="10" t="str">
        <f>Raw_Data!A1043</f>
        <v>Havells Aqua Plus 1.2 litre Double Wall Kettle / 304 Stainless Steel Inner Body / Cool touch outer body / Wider mouth/ 2 Year warranty (Black, 1500 Watt)</v>
      </c>
      <c r="B1043" s="10" t="str">
        <f>IFERROR(TRIM(LEFT(Raw_Data!A1043,FIND(" ",Raw_Data!A1043)-1)),Raw_Data!A1043)</f>
        <v>Havells</v>
      </c>
      <c r="C1043" s="10" t="str">
        <f>IFERROR(LEFT(Raw_Data!B1043,FIND("|",Raw_Data!B1043)-1),Raw_Data!B1043)</f>
        <v>Home&amp;Kitchen</v>
      </c>
      <c r="D1043" s="11">
        <f>IFERROR(VALUE(SUBSTITUTE(SUBSTITUTE(TRIM(Raw_Data!C1043),"₹",""),",","")),"")</f>
        <v>1625</v>
      </c>
      <c r="E1043" s="11">
        <f>IFERROR(VALUE(SUBSTITUTE(SUBSTITUTE(TRIM(Raw_Data!D1043),"₹",""),",","")),"")</f>
        <v>2995</v>
      </c>
      <c r="F1043" s="12">
        <f>IFERROR(VALUE(SUBSTITUTE(Raw_Data!E1043,"%",""))/100,"")</f>
        <v>0.46</v>
      </c>
      <c r="G1043" s="13">
        <f>IFERROR(VALUE(Raw_Data!F1043),"")</f>
        <v>4.5</v>
      </c>
      <c r="H1043" s="14">
        <f>IFERROR(VALUE(SUBSTITUTE(Raw_Data!G1043,",","")),"")</f>
        <v>23484</v>
      </c>
      <c r="I1043" s="11">
        <f t="shared" si="64"/>
        <v>1370</v>
      </c>
      <c r="J1043" s="11">
        <f t="shared" si="65"/>
        <v>38161500</v>
      </c>
      <c r="K1043" s="1">
        <f t="shared" si="66"/>
        <v>23484.000104300001</v>
      </c>
      <c r="L1043" s="15">
        <f t="shared" si="67"/>
        <v>0.46010430000000002</v>
      </c>
    </row>
    <row r="1044" spans="1:12" ht="15" customHeight="1" x14ac:dyDescent="0.25">
      <c r="A1044" s="10" t="str">
        <f>Raw_Data!A1044</f>
        <v>Bajaj Splendora 3 Litre 3KW IWH Instant Water Heater (Geyser), White</v>
      </c>
      <c r="B1044" s="10" t="str">
        <f>IFERROR(TRIM(LEFT(Raw_Data!A1044,FIND(" ",Raw_Data!A1044)-1)),Raw_Data!A1044)</f>
        <v>Bajaj</v>
      </c>
      <c r="C1044" s="10" t="str">
        <f>IFERROR(LEFT(Raw_Data!B1044,FIND("|",Raw_Data!B1044)-1),Raw_Data!B1044)</f>
        <v>Home&amp;Kitchen</v>
      </c>
      <c r="D1044" s="11">
        <f>IFERROR(VALUE(SUBSTITUTE(SUBSTITUTE(TRIM(Raw_Data!C1044),"₹",""),",","")),"")</f>
        <v>2599</v>
      </c>
      <c r="E1044" s="11">
        <f>IFERROR(VALUE(SUBSTITUTE(SUBSTITUTE(TRIM(Raw_Data!D1044),"₹",""),",","")),"")</f>
        <v>5890</v>
      </c>
      <c r="F1044" s="12">
        <f>IFERROR(VALUE(SUBSTITUTE(Raw_Data!E1044,"%",""))/100,"")</f>
        <v>0.56000000000000005</v>
      </c>
      <c r="G1044" s="13">
        <f>IFERROR(VALUE(Raw_Data!F1044),"")</f>
        <v>4.0999999999999996</v>
      </c>
      <c r="H1044" s="14">
        <f>IFERROR(VALUE(SUBSTITUTE(Raw_Data!G1044,",","")),"")</f>
        <v>21783</v>
      </c>
      <c r="I1044" s="11">
        <f t="shared" si="64"/>
        <v>3291</v>
      </c>
      <c r="J1044" s="11">
        <f t="shared" si="65"/>
        <v>56614017</v>
      </c>
      <c r="K1044" s="1">
        <f t="shared" si="66"/>
        <v>21783.000104399998</v>
      </c>
      <c r="L1044" s="15">
        <f t="shared" si="67"/>
        <v>0.56010440000000006</v>
      </c>
    </row>
    <row r="1045" spans="1:12" ht="15" customHeight="1" x14ac:dyDescent="0.25">
      <c r="A1045" s="10" t="str">
        <f>Raw_Data!A1045</f>
        <v>KENT 16052 Elegant Electric Glass Kettle 1.8L 2000 W | Blue LED Illumination | Borosilicate Glass Body | Boil Drying Protection | Used as Boiler | Milk | Tea | Water &amp; Soup | 1 Year Warranty</v>
      </c>
      <c r="B1045" s="10" t="str">
        <f>IFERROR(TRIM(LEFT(Raw_Data!A1045,FIND(" ",Raw_Data!A1045)-1)),Raw_Data!A1045)</f>
        <v>KENT</v>
      </c>
      <c r="C1045" s="10" t="str">
        <f>IFERROR(LEFT(Raw_Data!B1045,FIND("|",Raw_Data!B1045)-1),Raw_Data!B1045)</f>
        <v>Home&amp;Kitchen</v>
      </c>
      <c r="D1045" s="11">
        <f>IFERROR(VALUE(SUBSTITUTE(SUBSTITUTE(TRIM(Raw_Data!C1045),"₹",""),",","")),"")</f>
        <v>1199</v>
      </c>
      <c r="E1045" s="11">
        <f>IFERROR(VALUE(SUBSTITUTE(SUBSTITUTE(TRIM(Raw_Data!D1045),"₹",""),",","")),"")</f>
        <v>2000</v>
      </c>
      <c r="F1045" s="12">
        <f>IFERROR(VALUE(SUBSTITUTE(Raw_Data!E1045,"%",""))/100,"")</f>
        <v>0.4</v>
      </c>
      <c r="G1045" s="13">
        <f>IFERROR(VALUE(Raw_Data!F1045),"")</f>
        <v>4</v>
      </c>
      <c r="H1045" s="14">
        <f>IFERROR(VALUE(SUBSTITUTE(Raw_Data!G1045,",","")),"")</f>
        <v>14030</v>
      </c>
      <c r="I1045" s="11">
        <f t="shared" si="64"/>
        <v>801</v>
      </c>
      <c r="J1045" s="11">
        <f t="shared" si="65"/>
        <v>16821970</v>
      </c>
      <c r="K1045" s="1">
        <f t="shared" si="66"/>
        <v>14030.000104500001</v>
      </c>
      <c r="L1045" s="15">
        <f t="shared" si="67"/>
        <v>0.40010450000000003</v>
      </c>
    </row>
    <row r="1046" spans="1:12" ht="15" customHeight="1" x14ac:dyDescent="0.25">
      <c r="A1046" s="10" t="str">
        <f>Raw_Data!A1046</f>
        <v>Bajaj New Shakti Neo 15L Vertical Storage Water Heater (Geyser 15 litres) 4 Star BEE Rated Heater For Water Heating with Titanium Armour, Swirl Flow Technology, Glasslined Tank (White), 1 Yr Warranty</v>
      </c>
      <c r="B1046" s="10" t="str">
        <f>IFERROR(TRIM(LEFT(Raw_Data!A1046,FIND(" ",Raw_Data!A1046)-1)),Raw_Data!A1046)</f>
        <v>Bajaj</v>
      </c>
      <c r="C1046" s="10" t="str">
        <f>IFERROR(LEFT(Raw_Data!B1046,FIND("|",Raw_Data!B1046)-1),Raw_Data!B1046)</f>
        <v>Home&amp;Kitchen</v>
      </c>
      <c r="D1046" s="11">
        <f>IFERROR(VALUE(SUBSTITUTE(SUBSTITUTE(TRIM(Raw_Data!C1046),"₹",""),",","")),"")</f>
        <v>5499</v>
      </c>
      <c r="E1046" s="11">
        <f>IFERROR(VALUE(SUBSTITUTE(SUBSTITUTE(TRIM(Raw_Data!D1046),"₹",""),",","")),"")</f>
        <v>13150</v>
      </c>
      <c r="F1046" s="12">
        <f>IFERROR(VALUE(SUBSTITUTE(Raw_Data!E1046,"%",""))/100,"")</f>
        <v>0.57999999999999996</v>
      </c>
      <c r="G1046" s="13">
        <f>IFERROR(VALUE(Raw_Data!F1046),"")</f>
        <v>4.2</v>
      </c>
      <c r="H1046" s="14">
        <f>IFERROR(VALUE(SUBSTITUTE(Raw_Data!G1046,",","")),"")</f>
        <v>6398</v>
      </c>
      <c r="I1046" s="11">
        <f t="shared" si="64"/>
        <v>7651</v>
      </c>
      <c r="J1046" s="11">
        <f t="shared" si="65"/>
        <v>35182602</v>
      </c>
      <c r="K1046" s="1">
        <f t="shared" si="66"/>
        <v>6398.0001045999998</v>
      </c>
      <c r="L1046" s="15">
        <f t="shared" si="67"/>
        <v>0.58010459999999997</v>
      </c>
    </row>
    <row r="1047" spans="1:12" ht="15" customHeight="1" x14ac:dyDescent="0.25">
      <c r="A1047" s="10" t="str">
        <f>Raw_Data!A1047</f>
        <v>Lifelong LLMG23 Power Pro 500-Watt Mixer Grinder with 3 Jars (Liquidizing, Wet Grinding and Chutney Jar), Stainless Steel blades, 1 Year Warranty (Black)</v>
      </c>
      <c r="B1047" s="10" t="str">
        <f>IFERROR(TRIM(LEFT(Raw_Data!A1047,FIND(" ",Raw_Data!A1047)-1)),Raw_Data!A1047)</f>
        <v>Lifelong</v>
      </c>
      <c r="C1047" s="10" t="str">
        <f>IFERROR(LEFT(Raw_Data!B1047,FIND("|",Raw_Data!B1047)-1),Raw_Data!B1047)</f>
        <v>Home&amp;Kitchen</v>
      </c>
      <c r="D1047" s="11">
        <f>IFERROR(VALUE(SUBSTITUTE(SUBSTITUTE(TRIM(Raw_Data!C1047),"₹",""),",","")),"")</f>
        <v>1299</v>
      </c>
      <c r="E1047" s="11">
        <f>IFERROR(VALUE(SUBSTITUTE(SUBSTITUTE(TRIM(Raw_Data!D1047),"₹",""),",","")),"")</f>
        <v>3500</v>
      </c>
      <c r="F1047" s="12">
        <f>IFERROR(VALUE(SUBSTITUTE(Raw_Data!E1047,"%",""))/100,"")</f>
        <v>0.63</v>
      </c>
      <c r="G1047" s="13">
        <f>IFERROR(VALUE(Raw_Data!F1047),"")</f>
        <v>3.8</v>
      </c>
      <c r="H1047" s="14">
        <f>IFERROR(VALUE(SUBSTITUTE(Raw_Data!G1047,",","")),"")</f>
        <v>44050</v>
      </c>
      <c r="I1047" s="11">
        <f t="shared" si="64"/>
        <v>2201</v>
      </c>
      <c r="J1047" s="11">
        <f t="shared" si="65"/>
        <v>57220950</v>
      </c>
      <c r="K1047" s="1">
        <f t="shared" si="66"/>
        <v>44050.000104699997</v>
      </c>
      <c r="L1047" s="15">
        <f t="shared" si="67"/>
        <v>0.63010469999999996</v>
      </c>
    </row>
    <row r="1048" spans="1:12" ht="15" customHeight="1" x14ac:dyDescent="0.25">
      <c r="A1048" s="10" t="str">
        <f>Raw_Data!A1048</f>
        <v>Bajaj Majesty DX-11 1000W Dry Iron with Advance Soleplate and Anti-bacterial German Coating Technology, White and Blue</v>
      </c>
      <c r="B1048" s="10" t="str">
        <f>IFERROR(TRIM(LEFT(Raw_Data!A1048,FIND(" ",Raw_Data!A1048)-1)),Raw_Data!A1048)</f>
        <v>Bajaj</v>
      </c>
      <c r="C1048" s="10" t="str">
        <f>IFERROR(LEFT(Raw_Data!B1048,FIND("|",Raw_Data!B1048)-1),Raw_Data!B1048)</f>
        <v>Home&amp;Kitchen</v>
      </c>
      <c r="D1048" s="11">
        <f>IFERROR(VALUE(SUBSTITUTE(SUBSTITUTE(TRIM(Raw_Data!C1048),"₹",""),",","")),"")</f>
        <v>599</v>
      </c>
      <c r="E1048" s="11">
        <f>IFERROR(VALUE(SUBSTITUTE(SUBSTITUTE(TRIM(Raw_Data!D1048),"₹",""),",","")),"")</f>
        <v>785</v>
      </c>
      <c r="F1048" s="12">
        <f>IFERROR(VALUE(SUBSTITUTE(Raw_Data!E1048,"%",""))/100,"")</f>
        <v>0.24</v>
      </c>
      <c r="G1048" s="13">
        <f>IFERROR(VALUE(Raw_Data!F1048),"")</f>
        <v>4.2</v>
      </c>
      <c r="H1048" s="14">
        <f>IFERROR(VALUE(SUBSTITUTE(Raw_Data!G1048,",","")),"")</f>
        <v>24247</v>
      </c>
      <c r="I1048" s="11">
        <f t="shared" si="64"/>
        <v>186</v>
      </c>
      <c r="J1048" s="11">
        <f t="shared" si="65"/>
        <v>14523953</v>
      </c>
      <c r="K1048" s="1">
        <f t="shared" si="66"/>
        <v>24247.000104800001</v>
      </c>
      <c r="L1048" s="15">
        <f t="shared" si="67"/>
        <v>0.24010479999999998</v>
      </c>
    </row>
    <row r="1049" spans="1:12" ht="15" customHeight="1" x14ac:dyDescent="0.25">
      <c r="A1049" s="10" t="str">
        <f>Raw_Data!A1049</f>
        <v>Bajaj Rex 500W Mixer Grinder with Nutri-Pro Feature, 3 Jars, White</v>
      </c>
      <c r="B1049" s="10" t="str">
        <f>IFERROR(TRIM(LEFT(Raw_Data!A1049,FIND(" ",Raw_Data!A1049)-1)),Raw_Data!A1049)</f>
        <v>Bajaj</v>
      </c>
      <c r="C1049" s="10" t="str">
        <f>IFERROR(LEFT(Raw_Data!B1049,FIND("|",Raw_Data!B1049)-1),Raw_Data!B1049)</f>
        <v>Home&amp;Kitchen</v>
      </c>
      <c r="D1049" s="11">
        <f>IFERROR(VALUE(SUBSTITUTE(SUBSTITUTE(TRIM(Raw_Data!C1049),"₹",""),",","")),"")</f>
        <v>1999</v>
      </c>
      <c r="E1049" s="11">
        <f>IFERROR(VALUE(SUBSTITUTE(SUBSTITUTE(TRIM(Raw_Data!D1049),"₹",""),",","")),"")</f>
        <v>3210</v>
      </c>
      <c r="F1049" s="12">
        <f>IFERROR(VALUE(SUBSTITUTE(Raw_Data!E1049,"%",""))/100,"")</f>
        <v>0.38</v>
      </c>
      <c r="G1049" s="13">
        <f>IFERROR(VALUE(Raw_Data!F1049),"")</f>
        <v>4.2</v>
      </c>
      <c r="H1049" s="14">
        <f>IFERROR(VALUE(SUBSTITUTE(Raw_Data!G1049,",","")),"")</f>
        <v>41349</v>
      </c>
      <c r="I1049" s="11">
        <f t="shared" si="64"/>
        <v>1211</v>
      </c>
      <c r="J1049" s="11">
        <f t="shared" si="65"/>
        <v>82656651</v>
      </c>
      <c r="K1049" s="1">
        <f t="shared" si="66"/>
        <v>41349.000104899998</v>
      </c>
      <c r="L1049" s="15">
        <f t="shared" si="67"/>
        <v>0.38010490000000002</v>
      </c>
    </row>
    <row r="1050" spans="1:12" ht="15" customHeight="1" x14ac:dyDescent="0.25">
      <c r="A1050" s="10" t="str">
        <f>Raw_Data!A1050</f>
        <v>Lifelong LLEK15 Electric Kettle 1.5L with Stainless Steel Body, Easy and Fast Boiling of Water for Instant Noodles, Soup, Tea etc. (1 Year Warranty, Silver)</v>
      </c>
      <c r="B1050" s="10" t="str">
        <f>IFERROR(TRIM(LEFT(Raw_Data!A1050,FIND(" ",Raw_Data!A1050)-1)),Raw_Data!A1050)</f>
        <v>Lifelong</v>
      </c>
      <c r="C1050" s="10" t="str">
        <f>IFERROR(LEFT(Raw_Data!B1050,FIND("|",Raw_Data!B1050)-1),Raw_Data!B1050)</f>
        <v>Home&amp;Kitchen</v>
      </c>
      <c r="D1050" s="11">
        <f>IFERROR(VALUE(SUBSTITUTE(SUBSTITUTE(TRIM(Raw_Data!C1050),"₹",""),",","")),"")</f>
        <v>549</v>
      </c>
      <c r="E1050" s="11">
        <f>IFERROR(VALUE(SUBSTITUTE(SUBSTITUTE(TRIM(Raw_Data!D1050),"₹",""),",","")),"")</f>
        <v>1000</v>
      </c>
      <c r="F1050" s="12">
        <f>IFERROR(VALUE(SUBSTITUTE(Raw_Data!E1050,"%",""))/100,"")</f>
        <v>0.45</v>
      </c>
      <c r="G1050" s="13">
        <f>IFERROR(VALUE(Raw_Data!F1050),"")</f>
        <v>3.6</v>
      </c>
      <c r="H1050" s="14">
        <f>IFERROR(VALUE(SUBSTITUTE(Raw_Data!G1050,",","")),"")</f>
        <v>1074</v>
      </c>
      <c r="I1050" s="11">
        <f t="shared" si="64"/>
        <v>451</v>
      </c>
      <c r="J1050" s="11">
        <f t="shared" si="65"/>
        <v>589626</v>
      </c>
      <c r="K1050" s="1">
        <f t="shared" si="66"/>
        <v>1074.0001050000001</v>
      </c>
      <c r="L1050" s="15">
        <f t="shared" si="67"/>
        <v>0.45010500000000003</v>
      </c>
    </row>
    <row r="1051" spans="1:12" ht="15" customHeight="1" x14ac:dyDescent="0.25">
      <c r="A1051" s="10" t="str">
        <f>Raw_Data!A1051</f>
        <v>Lifelong LLQH922 Regalia 800 W (ISI Certified) Quartz Room Heater with 2 Power settings, Overheating Protection, 2 Rod Heater (1 Year Warranty, White)</v>
      </c>
      <c r="B1051" s="10" t="str">
        <f>IFERROR(TRIM(LEFT(Raw_Data!A1051,FIND(" ",Raw_Data!A1051)-1)),Raw_Data!A1051)</f>
        <v>Lifelong</v>
      </c>
      <c r="C1051" s="10" t="str">
        <f>IFERROR(LEFT(Raw_Data!B1051,FIND("|",Raw_Data!B1051)-1),Raw_Data!B1051)</f>
        <v>Home&amp;Kitchen</v>
      </c>
      <c r="D1051" s="11">
        <f>IFERROR(VALUE(SUBSTITUTE(SUBSTITUTE(TRIM(Raw_Data!C1051),"₹",""),",","")),"")</f>
        <v>999</v>
      </c>
      <c r="E1051" s="11">
        <f>IFERROR(VALUE(SUBSTITUTE(SUBSTITUTE(TRIM(Raw_Data!D1051),"₹",""),",","")),"")</f>
        <v>2000</v>
      </c>
      <c r="F1051" s="12">
        <f>IFERROR(VALUE(SUBSTITUTE(Raw_Data!E1051,"%",""))/100,"")</f>
        <v>0.5</v>
      </c>
      <c r="G1051" s="13">
        <f>IFERROR(VALUE(Raw_Data!F1051),"")</f>
        <v>3.8</v>
      </c>
      <c r="H1051" s="14">
        <f>IFERROR(VALUE(SUBSTITUTE(Raw_Data!G1051,",","")),"")</f>
        <v>1163</v>
      </c>
      <c r="I1051" s="11">
        <f t="shared" si="64"/>
        <v>1001</v>
      </c>
      <c r="J1051" s="11">
        <f t="shared" si="65"/>
        <v>1161837</v>
      </c>
      <c r="K1051" s="1">
        <f t="shared" si="66"/>
        <v>1163.0001050999999</v>
      </c>
      <c r="L1051" s="15">
        <f t="shared" si="67"/>
        <v>0.50010509999999997</v>
      </c>
    </row>
    <row r="1052" spans="1:12" ht="15" customHeight="1" x14ac:dyDescent="0.25">
      <c r="A1052" s="10" t="str">
        <f>Raw_Data!A1052</f>
        <v>R B Nova Lint/Fabric Shaver for Cloths, Lint Remover for Woolen Sweaters, Blankets, Jackets/Burr Remover Pill Remover from Carpets, Pack of 1</v>
      </c>
      <c r="B1052" s="10" t="str">
        <f>IFERROR(TRIM(LEFT(Raw_Data!A1052,FIND(" ",Raw_Data!A1052)-1)),Raw_Data!A1052)</f>
        <v>R</v>
      </c>
      <c r="C1052" s="10" t="str">
        <f>IFERROR(LEFT(Raw_Data!B1052,FIND("|",Raw_Data!B1052)-1),Raw_Data!B1052)</f>
        <v>Home&amp;Kitchen</v>
      </c>
      <c r="D1052" s="11">
        <f>IFERROR(VALUE(SUBSTITUTE(SUBSTITUTE(TRIM(Raw_Data!C1052),"₹",""),",","")),"")</f>
        <v>398</v>
      </c>
      <c r="E1052" s="11">
        <f>IFERROR(VALUE(SUBSTITUTE(SUBSTITUTE(TRIM(Raw_Data!D1052),"₹",""),",","")),"")</f>
        <v>1999</v>
      </c>
      <c r="F1052" s="12">
        <f>IFERROR(VALUE(SUBSTITUTE(Raw_Data!E1052,"%",""))/100,"")</f>
        <v>0.8</v>
      </c>
      <c r="G1052" s="13">
        <f>IFERROR(VALUE(Raw_Data!F1052),"")</f>
        <v>4.0999999999999996</v>
      </c>
      <c r="H1052" s="14">
        <f>IFERROR(VALUE(SUBSTITUTE(Raw_Data!G1052,",","")),"")</f>
        <v>257</v>
      </c>
      <c r="I1052" s="11">
        <f t="shared" si="64"/>
        <v>1601</v>
      </c>
      <c r="J1052" s="11">
        <f t="shared" si="65"/>
        <v>102286</v>
      </c>
      <c r="K1052" s="1">
        <f t="shared" si="66"/>
        <v>257.00010520000001</v>
      </c>
      <c r="L1052" s="15">
        <f t="shared" si="67"/>
        <v>0.80010520000000007</v>
      </c>
    </row>
    <row r="1053" spans="1:12" ht="15" customHeight="1" x14ac:dyDescent="0.25">
      <c r="A1053" s="10" t="str">
        <f>Raw_Data!A1053</f>
        <v>Bajaj Immersion Rod Water Heater 1500 Watts, Silver</v>
      </c>
      <c r="B1053" s="10" t="str">
        <f>IFERROR(TRIM(LEFT(Raw_Data!A1053,FIND(" ",Raw_Data!A1053)-1)),Raw_Data!A1053)</f>
        <v>Bajaj</v>
      </c>
      <c r="C1053" s="10" t="str">
        <f>IFERROR(LEFT(Raw_Data!B1053,FIND("|",Raw_Data!B1053)-1),Raw_Data!B1053)</f>
        <v>Home&amp;Kitchen</v>
      </c>
      <c r="D1053" s="11">
        <f>IFERROR(VALUE(SUBSTITUTE(SUBSTITUTE(TRIM(Raw_Data!C1053),"₹",""),",","")),"")</f>
        <v>539</v>
      </c>
      <c r="E1053" s="11">
        <f>IFERROR(VALUE(SUBSTITUTE(SUBSTITUTE(TRIM(Raw_Data!D1053),"₹",""),",","")),"")</f>
        <v>720</v>
      </c>
      <c r="F1053" s="12">
        <f>IFERROR(VALUE(SUBSTITUTE(Raw_Data!E1053,"%",""))/100,"")</f>
        <v>0.25</v>
      </c>
      <c r="G1053" s="13">
        <f>IFERROR(VALUE(Raw_Data!F1053),"")</f>
        <v>4.0999999999999996</v>
      </c>
      <c r="H1053" s="14">
        <f>IFERROR(VALUE(SUBSTITUTE(Raw_Data!G1053,",","")),"")</f>
        <v>36017</v>
      </c>
      <c r="I1053" s="11">
        <f t="shared" si="64"/>
        <v>181</v>
      </c>
      <c r="J1053" s="11">
        <f t="shared" si="65"/>
        <v>19413163</v>
      </c>
      <c r="K1053" s="1">
        <f t="shared" si="66"/>
        <v>36017.000105300001</v>
      </c>
      <c r="L1053" s="15">
        <f t="shared" si="67"/>
        <v>0.25010529999999997</v>
      </c>
    </row>
    <row r="1054" spans="1:12" ht="15" customHeight="1" x14ac:dyDescent="0.25">
      <c r="A1054" s="10" t="str">
        <f>Raw_Data!A1054</f>
        <v>INALSA Electric Kettle 1.5 Litre with Stainless Steel Body - Absa|Auto Shut Off &amp; Boil Dry Protection Safety Features| Cordless Base &amp; Cord Winder|Hot Water Kettle |Water Heater Jug</v>
      </c>
      <c r="B1054" s="10" t="str">
        <f>IFERROR(TRIM(LEFT(Raw_Data!A1054,FIND(" ",Raw_Data!A1054)-1)),Raw_Data!A1054)</f>
        <v>INALSA</v>
      </c>
      <c r="C1054" s="10" t="str">
        <f>IFERROR(LEFT(Raw_Data!B1054,FIND("|",Raw_Data!B1054)-1),Raw_Data!B1054)</f>
        <v>Home&amp;Kitchen</v>
      </c>
      <c r="D1054" s="11">
        <f>IFERROR(VALUE(SUBSTITUTE(SUBSTITUTE(TRIM(Raw_Data!C1054),"₹",""),",","")),"")</f>
        <v>699</v>
      </c>
      <c r="E1054" s="11">
        <f>IFERROR(VALUE(SUBSTITUTE(SUBSTITUTE(TRIM(Raw_Data!D1054),"₹",""),",","")),"")</f>
        <v>1595</v>
      </c>
      <c r="F1054" s="12">
        <f>IFERROR(VALUE(SUBSTITUTE(Raw_Data!E1054,"%",""))/100,"")</f>
        <v>0.56000000000000005</v>
      </c>
      <c r="G1054" s="13">
        <f>IFERROR(VALUE(Raw_Data!F1054),"")</f>
        <v>4.0999999999999996</v>
      </c>
      <c r="H1054" s="14">
        <f>IFERROR(VALUE(SUBSTITUTE(Raw_Data!G1054,",","")),"")</f>
        <v>8090</v>
      </c>
      <c r="I1054" s="11">
        <f t="shared" si="64"/>
        <v>896</v>
      </c>
      <c r="J1054" s="11">
        <f t="shared" si="65"/>
        <v>5654910</v>
      </c>
      <c r="K1054" s="1">
        <f t="shared" si="66"/>
        <v>8090.0001054000004</v>
      </c>
      <c r="L1054" s="15">
        <f t="shared" si="67"/>
        <v>0.56010540000000009</v>
      </c>
    </row>
    <row r="1055" spans="1:12" ht="15" customHeight="1" x14ac:dyDescent="0.25">
      <c r="A1055" s="10" t="str">
        <f>Raw_Data!A1055</f>
        <v>Prestige PIC 20 1600 Watt Induction Cooktop with Push button (Black)</v>
      </c>
      <c r="B1055" s="10" t="str">
        <f>IFERROR(TRIM(LEFT(Raw_Data!A1055,FIND(" ",Raw_Data!A1055)-1)),Raw_Data!A1055)</f>
        <v>Prestige</v>
      </c>
      <c r="C1055" s="10" t="str">
        <f>IFERROR(LEFT(Raw_Data!B1055,FIND("|",Raw_Data!B1055)-1),Raw_Data!B1055)</f>
        <v>Home&amp;Kitchen</v>
      </c>
      <c r="D1055" s="11">
        <f>IFERROR(VALUE(SUBSTITUTE(SUBSTITUTE(TRIM(Raw_Data!C1055),"₹",""),",","")),"")</f>
        <v>2148</v>
      </c>
      <c r="E1055" s="11">
        <f>IFERROR(VALUE(SUBSTITUTE(SUBSTITUTE(TRIM(Raw_Data!D1055),"₹",""),",","")),"")</f>
        <v>3645</v>
      </c>
      <c r="F1055" s="12">
        <f>IFERROR(VALUE(SUBSTITUTE(Raw_Data!E1055,"%",""))/100,"")</f>
        <v>0.41</v>
      </c>
      <c r="G1055" s="13">
        <f>IFERROR(VALUE(Raw_Data!F1055),"")</f>
        <v>4.0999999999999996</v>
      </c>
      <c r="H1055" s="14">
        <f>IFERROR(VALUE(SUBSTITUTE(Raw_Data!G1055,",","")),"")</f>
        <v>31388</v>
      </c>
      <c r="I1055" s="11">
        <f t="shared" si="64"/>
        <v>1497</v>
      </c>
      <c r="J1055" s="11">
        <f t="shared" si="65"/>
        <v>67421424</v>
      </c>
      <c r="K1055" s="1">
        <f t="shared" si="66"/>
        <v>31388.000105499999</v>
      </c>
      <c r="L1055" s="15">
        <f t="shared" si="67"/>
        <v>0.41010549999999996</v>
      </c>
    </row>
    <row r="1056" spans="1:12" ht="15" customHeight="1" x14ac:dyDescent="0.25">
      <c r="A1056" s="10" t="str">
        <f>Raw_Data!A1056</f>
        <v>Pigeon Healthifry Digital Air Fryer, 360° High Speed Air Circulation Technology 1200 W with Non-Stick 4.2 L Basket - Green</v>
      </c>
      <c r="B1056" s="10" t="str">
        <f>IFERROR(TRIM(LEFT(Raw_Data!A1056,FIND(" ",Raw_Data!A1056)-1)),Raw_Data!A1056)</f>
        <v>Pigeon</v>
      </c>
      <c r="C1056" s="10" t="str">
        <f>IFERROR(LEFT(Raw_Data!B1056,FIND("|",Raw_Data!B1056)-1),Raw_Data!B1056)</f>
        <v>Home&amp;Kitchen</v>
      </c>
      <c r="D1056" s="11">
        <f>IFERROR(VALUE(SUBSTITUTE(SUBSTITUTE(TRIM(Raw_Data!C1056),"₹",""),",","")),"")</f>
        <v>3599</v>
      </c>
      <c r="E1056" s="11">
        <f>IFERROR(VALUE(SUBSTITUTE(SUBSTITUTE(TRIM(Raw_Data!D1056),"₹",""),",","")),"")</f>
        <v>7950</v>
      </c>
      <c r="F1056" s="12">
        <f>IFERROR(VALUE(SUBSTITUTE(Raw_Data!E1056,"%",""))/100,"")</f>
        <v>0.55000000000000004</v>
      </c>
      <c r="G1056" s="13">
        <f>IFERROR(VALUE(Raw_Data!F1056),"")</f>
        <v>4.2</v>
      </c>
      <c r="H1056" s="14">
        <f>IFERROR(VALUE(SUBSTITUTE(Raw_Data!G1056,",","")),"")</f>
        <v>136</v>
      </c>
      <c r="I1056" s="11">
        <f t="shared" si="64"/>
        <v>4351</v>
      </c>
      <c r="J1056" s="11">
        <f t="shared" si="65"/>
        <v>489464</v>
      </c>
      <c r="K1056" s="1">
        <f t="shared" si="66"/>
        <v>136.00010560000001</v>
      </c>
      <c r="L1056" s="15">
        <f t="shared" si="67"/>
        <v>0.55010560000000008</v>
      </c>
    </row>
    <row r="1057" spans="1:12" ht="15" customHeight="1" x14ac:dyDescent="0.25">
      <c r="A1057" s="10" t="str">
        <f>Raw_Data!A1057</f>
        <v>PrettyKrafts Laundry Basket for clothes with Lid &amp; Handles, Toys Organiser, 75 Ltr Black &amp; Grey</v>
      </c>
      <c r="B1057" s="10" t="str">
        <f>IFERROR(TRIM(LEFT(Raw_Data!A1057,FIND(" ",Raw_Data!A1057)-1)),Raw_Data!A1057)</f>
        <v>PrettyKrafts</v>
      </c>
      <c r="C1057" s="10" t="str">
        <f>IFERROR(LEFT(Raw_Data!B1057,FIND("|",Raw_Data!B1057)-1),Raw_Data!B1057)</f>
        <v>Home&amp;Kitchen</v>
      </c>
      <c r="D1057" s="11">
        <f>IFERROR(VALUE(SUBSTITUTE(SUBSTITUTE(TRIM(Raw_Data!C1057),"₹",""),",","")),"")</f>
        <v>351</v>
      </c>
      <c r="E1057" s="11">
        <f>IFERROR(VALUE(SUBSTITUTE(SUBSTITUTE(TRIM(Raw_Data!D1057),"₹",""),",","")),"")</f>
        <v>999</v>
      </c>
      <c r="F1057" s="12">
        <f>IFERROR(VALUE(SUBSTITUTE(Raw_Data!E1057,"%",""))/100,"")</f>
        <v>0.65</v>
      </c>
      <c r="G1057" s="13">
        <f>IFERROR(VALUE(Raw_Data!F1057),"")</f>
        <v>4</v>
      </c>
      <c r="H1057" s="14">
        <f>IFERROR(VALUE(SUBSTITUTE(Raw_Data!G1057,",","")),"")</f>
        <v>5380</v>
      </c>
      <c r="I1057" s="11">
        <f t="shared" si="64"/>
        <v>648</v>
      </c>
      <c r="J1057" s="11">
        <f t="shared" si="65"/>
        <v>1888380</v>
      </c>
      <c r="K1057" s="1">
        <f t="shared" si="66"/>
        <v>5380.0001056999999</v>
      </c>
      <c r="L1057" s="15">
        <f t="shared" si="67"/>
        <v>0.65010570000000001</v>
      </c>
    </row>
    <row r="1058" spans="1:12" ht="15" customHeight="1" x14ac:dyDescent="0.25">
      <c r="A1058" s="10" t="str">
        <f>Raw_Data!A1058</f>
        <v>Philips GC1905 1440-Watt Steam Iron with Spray (Blue)</v>
      </c>
      <c r="B1058" s="10" t="str">
        <f>IFERROR(TRIM(LEFT(Raw_Data!A1058,FIND(" ",Raw_Data!A1058)-1)),Raw_Data!A1058)</f>
        <v>Philips</v>
      </c>
      <c r="C1058" s="10" t="str">
        <f>IFERROR(LEFT(Raw_Data!B1058,FIND("|",Raw_Data!B1058)-1),Raw_Data!B1058)</f>
        <v>Home&amp;Kitchen</v>
      </c>
      <c r="D1058" s="11">
        <f>IFERROR(VALUE(SUBSTITUTE(SUBSTITUTE(TRIM(Raw_Data!C1058),"₹",""),",","")),"")</f>
        <v>1614</v>
      </c>
      <c r="E1058" s="11">
        <f>IFERROR(VALUE(SUBSTITUTE(SUBSTITUTE(TRIM(Raw_Data!D1058),"₹",""),",","")),"")</f>
        <v>1745</v>
      </c>
      <c r="F1058" s="12">
        <f>IFERROR(VALUE(SUBSTITUTE(Raw_Data!E1058,"%",""))/100,"")</f>
        <v>0.08</v>
      </c>
      <c r="G1058" s="13">
        <f>IFERROR(VALUE(Raw_Data!F1058),"")</f>
        <v>4.3</v>
      </c>
      <c r="H1058" s="14">
        <f>IFERROR(VALUE(SUBSTITUTE(Raw_Data!G1058,",","")),"")</f>
        <v>37974</v>
      </c>
      <c r="I1058" s="11">
        <f t="shared" si="64"/>
        <v>131</v>
      </c>
      <c r="J1058" s="11">
        <f t="shared" si="65"/>
        <v>61290036</v>
      </c>
      <c r="K1058" s="1">
        <f t="shared" si="66"/>
        <v>37974.000105799998</v>
      </c>
      <c r="L1058" s="15">
        <f t="shared" si="67"/>
        <v>8.0105800000000005E-2</v>
      </c>
    </row>
    <row r="1059" spans="1:12" ht="15" customHeight="1" x14ac:dyDescent="0.25">
      <c r="A1059" s="10" t="str">
        <f>Raw_Data!A1059</f>
        <v>Havells Immersion HB15 1500 Watt (White Blue)</v>
      </c>
      <c r="B1059" s="10" t="str">
        <f>IFERROR(TRIM(LEFT(Raw_Data!A1059,FIND(" ",Raw_Data!A1059)-1)),Raw_Data!A1059)</f>
        <v>Havells</v>
      </c>
      <c r="C1059" s="10" t="str">
        <f>IFERROR(LEFT(Raw_Data!B1059,FIND("|",Raw_Data!B1059)-1),Raw_Data!B1059)</f>
        <v>Home&amp;Kitchen</v>
      </c>
      <c r="D1059" s="11">
        <f>IFERROR(VALUE(SUBSTITUTE(SUBSTITUTE(TRIM(Raw_Data!C1059),"₹",""),",","")),"")</f>
        <v>719</v>
      </c>
      <c r="E1059" s="11">
        <f>IFERROR(VALUE(SUBSTITUTE(SUBSTITUTE(TRIM(Raw_Data!D1059),"₹",""),",","")),"")</f>
        <v>1295</v>
      </c>
      <c r="F1059" s="12">
        <f>IFERROR(VALUE(SUBSTITUTE(Raw_Data!E1059,"%",""))/100,"")</f>
        <v>0.44</v>
      </c>
      <c r="G1059" s="13">
        <f>IFERROR(VALUE(Raw_Data!F1059),"")</f>
        <v>4.2</v>
      </c>
      <c r="H1059" s="14">
        <f>IFERROR(VALUE(SUBSTITUTE(Raw_Data!G1059,",","")),"")</f>
        <v>17218</v>
      </c>
      <c r="I1059" s="11">
        <f t="shared" si="64"/>
        <v>576</v>
      </c>
      <c r="J1059" s="11">
        <f t="shared" si="65"/>
        <v>12379742</v>
      </c>
      <c r="K1059" s="1">
        <f t="shared" si="66"/>
        <v>17218.000105899999</v>
      </c>
      <c r="L1059" s="15">
        <f t="shared" si="67"/>
        <v>0.44010589999999999</v>
      </c>
    </row>
    <row r="1060" spans="1:12" ht="15" customHeight="1" x14ac:dyDescent="0.25">
      <c r="A1060" s="10" t="str">
        <f>Raw_Data!A1060</f>
        <v>AGARO LR2007 Lint Remover, Rechargeable, for Woolen Sweaters, Blankets, Jackets, Burr Remover, Pill Remover From Carpets, Curtains</v>
      </c>
      <c r="B1060" s="10" t="str">
        <f>IFERROR(TRIM(LEFT(Raw_Data!A1060,FIND(" ",Raw_Data!A1060)-1)),Raw_Data!A1060)</f>
        <v>AGARO</v>
      </c>
      <c r="C1060" s="10" t="str">
        <f>IFERROR(LEFT(Raw_Data!B1060,FIND("|",Raw_Data!B1060)-1),Raw_Data!B1060)</f>
        <v>Home&amp;Kitchen</v>
      </c>
      <c r="D1060" s="11">
        <f>IFERROR(VALUE(SUBSTITUTE(SUBSTITUTE(TRIM(Raw_Data!C1060),"₹",""),",","")),"")</f>
        <v>678</v>
      </c>
      <c r="E1060" s="11">
        <f>IFERROR(VALUE(SUBSTITUTE(SUBSTITUTE(TRIM(Raw_Data!D1060),"₹",""),",","")),"")</f>
        <v>1499</v>
      </c>
      <c r="F1060" s="12">
        <f>IFERROR(VALUE(SUBSTITUTE(Raw_Data!E1060,"%",""))/100,"")</f>
        <v>0.55000000000000004</v>
      </c>
      <c r="G1060" s="13">
        <f>IFERROR(VALUE(Raw_Data!F1060),"")</f>
        <v>4.2</v>
      </c>
      <c r="H1060" s="14">
        <f>IFERROR(VALUE(SUBSTITUTE(Raw_Data!G1060,",","")),"")</f>
        <v>900</v>
      </c>
      <c r="I1060" s="11">
        <f t="shared" si="64"/>
        <v>821</v>
      </c>
      <c r="J1060" s="11">
        <f t="shared" si="65"/>
        <v>610200</v>
      </c>
      <c r="K1060" s="1">
        <f t="shared" si="66"/>
        <v>900.00010599999996</v>
      </c>
      <c r="L1060" s="15">
        <f t="shared" si="67"/>
        <v>0.55010600000000009</v>
      </c>
    </row>
    <row r="1061" spans="1:12" ht="15" customHeight="1" x14ac:dyDescent="0.25">
      <c r="A1061" s="10" t="str">
        <f>Raw_Data!A1061</f>
        <v>Pigeon 1.5 litre Hot Kettle and Stainless Steel Water Bottle Combo used for boiling Water, Making Tea and Coffee, Instant Noodles, Soup, 1500 Watt with Auto Shut- off Feature - (Silver)</v>
      </c>
      <c r="B1061" s="10" t="str">
        <f>IFERROR(TRIM(LEFT(Raw_Data!A1061,FIND(" ",Raw_Data!A1061)-1)),Raw_Data!A1061)</f>
        <v>Pigeon</v>
      </c>
      <c r="C1061" s="10" t="str">
        <f>IFERROR(LEFT(Raw_Data!B1061,FIND("|",Raw_Data!B1061)-1),Raw_Data!B1061)</f>
        <v>Home&amp;Kitchen</v>
      </c>
      <c r="D1061" s="11">
        <f>IFERROR(VALUE(SUBSTITUTE(SUBSTITUTE(TRIM(Raw_Data!C1061),"₹",""),",","")),"")</f>
        <v>809</v>
      </c>
      <c r="E1061" s="11">
        <f>IFERROR(VALUE(SUBSTITUTE(SUBSTITUTE(TRIM(Raw_Data!D1061),"₹",""),",","")),"")</f>
        <v>1545</v>
      </c>
      <c r="F1061" s="12">
        <f>IFERROR(VALUE(SUBSTITUTE(Raw_Data!E1061,"%",""))/100,"")</f>
        <v>0.48</v>
      </c>
      <c r="G1061" s="13">
        <f>IFERROR(VALUE(Raw_Data!F1061),"")</f>
        <v>3.7</v>
      </c>
      <c r="H1061" s="14">
        <f>IFERROR(VALUE(SUBSTITUTE(Raw_Data!G1061,",","")),"")</f>
        <v>976</v>
      </c>
      <c r="I1061" s="11">
        <f t="shared" si="64"/>
        <v>736</v>
      </c>
      <c r="J1061" s="11">
        <f t="shared" si="65"/>
        <v>789584</v>
      </c>
      <c r="K1061" s="1">
        <f t="shared" si="66"/>
        <v>976.00010610000004</v>
      </c>
      <c r="L1061" s="15">
        <f t="shared" si="67"/>
        <v>0.48010609999999998</v>
      </c>
    </row>
    <row r="1062" spans="1:12" ht="15" customHeight="1" x14ac:dyDescent="0.25">
      <c r="A1062" s="10" t="str">
        <f>Raw_Data!A1062</f>
        <v>NutriPro Juicer Mixer Grinder - Smoothie Maker - 500 Watts (3 Jars 2 Blades)</v>
      </c>
      <c r="B1062" s="10" t="str">
        <f>IFERROR(TRIM(LEFT(Raw_Data!A1062,FIND(" ",Raw_Data!A1062)-1)),Raw_Data!A1062)</f>
        <v>NutriPro</v>
      </c>
      <c r="C1062" s="10" t="str">
        <f>IFERROR(LEFT(Raw_Data!B1062,FIND("|",Raw_Data!B1062)-1),Raw_Data!B1062)</f>
        <v>Home&amp;Kitchen</v>
      </c>
      <c r="D1062" s="11">
        <f>IFERROR(VALUE(SUBSTITUTE(SUBSTITUTE(TRIM(Raw_Data!C1062),"₹",""),",","")),"")</f>
        <v>1969</v>
      </c>
      <c r="E1062" s="11">
        <f>IFERROR(VALUE(SUBSTITUTE(SUBSTITUTE(TRIM(Raw_Data!D1062),"₹",""),",","")),"")</f>
        <v>5000</v>
      </c>
      <c r="F1062" s="12">
        <f>IFERROR(VALUE(SUBSTITUTE(Raw_Data!E1062,"%",""))/100,"")</f>
        <v>0.61</v>
      </c>
      <c r="G1062" s="13">
        <f>IFERROR(VALUE(Raw_Data!F1062),"")</f>
        <v>4.0999999999999996</v>
      </c>
      <c r="H1062" s="14">
        <f>IFERROR(VALUE(SUBSTITUTE(Raw_Data!G1062,",","")),"")</f>
        <v>4927</v>
      </c>
      <c r="I1062" s="11">
        <f t="shared" si="64"/>
        <v>3031</v>
      </c>
      <c r="J1062" s="11">
        <f t="shared" si="65"/>
        <v>9701263</v>
      </c>
      <c r="K1062" s="1">
        <f t="shared" si="66"/>
        <v>4927.0001062000001</v>
      </c>
      <c r="L1062" s="15">
        <f t="shared" si="67"/>
        <v>0.61010619999999993</v>
      </c>
    </row>
    <row r="1063" spans="1:12" ht="15" customHeight="1" x14ac:dyDescent="0.25">
      <c r="A1063" s="10" t="str">
        <f>Raw_Data!A1063</f>
        <v>Philips GC026/30 Fabric Shaver, Lint Remover for Woolen Sweaters, Blankets, Jackets/Burr Remover Pill Remover from Carpets, Curtains (White)</v>
      </c>
      <c r="B1063" s="10" t="str">
        <f>IFERROR(TRIM(LEFT(Raw_Data!A1063,FIND(" ",Raw_Data!A1063)-1)),Raw_Data!A1063)</f>
        <v>Philips</v>
      </c>
      <c r="C1063" s="10" t="str">
        <f>IFERROR(LEFT(Raw_Data!B1063,FIND("|",Raw_Data!B1063)-1),Raw_Data!B1063)</f>
        <v>Home&amp;Kitchen</v>
      </c>
      <c r="D1063" s="11">
        <f>IFERROR(VALUE(SUBSTITUTE(SUBSTITUTE(TRIM(Raw_Data!C1063),"₹",""),",","")),"")</f>
        <v>1490</v>
      </c>
      <c r="E1063" s="11">
        <f>IFERROR(VALUE(SUBSTITUTE(SUBSTITUTE(TRIM(Raw_Data!D1063),"₹",""),",","")),"")</f>
        <v>1695</v>
      </c>
      <c r="F1063" s="12">
        <f>IFERROR(VALUE(SUBSTITUTE(Raw_Data!E1063,"%",""))/100,"")</f>
        <v>0.12</v>
      </c>
      <c r="G1063" s="13">
        <f>IFERROR(VALUE(Raw_Data!F1063),"")</f>
        <v>4.4000000000000004</v>
      </c>
      <c r="H1063" s="14">
        <f>IFERROR(VALUE(SUBSTITUTE(Raw_Data!G1063,",","")),"")</f>
        <v>3543</v>
      </c>
      <c r="I1063" s="11">
        <f t="shared" si="64"/>
        <v>205</v>
      </c>
      <c r="J1063" s="11">
        <f t="shared" si="65"/>
        <v>5279070</v>
      </c>
      <c r="K1063" s="1">
        <f t="shared" si="66"/>
        <v>3543.0001063</v>
      </c>
      <c r="L1063" s="15">
        <f t="shared" si="67"/>
        <v>0.1201063</v>
      </c>
    </row>
    <row r="1064" spans="1:12" ht="15" customHeight="1" x14ac:dyDescent="0.25">
      <c r="A1064" s="10" t="str">
        <f>Raw_Data!A1064</f>
        <v>Havells Cista Room Heater, White, 2000 Watts</v>
      </c>
      <c r="B1064" s="10" t="str">
        <f>IFERROR(TRIM(LEFT(Raw_Data!A1064,FIND(" ",Raw_Data!A1064)-1)),Raw_Data!A1064)</f>
        <v>Havells</v>
      </c>
      <c r="C1064" s="10" t="str">
        <f>IFERROR(LEFT(Raw_Data!B1064,FIND("|",Raw_Data!B1064)-1),Raw_Data!B1064)</f>
        <v>Home&amp;Kitchen</v>
      </c>
      <c r="D1064" s="11">
        <f>IFERROR(VALUE(SUBSTITUTE(SUBSTITUTE(TRIM(Raw_Data!C1064),"₹",""),",","")),"")</f>
        <v>2499</v>
      </c>
      <c r="E1064" s="11">
        <f>IFERROR(VALUE(SUBSTITUTE(SUBSTITUTE(TRIM(Raw_Data!D1064),"₹",""),",","")),"")</f>
        <v>3945</v>
      </c>
      <c r="F1064" s="12">
        <f>IFERROR(VALUE(SUBSTITUTE(Raw_Data!E1064,"%",""))/100,"")</f>
        <v>0.37</v>
      </c>
      <c r="G1064" s="13">
        <f>IFERROR(VALUE(Raw_Data!F1064),"")</f>
        <v>3.8</v>
      </c>
      <c r="H1064" s="14">
        <f>IFERROR(VALUE(SUBSTITUTE(Raw_Data!G1064,",","")),"")</f>
        <v>2732</v>
      </c>
      <c r="I1064" s="11">
        <f t="shared" si="64"/>
        <v>1446</v>
      </c>
      <c r="J1064" s="11">
        <f t="shared" si="65"/>
        <v>6827268</v>
      </c>
      <c r="K1064" s="1">
        <f t="shared" si="66"/>
        <v>2732.0001063999998</v>
      </c>
      <c r="L1064" s="15">
        <f t="shared" si="67"/>
        <v>0.3701064</v>
      </c>
    </row>
    <row r="1065" spans="1:12" ht="15" customHeight="1" x14ac:dyDescent="0.25">
      <c r="A1065" s="10" t="str">
        <f>Raw_Data!A1065</f>
        <v>AGARO Regal 800 Watts Handheld Vacuum Cleaner, Lightweight &amp; Durable Body, Small/Mini Size ( Black)</v>
      </c>
      <c r="B1065" s="10" t="str">
        <f>IFERROR(TRIM(LEFT(Raw_Data!A1065,FIND(" ",Raw_Data!A1065)-1)),Raw_Data!A1065)</f>
        <v>AGARO</v>
      </c>
      <c r="C1065" s="10" t="str">
        <f>IFERROR(LEFT(Raw_Data!B1065,FIND("|",Raw_Data!B1065)-1),Raw_Data!B1065)</f>
        <v>Home&amp;Kitchen</v>
      </c>
      <c r="D1065" s="11">
        <f>IFERROR(VALUE(SUBSTITUTE(SUBSTITUTE(TRIM(Raw_Data!C1065),"₹",""),",","")),"")</f>
        <v>1665</v>
      </c>
      <c r="E1065" s="11">
        <f>IFERROR(VALUE(SUBSTITUTE(SUBSTITUTE(TRIM(Raw_Data!D1065),"₹",""),",","")),"")</f>
        <v>2099</v>
      </c>
      <c r="F1065" s="12">
        <f>IFERROR(VALUE(SUBSTITUTE(Raw_Data!E1065,"%",""))/100,"")</f>
        <v>0.21</v>
      </c>
      <c r="G1065" s="13">
        <f>IFERROR(VALUE(Raw_Data!F1065),"")</f>
        <v>4</v>
      </c>
      <c r="H1065" s="14">
        <f>IFERROR(VALUE(SUBSTITUTE(Raw_Data!G1065,",","")),"")</f>
        <v>14368</v>
      </c>
      <c r="I1065" s="11">
        <f t="shared" si="64"/>
        <v>434</v>
      </c>
      <c r="J1065" s="11">
        <f t="shared" si="65"/>
        <v>23922720</v>
      </c>
      <c r="K1065" s="1">
        <f t="shared" si="66"/>
        <v>14368.0001065</v>
      </c>
      <c r="L1065" s="15">
        <f t="shared" si="67"/>
        <v>0.2101065</v>
      </c>
    </row>
    <row r="1066" spans="1:12" ht="15" customHeight="1" x14ac:dyDescent="0.25">
      <c r="A1066" s="10" t="str">
        <f>Raw_Data!A1066</f>
        <v>Philips Viva Collection HD4928/01 2100-Watt Induction Cooktop with Feather Touch Sensor and Crystal Glass Plate (Black)</v>
      </c>
      <c r="B1066" s="10" t="str">
        <f>IFERROR(TRIM(LEFT(Raw_Data!A1066,FIND(" ",Raw_Data!A1066)-1)),Raw_Data!A1066)</f>
        <v>Philips</v>
      </c>
      <c r="C1066" s="10" t="str">
        <f>IFERROR(LEFT(Raw_Data!B1066,FIND("|",Raw_Data!B1066)-1),Raw_Data!B1066)</f>
        <v>Home&amp;Kitchen</v>
      </c>
      <c r="D1066" s="11">
        <f>IFERROR(VALUE(SUBSTITUTE(SUBSTITUTE(TRIM(Raw_Data!C1066),"₹",""),",","")),"")</f>
        <v>3229</v>
      </c>
      <c r="E1066" s="11">
        <f>IFERROR(VALUE(SUBSTITUTE(SUBSTITUTE(TRIM(Raw_Data!D1066),"₹",""),",","")),"")</f>
        <v>5295</v>
      </c>
      <c r="F1066" s="12">
        <f>IFERROR(VALUE(SUBSTITUTE(Raw_Data!E1066,"%",""))/100,"")</f>
        <v>0.39</v>
      </c>
      <c r="G1066" s="13">
        <f>IFERROR(VALUE(Raw_Data!F1066),"")</f>
        <v>4.2</v>
      </c>
      <c r="H1066" s="14">
        <f>IFERROR(VALUE(SUBSTITUTE(Raw_Data!G1066,",","")),"")</f>
        <v>39724</v>
      </c>
      <c r="I1066" s="11">
        <f t="shared" si="64"/>
        <v>2066</v>
      </c>
      <c r="J1066" s="11">
        <f t="shared" si="65"/>
        <v>128268796</v>
      </c>
      <c r="K1066" s="1">
        <f t="shared" si="66"/>
        <v>39724.000106599997</v>
      </c>
      <c r="L1066" s="15">
        <f t="shared" si="67"/>
        <v>0.39010660000000003</v>
      </c>
    </row>
    <row r="1067" spans="1:12" ht="15" customHeight="1" x14ac:dyDescent="0.25">
      <c r="A1067" s="10" t="str">
        <f>Raw_Data!A1067</f>
        <v>Pigeon By Stovekraft ABS Plastic Acer Plus Induction Cooktop 1800 Watts With Feather Touch Control - Black</v>
      </c>
      <c r="B1067" s="10" t="str">
        <f>IFERROR(TRIM(LEFT(Raw_Data!A1067,FIND(" ",Raw_Data!A1067)-1)),Raw_Data!A1067)</f>
        <v>Pigeon</v>
      </c>
      <c r="C1067" s="10" t="str">
        <f>IFERROR(LEFT(Raw_Data!B1067,FIND("|",Raw_Data!B1067)-1),Raw_Data!B1067)</f>
        <v>Home&amp;Kitchen</v>
      </c>
      <c r="D1067" s="11">
        <f>IFERROR(VALUE(SUBSTITUTE(SUBSTITUTE(TRIM(Raw_Data!C1067),"₹",""),",","")),"")</f>
        <v>1799</v>
      </c>
      <c r="E1067" s="11">
        <f>IFERROR(VALUE(SUBSTITUTE(SUBSTITUTE(TRIM(Raw_Data!D1067),"₹",""),",","")),"")</f>
        <v>3595</v>
      </c>
      <c r="F1067" s="12">
        <f>IFERROR(VALUE(SUBSTITUTE(Raw_Data!E1067,"%",""))/100,"")</f>
        <v>0.5</v>
      </c>
      <c r="G1067" s="13">
        <f>IFERROR(VALUE(Raw_Data!F1067),"")</f>
        <v>3.8</v>
      </c>
      <c r="H1067" s="14">
        <f>IFERROR(VALUE(SUBSTITUTE(Raw_Data!G1067,",","")),"")</f>
        <v>9791</v>
      </c>
      <c r="I1067" s="11">
        <f t="shared" si="64"/>
        <v>1796</v>
      </c>
      <c r="J1067" s="11">
        <f t="shared" si="65"/>
        <v>17614009</v>
      </c>
      <c r="K1067" s="1">
        <f t="shared" si="66"/>
        <v>9791.0001066999994</v>
      </c>
      <c r="L1067" s="15">
        <f t="shared" si="67"/>
        <v>0.50010670000000002</v>
      </c>
    </row>
    <row r="1068" spans="1:12" ht="15" customHeight="1" x14ac:dyDescent="0.25">
      <c r="A1068" s="10" t="str">
        <f>Raw_Data!A1068</f>
        <v>AGARO Esteem Multi Kettle 1.2 Litre, 600W with 3 Heating Modes &amp; Rapid Boil Technology</v>
      </c>
      <c r="B1068" s="10" t="str">
        <f>IFERROR(TRIM(LEFT(Raw_Data!A1068,FIND(" ",Raw_Data!A1068)-1)),Raw_Data!A1068)</f>
        <v>AGARO</v>
      </c>
      <c r="C1068" s="10" t="str">
        <f>IFERROR(LEFT(Raw_Data!B1068,FIND("|",Raw_Data!B1068)-1),Raw_Data!B1068)</f>
        <v>Home&amp;Kitchen</v>
      </c>
      <c r="D1068" s="11">
        <f>IFERROR(VALUE(SUBSTITUTE(SUBSTITUTE(TRIM(Raw_Data!C1068),"₹",""),",","")),"")</f>
        <v>1260</v>
      </c>
      <c r="E1068" s="11">
        <f>IFERROR(VALUE(SUBSTITUTE(SUBSTITUTE(TRIM(Raw_Data!D1068),"₹",""),",","")),"")</f>
        <v>1699</v>
      </c>
      <c r="F1068" s="12">
        <f>IFERROR(VALUE(SUBSTITUTE(Raw_Data!E1068,"%",""))/100,"")</f>
        <v>0.26</v>
      </c>
      <c r="G1068" s="13">
        <f>IFERROR(VALUE(Raw_Data!F1068),"")</f>
        <v>4.2</v>
      </c>
      <c r="H1068" s="14">
        <f>IFERROR(VALUE(SUBSTITUTE(Raw_Data!G1068,",","")),"")</f>
        <v>2891</v>
      </c>
      <c r="I1068" s="11">
        <f t="shared" si="64"/>
        <v>439</v>
      </c>
      <c r="J1068" s="11">
        <f t="shared" si="65"/>
        <v>3642660</v>
      </c>
      <c r="K1068" s="1">
        <f t="shared" si="66"/>
        <v>2891.0001068000001</v>
      </c>
      <c r="L1068" s="15">
        <f t="shared" si="67"/>
        <v>0.26010680000000003</v>
      </c>
    </row>
    <row r="1069" spans="1:12" ht="15" customHeight="1" x14ac:dyDescent="0.25">
      <c r="A1069" s="10" t="str">
        <f>Raw_Data!A1069</f>
        <v>Bajaj Minor 1000 Watts Radiant Room Heater (Steel, ISI Approved)</v>
      </c>
      <c r="B1069" s="10" t="str">
        <f>IFERROR(TRIM(LEFT(Raw_Data!A1069,FIND(" ",Raw_Data!A1069)-1)),Raw_Data!A1069)</f>
        <v>Bajaj</v>
      </c>
      <c r="C1069" s="10" t="str">
        <f>IFERROR(LEFT(Raw_Data!B1069,FIND("|",Raw_Data!B1069)-1),Raw_Data!B1069)</f>
        <v>Home&amp;Kitchen</v>
      </c>
      <c r="D1069" s="11">
        <f>IFERROR(VALUE(SUBSTITUTE(SUBSTITUTE(TRIM(Raw_Data!C1069),"₹",""),",","")),"")</f>
        <v>749</v>
      </c>
      <c r="E1069" s="11">
        <f>IFERROR(VALUE(SUBSTITUTE(SUBSTITUTE(TRIM(Raw_Data!D1069),"₹",""),",","")),"")</f>
        <v>1129</v>
      </c>
      <c r="F1069" s="12">
        <f>IFERROR(VALUE(SUBSTITUTE(Raw_Data!E1069,"%",""))/100,"")</f>
        <v>0.34</v>
      </c>
      <c r="G1069" s="13">
        <f>IFERROR(VALUE(Raw_Data!F1069),"")</f>
        <v>4</v>
      </c>
      <c r="H1069" s="14">
        <f>IFERROR(VALUE(SUBSTITUTE(Raw_Data!G1069,",","")),"")</f>
        <v>2446</v>
      </c>
      <c r="I1069" s="11">
        <f t="shared" si="64"/>
        <v>380</v>
      </c>
      <c r="J1069" s="11">
        <f t="shared" si="65"/>
        <v>1832054</v>
      </c>
      <c r="K1069" s="1">
        <f t="shared" si="66"/>
        <v>2446.0001069</v>
      </c>
      <c r="L1069" s="15">
        <f t="shared" si="67"/>
        <v>0.34010690000000005</v>
      </c>
    </row>
    <row r="1070" spans="1:12" ht="15" customHeight="1" x14ac:dyDescent="0.25">
      <c r="A1070" s="10" t="str">
        <f>Raw_Data!A1070</f>
        <v>Butterfly Jet Elite Mixer Grinder, 750W, 4 Jars (Grey)</v>
      </c>
      <c r="B1070" s="10" t="str">
        <f>IFERROR(TRIM(LEFT(Raw_Data!A1070,FIND(" ",Raw_Data!A1070)-1)),Raw_Data!A1070)</f>
        <v>Butterfly</v>
      </c>
      <c r="C1070" s="10" t="str">
        <f>IFERROR(LEFT(Raw_Data!B1070,FIND("|",Raw_Data!B1070)-1),Raw_Data!B1070)</f>
        <v>Home&amp;Kitchen</v>
      </c>
      <c r="D1070" s="11">
        <f>IFERROR(VALUE(SUBSTITUTE(SUBSTITUTE(TRIM(Raw_Data!C1070),"₹",""),",","")),"")</f>
        <v>3499</v>
      </c>
      <c r="E1070" s="11">
        <f>IFERROR(VALUE(SUBSTITUTE(SUBSTITUTE(TRIM(Raw_Data!D1070),"₹",""),",","")),"")</f>
        <v>5795</v>
      </c>
      <c r="F1070" s="12">
        <f>IFERROR(VALUE(SUBSTITUTE(Raw_Data!E1070,"%",""))/100,"")</f>
        <v>0.4</v>
      </c>
      <c r="G1070" s="13">
        <f>IFERROR(VALUE(Raw_Data!F1070),"")</f>
        <v>3.9</v>
      </c>
      <c r="H1070" s="14">
        <f>IFERROR(VALUE(SUBSTITUTE(Raw_Data!G1070,",","")),"")</f>
        <v>25340</v>
      </c>
      <c r="I1070" s="11">
        <f t="shared" si="64"/>
        <v>2296</v>
      </c>
      <c r="J1070" s="11">
        <f t="shared" si="65"/>
        <v>88664660</v>
      </c>
      <c r="K1070" s="1">
        <f t="shared" si="66"/>
        <v>25340.000107</v>
      </c>
      <c r="L1070" s="15">
        <f t="shared" si="67"/>
        <v>0.40010700000000005</v>
      </c>
    </row>
    <row r="1071" spans="1:12" ht="15" customHeight="1" x14ac:dyDescent="0.25">
      <c r="A1071" s="10" t="str">
        <f>Raw_Data!A1071</f>
        <v>SOFLIN Egg Boiler Electric Automatic Off 7 Egg Poacher for Steaming, Cooking, Boiling and Frying (400 Watts, Blue)</v>
      </c>
      <c r="B1071" s="10" t="str">
        <f>IFERROR(TRIM(LEFT(Raw_Data!A1071,FIND(" ",Raw_Data!A1071)-1)),Raw_Data!A1071)</f>
        <v>SOFLIN</v>
      </c>
      <c r="C1071" s="10" t="str">
        <f>IFERROR(LEFT(Raw_Data!B1071,FIND("|",Raw_Data!B1071)-1),Raw_Data!B1071)</f>
        <v>Home&amp;Kitchen</v>
      </c>
      <c r="D1071" s="11">
        <f>IFERROR(VALUE(SUBSTITUTE(SUBSTITUTE(TRIM(Raw_Data!C1071),"₹",""),",","")),"")</f>
        <v>379</v>
      </c>
      <c r="E1071" s="11">
        <f>IFERROR(VALUE(SUBSTITUTE(SUBSTITUTE(TRIM(Raw_Data!D1071),"₹",""),",","")),"")</f>
        <v>999</v>
      </c>
      <c r="F1071" s="12">
        <f>IFERROR(VALUE(SUBSTITUTE(Raw_Data!E1071,"%",""))/100,"")</f>
        <v>0.62</v>
      </c>
      <c r="G1071" s="13">
        <f>IFERROR(VALUE(Raw_Data!F1071),"")</f>
        <v>4.3</v>
      </c>
      <c r="H1071" s="14">
        <f>IFERROR(VALUE(SUBSTITUTE(Raw_Data!G1071,",","")),"")</f>
        <v>3096</v>
      </c>
      <c r="I1071" s="11">
        <f t="shared" si="64"/>
        <v>620</v>
      </c>
      <c r="J1071" s="11">
        <f t="shared" si="65"/>
        <v>1173384</v>
      </c>
      <c r="K1071" s="1">
        <f t="shared" si="66"/>
        <v>3096.0001071000002</v>
      </c>
      <c r="L1071" s="15">
        <f t="shared" si="67"/>
        <v>0.62010710000000002</v>
      </c>
    </row>
    <row r="1072" spans="1:12" ht="15" customHeight="1" x14ac:dyDescent="0.25">
      <c r="A1072" s="10" t="str">
        <f>Raw_Data!A1072</f>
        <v>Lifelong LLQH925 Dyno Quartz Heater 2 Power settings Tip Over Cut-off Switch 800 Watt Silent operation Power Indicator 2 Rod Room Heater (1 Year Warranty, Grey)</v>
      </c>
      <c r="B1072" s="10" t="str">
        <f>IFERROR(TRIM(LEFT(Raw_Data!A1072,FIND(" ",Raw_Data!A1072)-1)),Raw_Data!A1072)</f>
        <v>Lifelong</v>
      </c>
      <c r="C1072" s="10" t="str">
        <f>IFERROR(LEFT(Raw_Data!B1072,FIND("|",Raw_Data!B1072)-1),Raw_Data!B1072)</f>
        <v>Home&amp;Kitchen</v>
      </c>
      <c r="D1072" s="11">
        <f>IFERROR(VALUE(SUBSTITUTE(SUBSTITUTE(TRIM(Raw_Data!C1072),"₹",""),",","")),"")</f>
        <v>1099</v>
      </c>
      <c r="E1072" s="11">
        <f>IFERROR(VALUE(SUBSTITUTE(SUBSTITUTE(TRIM(Raw_Data!D1072),"₹",""),",","")),"")</f>
        <v>2400</v>
      </c>
      <c r="F1072" s="12">
        <f>IFERROR(VALUE(SUBSTITUTE(Raw_Data!E1072,"%",""))/100,"")</f>
        <v>0.54</v>
      </c>
      <c r="G1072" s="13">
        <f>IFERROR(VALUE(Raw_Data!F1072),"")</f>
        <v>3.8</v>
      </c>
      <c r="H1072" s="14">
        <f>IFERROR(VALUE(SUBSTITUTE(Raw_Data!G1072,",","")),"")</f>
        <v>4</v>
      </c>
      <c r="I1072" s="11">
        <f t="shared" si="64"/>
        <v>1301</v>
      </c>
      <c r="J1072" s="11">
        <f t="shared" si="65"/>
        <v>4396</v>
      </c>
      <c r="K1072" s="1">
        <f t="shared" si="66"/>
        <v>4.0001072000000004</v>
      </c>
      <c r="L1072" s="15">
        <f t="shared" si="67"/>
        <v>0.54010720000000001</v>
      </c>
    </row>
    <row r="1073" spans="1:12" ht="15" customHeight="1" x14ac:dyDescent="0.25">
      <c r="A1073" s="10" t="str">
        <f>Raw_Data!A1073</f>
        <v>Amazon Basics 1500 W Electric Kettle (Stainless Steel Body, 1.5 L)</v>
      </c>
      <c r="B1073" s="10" t="str">
        <f>IFERROR(TRIM(LEFT(Raw_Data!A1073,FIND(" ",Raw_Data!A1073)-1)),Raw_Data!A1073)</f>
        <v>Amazon</v>
      </c>
      <c r="C1073" s="10" t="str">
        <f>IFERROR(LEFT(Raw_Data!B1073,FIND("|",Raw_Data!B1073)-1),Raw_Data!B1073)</f>
        <v>Home&amp;Kitchen</v>
      </c>
      <c r="D1073" s="11">
        <f>IFERROR(VALUE(SUBSTITUTE(SUBSTITUTE(TRIM(Raw_Data!C1073),"₹",""),",","")),"")</f>
        <v>749</v>
      </c>
      <c r="E1073" s="11">
        <f>IFERROR(VALUE(SUBSTITUTE(SUBSTITUTE(TRIM(Raw_Data!D1073),"₹",""),",","")),"")</f>
        <v>1299</v>
      </c>
      <c r="F1073" s="12">
        <f>IFERROR(VALUE(SUBSTITUTE(Raw_Data!E1073,"%",""))/100,"")</f>
        <v>0.42</v>
      </c>
      <c r="G1073" s="13">
        <f>IFERROR(VALUE(Raw_Data!F1073),"")</f>
        <v>4</v>
      </c>
      <c r="H1073" s="14">
        <f>IFERROR(VALUE(SUBSTITUTE(Raw_Data!G1073,",","")),"")</f>
        <v>119</v>
      </c>
      <c r="I1073" s="11">
        <f t="shared" si="64"/>
        <v>550</v>
      </c>
      <c r="J1073" s="11">
        <f t="shared" si="65"/>
        <v>89131</v>
      </c>
      <c r="K1073" s="1">
        <f t="shared" si="66"/>
        <v>119.0001073</v>
      </c>
      <c r="L1073" s="15">
        <f t="shared" si="67"/>
        <v>0.42010729999999996</v>
      </c>
    </row>
    <row r="1074" spans="1:12" ht="15" customHeight="1" x14ac:dyDescent="0.25">
      <c r="A1074" s="10" t="str">
        <f>Raw_Data!A1074</f>
        <v>Prestige Sandwich Maker PGMFD 01, Black</v>
      </c>
      <c r="B1074" s="10" t="str">
        <f>IFERROR(TRIM(LEFT(Raw_Data!A1074,FIND(" ",Raw_Data!A1074)-1)),Raw_Data!A1074)</f>
        <v>Prestige</v>
      </c>
      <c r="C1074" s="10" t="str">
        <f>IFERROR(LEFT(Raw_Data!B1074,FIND("|",Raw_Data!B1074)-1),Raw_Data!B1074)</f>
        <v>Home&amp;Kitchen</v>
      </c>
      <c r="D1074" s="11">
        <f>IFERROR(VALUE(SUBSTITUTE(SUBSTITUTE(TRIM(Raw_Data!C1074),"₹",""),",","")),"")</f>
        <v>1299</v>
      </c>
      <c r="E1074" s="11">
        <f>IFERROR(VALUE(SUBSTITUTE(SUBSTITUTE(TRIM(Raw_Data!D1074),"₹",""),",","")),"")</f>
        <v>1299</v>
      </c>
      <c r="F1074" s="12">
        <f>IFERROR(VALUE(SUBSTITUTE(Raw_Data!E1074,"%",""))/100,"")</f>
        <v>0</v>
      </c>
      <c r="G1074" s="13">
        <f>IFERROR(VALUE(Raw_Data!F1074),"")</f>
        <v>4.2</v>
      </c>
      <c r="H1074" s="14">
        <f>IFERROR(VALUE(SUBSTITUTE(Raw_Data!G1074,",","")),"")</f>
        <v>40106</v>
      </c>
      <c r="I1074" s="11">
        <f t="shared" si="64"/>
        <v>0</v>
      </c>
      <c r="J1074" s="11">
        <f t="shared" si="65"/>
        <v>52097694</v>
      </c>
      <c r="K1074" s="1">
        <f t="shared" si="66"/>
        <v>40106.000107400003</v>
      </c>
      <c r="L1074" s="15">
        <f t="shared" si="67"/>
        <v>1.0739999999999999E-4</v>
      </c>
    </row>
    <row r="1075" spans="1:12" ht="15" customHeight="1" x14ac:dyDescent="0.25">
      <c r="A1075" s="10" t="str">
        <f>Raw_Data!A1075</f>
        <v>Orient Electric Fabrijoy DIFJ10BP 1000-Watt Dry Iron, Non-Stick (White and Blue)</v>
      </c>
      <c r="B1075" s="10" t="str">
        <f>IFERROR(TRIM(LEFT(Raw_Data!A1075,FIND(" ",Raw_Data!A1075)-1)),Raw_Data!A1075)</f>
        <v>Orient</v>
      </c>
      <c r="C1075" s="10" t="str">
        <f>IFERROR(LEFT(Raw_Data!B1075,FIND("|",Raw_Data!B1075)-1),Raw_Data!B1075)</f>
        <v>Home&amp;Kitchen</v>
      </c>
      <c r="D1075" s="11">
        <f>IFERROR(VALUE(SUBSTITUTE(SUBSTITUTE(TRIM(Raw_Data!C1075),"₹",""),",","")),"")</f>
        <v>549</v>
      </c>
      <c r="E1075" s="11">
        <f>IFERROR(VALUE(SUBSTITUTE(SUBSTITUTE(TRIM(Raw_Data!D1075),"₹",""),",","")),"")</f>
        <v>1090</v>
      </c>
      <c r="F1075" s="12">
        <f>IFERROR(VALUE(SUBSTITUTE(Raw_Data!E1075,"%",""))/100,"")</f>
        <v>0.5</v>
      </c>
      <c r="G1075" s="13">
        <f>IFERROR(VALUE(Raw_Data!F1075),"")</f>
        <v>4.2</v>
      </c>
      <c r="H1075" s="14">
        <f>IFERROR(VALUE(SUBSTITUTE(Raw_Data!G1075,",","")),"")</f>
        <v>13029</v>
      </c>
      <c r="I1075" s="11">
        <f t="shared" si="64"/>
        <v>541</v>
      </c>
      <c r="J1075" s="11">
        <f t="shared" si="65"/>
        <v>7152921</v>
      </c>
      <c r="K1075" s="1">
        <f t="shared" si="66"/>
        <v>13029.0001075</v>
      </c>
      <c r="L1075" s="15">
        <f t="shared" si="67"/>
        <v>0.50010750000000004</v>
      </c>
    </row>
    <row r="1076" spans="1:12" ht="15" customHeight="1" x14ac:dyDescent="0.25">
      <c r="A1076" s="10" t="str">
        <f>Raw_Data!A1076</f>
        <v>Lifelong LLFH921 Regalia 2000 W Fan Heater, 3 Air Settings, Room Heater with Overheating Protection, 1 Year Warranty ( White, (ISI Certified, Ideal for small to medium room/area)</v>
      </c>
      <c r="B1076" s="10" t="str">
        <f>IFERROR(TRIM(LEFT(Raw_Data!A1076,FIND(" ",Raw_Data!A1076)-1)),Raw_Data!A1076)</f>
        <v>Lifelong</v>
      </c>
      <c r="C1076" s="10" t="str">
        <f>IFERROR(LEFT(Raw_Data!B1076,FIND("|",Raw_Data!B1076)-1),Raw_Data!B1076)</f>
        <v>Home&amp;Kitchen</v>
      </c>
      <c r="D1076" s="11">
        <f>IFERROR(VALUE(SUBSTITUTE(SUBSTITUTE(TRIM(Raw_Data!C1076),"₹",""),",","")),"")</f>
        <v>899</v>
      </c>
      <c r="E1076" s="11">
        <f>IFERROR(VALUE(SUBSTITUTE(SUBSTITUTE(TRIM(Raw_Data!D1076),"₹",""),",","")),"")</f>
        <v>2000</v>
      </c>
      <c r="F1076" s="12">
        <f>IFERROR(VALUE(SUBSTITUTE(Raw_Data!E1076,"%",""))/100,"")</f>
        <v>0.55000000000000004</v>
      </c>
      <c r="G1076" s="13">
        <f>IFERROR(VALUE(Raw_Data!F1076),"")</f>
        <v>3.6</v>
      </c>
      <c r="H1076" s="14">
        <f>IFERROR(VALUE(SUBSTITUTE(Raw_Data!G1076,",","")),"")</f>
        <v>291</v>
      </c>
      <c r="I1076" s="11">
        <f t="shared" si="64"/>
        <v>1101</v>
      </c>
      <c r="J1076" s="11">
        <f t="shared" si="65"/>
        <v>261609</v>
      </c>
      <c r="K1076" s="1">
        <f t="shared" si="66"/>
        <v>291.00010759999998</v>
      </c>
      <c r="L1076" s="15">
        <f t="shared" si="67"/>
        <v>0.55010760000000003</v>
      </c>
    </row>
    <row r="1077" spans="1:12" ht="15" customHeight="1" x14ac:dyDescent="0.25">
      <c r="A1077" s="10" t="str">
        <f>Raw_Data!A1077</f>
        <v>Philips GC181 Heavy Weight 1000-Watt Dry Iron, Pack of 1</v>
      </c>
      <c r="B1077" s="10" t="str">
        <f>IFERROR(TRIM(LEFT(Raw_Data!A1077,FIND(" ",Raw_Data!A1077)-1)),Raw_Data!A1077)</f>
        <v>Philips</v>
      </c>
      <c r="C1077" s="10" t="str">
        <f>IFERROR(LEFT(Raw_Data!B1077,FIND("|",Raw_Data!B1077)-1),Raw_Data!B1077)</f>
        <v>Home&amp;Kitchen</v>
      </c>
      <c r="D1077" s="11">
        <f>IFERROR(VALUE(SUBSTITUTE(SUBSTITUTE(TRIM(Raw_Data!C1077),"₹",""),",","")),"")</f>
        <v>1321</v>
      </c>
      <c r="E1077" s="11">
        <f>IFERROR(VALUE(SUBSTITUTE(SUBSTITUTE(TRIM(Raw_Data!D1077),"₹",""),",","")),"")</f>
        <v>1545</v>
      </c>
      <c r="F1077" s="12">
        <f>IFERROR(VALUE(SUBSTITUTE(Raw_Data!E1077,"%",""))/100,"")</f>
        <v>0.14000000000000001</v>
      </c>
      <c r="G1077" s="13">
        <f>IFERROR(VALUE(Raw_Data!F1077),"")</f>
        <v>4.3</v>
      </c>
      <c r="H1077" s="14">
        <f>IFERROR(VALUE(SUBSTITUTE(Raw_Data!G1077,",","")),"")</f>
        <v>15453</v>
      </c>
      <c r="I1077" s="11">
        <f t="shared" si="64"/>
        <v>224</v>
      </c>
      <c r="J1077" s="11">
        <f t="shared" si="65"/>
        <v>20413413</v>
      </c>
      <c r="K1077" s="1">
        <f t="shared" si="66"/>
        <v>15453.0001077</v>
      </c>
      <c r="L1077" s="15">
        <f t="shared" si="67"/>
        <v>0.1401077</v>
      </c>
    </row>
    <row r="1078" spans="1:12" ht="15" customHeight="1" x14ac:dyDescent="0.25">
      <c r="A1078" s="10" t="str">
        <f>Raw_Data!A1078</f>
        <v>Bulfyss USB Rechargeable Lint Remover Fabric Shaver Pet Hair Remover, Effectively and Quickly Remove Fuzz for Clothes, Sweater, Couch, Sofa, Blanket, Curtain, Wool, Cashmere (Grey, 1 Year Warranty)</v>
      </c>
      <c r="B1078" s="10" t="str">
        <f>IFERROR(TRIM(LEFT(Raw_Data!A1078,FIND(" ",Raw_Data!A1078)-1)),Raw_Data!A1078)</f>
        <v>Bulfyss</v>
      </c>
      <c r="C1078" s="10" t="str">
        <f>IFERROR(LEFT(Raw_Data!B1078,FIND("|",Raw_Data!B1078)-1),Raw_Data!B1078)</f>
        <v>Home&amp;Kitchen</v>
      </c>
      <c r="D1078" s="11">
        <f>IFERROR(VALUE(SUBSTITUTE(SUBSTITUTE(TRIM(Raw_Data!C1078),"₹",""),",","")),"")</f>
        <v>1099</v>
      </c>
      <c r="E1078" s="11">
        <f>IFERROR(VALUE(SUBSTITUTE(SUBSTITUTE(TRIM(Raw_Data!D1078),"₹",""),",","")),"")</f>
        <v>1999</v>
      </c>
      <c r="F1078" s="12">
        <f>IFERROR(VALUE(SUBSTITUTE(Raw_Data!E1078,"%",""))/100,"")</f>
        <v>0.45</v>
      </c>
      <c r="G1078" s="13">
        <f>IFERROR(VALUE(Raw_Data!F1078),"")</f>
        <v>4</v>
      </c>
      <c r="H1078" s="14">
        <f>IFERROR(VALUE(SUBSTITUTE(Raw_Data!G1078,",","")),"")</f>
        <v>604</v>
      </c>
      <c r="I1078" s="11">
        <f t="shared" si="64"/>
        <v>900</v>
      </c>
      <c r="J1078" s="11">
        <f t="shared" si="65"/>
        <v>663796</v>
      </c>
      <c r="K1078" s="1">
        <f t="shared" si="66"/>
        <v>604.00010780000002</v>
      </c>
      <c r="L1078" s="15">
        <f t="shared" si="67"/>
        <v>0.4501078</v>
      </c>
    </row>
    <row r="1079" spans="1:12" ht="15" customHeight="1" x14ac:dyDescent="0.25">
      <c r="A1079" s="10" t="str">
        <f>Raw_Data!A1079</f>
        <v>Bajaj DX-7 1000W Dry Iron with Advance Soleplate and Anti-bacterial German Coating Technology, White</v>
      </c>
      <c r="B1079" s="10" t="str">
        <f>IFERROR(TRIM(LEFT(Raw_Data!A1079,FIND(" ",Raw_Data!A1079)-1)),Raw_Data!A1079)</f>
        <v>Bajaj</v>
      </c>
      <c r="C1079" s="10" t="str">
        <f>IFERROR(LEFT(Raw_Data!B1079,FIND("|",Raw_Data!B1079)-1),Raw_Data!B1079)</f>
        <v>Home&amp;Kitchen</v>
      </c>
      <c r="D1079" s="11">
        <f>IFERROR(VALUE(SUBSTITUTE(SUBSTITUTE(TRIM(Raw_Data!C1079),"₹",""),",","")),"")</f>
        <v>775</v>
      </c>
      <c r="E1079" s="11">
        <f>IFERROR(VALUE(SUBSTITUTE(SUBSTITUTE(TRIM(Raw_Data!D1079),"₹",""),",","")),"")</f>
        <v>875</v>
      </c>
      <c r="F1079" s="12">
        <f>IFERROR(VALUE(SUBSTITUTE(Raw_Data!E1079,"%",""))/100,"")</f>
        <v>0.11</v>
      </c>
      <c r="G1079" s="13">
        <f>IFERROR(VALUE(Raw_Data!F1079),"")</f>
        <v>4.2</v>
      </c>
      <c r="H1079" s="14">
        <f>IFERROR(VALUE(SUBSTITUTE(Raw_Data!G1079,",","")),"")</f>
        <v>46647</v>
      </c>
      <c r="I1079" s="11">
        <f t="shared" si="64"/>
        <v>100</v>
      </c>
      <c r="J1079" s="11">
        <f t="shared" si="65"/>
        <v>36151425</v>
      </c>
      <c r="K1079" s="1">
        <f t="shared" si="66"/>
        <v>46647.000107899999</v>
      </c>
      <c r="L1079" s="15">
        <f t="shared" si="67"/>
        <v>0.11010789999999999</v>
      </c>
    </row>
    <row r="1080" spans="1:12" ht="15" customHeight="1" x14ac:dyDescent="0.25">
      <c r="A1080" s="10" t="str">
        <f>Raw_Data!A1080</f>
        <v>Bajaj New Shakti Neo 25L Vertical Storage Water Heater (Geyser 25 Litres) 4 Star BEE Rated Heater For Water Heating with Titanium Armour, Swirl Flow Technology, Glasslined Tank(White), 1 Yr Warranty</v>
      </c>
      <c r="B1080" s="10" t="str">
        <f>IFERROR(TRIM(LEFT(Raw_Data!A1080,FIND(" ",Raw_Data!A1080)-1)),Raw_Data!A1080)</f>
        <v>Bajaj</v>
      </c>
      <c r="C1080" s="10" t="str">
        <f>IFERROR(LEFT(Raw_Data!B1080,FIND("|",Raw_Data!B1080)-1),Raw_Data!B1080)</f>
        <v>Home&amp;Kitchen</v>
      </c>
      <c r="D1080" s="11">
        <f>IFERROR(VALUE(SUBSTITUTE(SUBSTITUTE(TRIM(Raw_Data!C1080),"₹",""),",","")),"")</f>
        <v>6299</v>
      </c>
      <c r="E1080" s="11">
        <f>IFERROR(VALUE(SUBSTITUTE(SUBSTITUTE(TRIM(Raw_Data!D1080),"₹",""),",","")),"")</f>
        <v>15270</v>
      </c>
      <c r="F1080" s="12">
        <f>IFERROR(VALUE(SUBSTITUTE(Raw_Data!E1080,"%",""))/100,"")</f>
        <v>0.59</v>
      </c>
      <c r="G1080" s="13">
        <f>IFERROR(VALUE(Raw_Data!F1080),"")</f>
        <v>4.0999999999999996</v>
      </c>
      <c r="H1080" s="14">
        <f>IFERROR(VALUE(SUBSTITUTE(Raw_Data!G1080,",","")),"")</f>
        <v>3233</v>
      </c>
      <c r="I1080" s="11">
        <f t="shared" si="64"/>
        <v>8971</v>
      </c>
      <c r="J1080" s="11">
        <f t="shared" si="65"/>
        <v>20364667</v>
      </c>
      <c r="K1080" s="1">
        <f t="shared" si="66"/>
        <v>3233.0001080000002</v>
      </c>
      <c r="L1080" s="15">
        <f t="shared" si="67"/>
        <v>0.59010799999999997</v>
      </c>
    </row>
    <row r="1081" spans="1:12" ht="15" customHeight="1" x14ac:dyDescent="0.25">
      <c r="A1081" s="10" t="str">
        <f>Raw_Data!A1081</f>
        <v>PHILIPS Handheld Garment Steamer STH3000/20 - Compact &amp; Foldable, Convenient Vertical Steaming, 1000 Watt Quick Heat Up, up to 20g/min, Kills 99.9%* Bacteria (Reno Blue), Small</v>
      </c>
      <c r="B1081" s="10" t="str">
        <f>IFERROR(TRIM(LEFT(Raw_Data!A1081,FIND(" ",Raw_Data!A1081)-1)),Raw_Data!A1081)</f>
        <v>PHILIPS</v>
      </c>
      <c r="C1081" s="10" t="str">
        <f>IFERROR(LEFT(Raw_Data!B1081,FIND("|",Raw_Data!B1081)-1),Raw_Data!B1081)</f>
        <v>Home&amp;Kitchen</v>
      </c>
      <c r="D1081" s="11">
        <f>IFERROR(VALUE(SUBSTITUTE(SUBSTITUTE(TRIM(Raw_Data!C1081),"₹",""),",","")),"")</f>
        <v>3190</v>
      </c>
      <c r="E1081" s="11">
        <f>IFERROR(VALUE(SUBSTITUTE(SUBSTITUTE(TRIM(Raw_Data!D1081),"₹",""),",","")),"")</f>
        <v>4195</v>
      </c>
      <c r="F1081" s="12">
        <f>IFERROR(VALUE(SUBSTITUTE(Raw_Data!E1081,"%",""))/100,"")</f>
        <v>0.24</v>
      </c>
      <c r="G1081" s="13">
        <f>IFERROR(VALUE(Raw_Data!F1081),"")</f>
        <v>4</v>
      </c>
      <c r="H1081" s="14">
        <f>IFERROR(VALUE(SUBSTITUTE(Raw_Data!G1081,",","")),"")</f>
        <v>1282</v>
      </c>
      <c r="I1081" s="11">
        <f t="shared" si="64"/>
        <v>1005</v>
      </c>
      <c r="J1081" s="11">
        <f t="shared" si="65"/>
        <v>4089580</v>
      </c>
      <c r="K1081" s="1">
        <f t="shared" si="66"/>
        <v>1282.0001081</v>
      </c>
      <c r="L1081" s="15">
        <f t="shared" si="67"/>
        <v>0.24010809999999999</v>
      </c>
    </row>
    <row r="1082" spans="1:12" ht="15" customHeight="1" x14ac:dyDescent="0.25">
      <c r="A1082" s="10" t="str">
        <f>Raw_Data!A1082</f>
        <v>Room Heater Warmer Wall-Outlet 400 Watts Electric Handy Room Heater (Room Heaters Home for Bedroom, Reading Books, Work, bathrooms, Rooms, Offices, Home Offices,2022</v>
      </c>
      <c r="B1082" s="10" t="str">
        <f>IFERROR(TRIM(LEFT(Raw_Data!A1082,FIND(" ",Raw_Data!A1082)-1)),Raw_Data!A1082)</f>
        <v>Room</v>
      </c>
      <c r="C1082" s="10" t="str">
        <f>IFERROR(LEFT(Raw_Data!B1082,FIND("|",Raw_Data!B1082)-1),Raw_Data!B1082)</f>
        <v>Home&amp;Kitchen</v>
      </c>
      <c r="D1082" s="11">
        <f>IFERROR(VALUE(SUBSTITUTE(SUBSTITUTE(TRIM(Raw_Data!C1082),"₹",""),",","")),"")</f>
        <v>799</v>
      </c>
      <c r="E1082" s="11">
        <f>IFERROR(VALUE(SUBSTITUTE(SUBSTITUTE(TRIM(Raw_Data!D1082),"₹",""),",","")),"")</f>
        <v>1989</v>
      </c>
      <c r="F1082" s="12">
        <f>IFERROR(VALUE(SUBSTITUTE(Raw_Data!E1082,"%",""))/100,"")</f>
        <v>0.6</v>
      </c>
      <c r="G1082" s="13">
        <f>IFERROR(VALUE(Raw_Data!F1082),"")</f>
        <v>4.3</v>
      </c>
      <c r="H1082" s="14">
        <f>IFERROR(VALUE(SUBSTITUTE(Raw_Data!G1082,",","")),"")</f>
        <v>70</v>
      </c>
      <c r="I1082" s="11">
        <f t="shared" si="64"/>
        <v>1190</v>
      </c>
      <c r="J1082" s="11">
        <f t="shared" si="65"/>
        <v>55930</v>
      </c>
      <c r="K1082" s="1">
        <f t="shared" si="66"/>
        <v>70.0001082</v>
      </c>
      <c r="L1082" s="15">
        <f t="shared" si="67"/>
        <v>0.60010819999999998</v>
      </c>
    </row>
    <row r="1083" spans="1:12" ht="15" customHeight="1" x14ac:dyDescent="0.25">
      <c r="A1083" s="10" t="str">
        <f>Raw_Data!A1083</f>
        <v>Wonderchef Nutri-blend Mixer, Grinder &amp; Blender | Powerful 400W 22000 RPM motor | Stainless steel Blades | 2 unbreakable jars | 2 Years warranty | Online recipe book by Chef Sanjeev Kapoor | Black</v>
      </c>
      <c r="B1083" s="10" t="str">
        <f>IFERROR(TRIM(LEFT(Raw_Data!A1083,FIND(" ",Raw_Data!A1083)-1)),Raw_Data!A1083)</f>
        <v>Wonderchef</v>
      </c>
      <c r="C1083" s="10" t="str">
        <f>IFERROR(LEFT(Raw_Data!B1083,FIND("|",Raw_Data!B1083)-1),Raw_Data!B1083)</f>
        <v>Home&amp;Kitchen</v>
      </c>
      <c r="D1083" s="11">
        <f>IFERROR(VALUE(SUBSTITUTE(SUBSTITUTE(TRIM(Raw_Data!C1083),"₹",""),",","")),"")</f>
        <v>2699</v>
      </c>
      <c r="E1083" s="11">
        <f>IFERROR(VALUE(SUBSTITUTE(SUBSTITUTE(TRIM(Raw_Data!D1083),"₹",""),",","")),"")</f>
        <v>5000</v>
      </c>
      <c r="F1083" s="12">
        <f>IFERROR(VALUE(SUBSTITUTE(Raw_Data!E1083,"%",""))/100,"")</f>
        <v>0.46</v>
      </c>
      <c r="G1083" s="13">
        <f>IFERROR(VALUE(Raw_Data!F1083),"")</f>
        <v>4</v>
      </c>
      <c r="H1083" s="14">
        <f>IFERROR(VALUE(SUBSTITUTE(Raw_Data!G1083,",","")),"")</f>
        <v>26164</v>
      </c>
      <c r="I1083" s="11">
        <f t="shared" si="64"/>
        <v>2301</v>
      </c>
      <c r="J1083" s="11">
        <f t="shared" si="65"/>
        <v>70616636</v>
      </c>
      <c r="K1083" s="1">
        <f t="shared" si="66"/>
        <v>26164.000108299999</v>
      </c>
      <c r="L1083" s="15">
        <f t="shared" si="67"/>
        <v>0.46010830000000003</v>
      </c>
    </row>
    <row r="1084" spans="1:12" ht="15" customHeight="1" x14ac:dyDescent="0.25">
      <c r="A1084" s="10" t="str">
        <f>Raw_Data!A1084</f>
        <v>USHA Armor AR1100WB 1100 W Dry Iron with Black Weilburger Soleplate (Purple)</v>
      </c>
      <c r="B1084" s="10" t="str">
        <f>IFERROR(TRIM(LEFT(Raw_Data!A1084,FIND(" ",Raw_Data!A1084)-1)),Raw_Data!A1084)</f>
        <v>USHA</v>
      </c>
      <c r="C1084" s="10" t="str">
        <f>IFERROR(LEFT(Raw_Data!B1084,FIND("|",Raw_Data!B1084)-1),Raw_Data!B1084)</f>
        <v>Home&amp;Kitchen</v>
      </c>
      <c r="D1084" s="11">
        <f>IFERROR(VALUE(SUBSTITUTE(SUBSTITUTE(TRIM(Raw_Data!C1084),"₹",""),",","")),"")</f>
        <v>599</v>
      </c>
      <c r="E1084" s="11">
        <f>IFERROR(VALUE(SUBSTITUTE(SUBSTITUTE(TRIM(Raw_Data!D1084),"₹",""),",","")),"")</f>
        <v>990</v>
      </c>
      <c r="F1084" s="12">
        <f>IFERROR(VALUE(SUBSTITUTE(Raw_Data!E1084,"%",""))/100,"")</f>
        <v>0.39</v>
      </c>
      <c r="G1084" s="13">
        <f>IFERROR(VALUE(Raw_Data!F1084),"")</f>
        <v>3.9</v>
      </c>
      <c r="H1084" s="14">
        <f>IFERROR(VALUE(SUBSTITUTE(Raw_Data!G1084,",","")),"")</f>
        <v>16166</v>
      </c>
      <c r="I1084" s="11">
        <f t="shared" si="64"/>
        <v>391</v>
      </c>
      <c r="J1084" s="11">
        <f t="shared" si="65"/>
        <v>9683434</v>
      </c>
      <c r="K1084" s="1">
        <f t="shared" si="66"/>
        <v>16166.0001084</v>
      </c>
      <c r="L1084" s="15">
        <f t="shared" si="67"/>
        <v>0.39010840000000002</v>
      </c>
    </row>
    <row r="1085" spans="1:12" ht="15" customHeight="1" x14ac:dyDescent="0.25">
      <c r="A1085" s="10" t="str">
        <f>Raw_Data!A1085</f>
        <v>Butterfly EKN 1.5-Litre Electric Kettle (Silver with Black)</v>
      </c>
      <c r="B1085" s="10" t="str">
        <f>IFERROR(TRIM(LEFT(Raw_Data!A1085,FIND(" ",Raw_Data!A1085)-1)),Raw_Data!A1085)</f>
        <v>Butterfly</v>
      </c>
      <c r="C1085" s="10" t="str">
        <f>IFERROR(LEFT(Raw_Data!B1085,FIND("|",Raw_Data!B1085)-1),Raw_Data!B1085)</f>
        <v>Home&amp;Kitchen</v>
      </c>
      <c r="D1085" s="11">
        <f>IFERROR(VALUE(SUBSTITUTE(SUBSTITUTE(TRIM(Raw_Data!C1085),"₹",""),",","")),"")</f>
        <v>749</v>
      </c>
      <c r="E1085" s="11">
        <f>IFERROR(VALUE(SUBSTITUTE(SUBSTITUTE(TRIM(Raw_Data!D1085),"₹",""),",","")),"")</f>
        <v>1111</v>
      </c>
      <c r="F1085" s="12">
        <f>IFERROR(VALUE(SUBSTITUTE(Raw_Data!E1085,"%",""))/100,"")</f>
        <v>0.33</v>
      </c>
      <c r="G1085" s="13">
        <f>IFERROR(VALUE(Raw_Data!F1085),"")</f>
        <v>4.2</v>
      </c>
      <c r="H1085" s="14">
        <f>IFERROR(VALUE(SUBSTITUTE(Raw_Data!G1085,",","")),"")</f>
        <v>35693</v>
      </c>
      <c r="I1085" s="11">
        <f t="shared" si="64"/>
        <v>362</v>
      </c>
      <c r="J1085" s="11">
        <f t="shared" si="65"/>
        <v>26734057</v>
      </c>
      <c r="K1085" s="1">
        <f t="shared" si="66"/>
        <v>35693.000108499997</v>
      </c>
      <c r="L1085" s="15">
        <f t="shared" si="67"/>
        <v>0.33010850000000003</v>
      </c>
    </row>
    <row r="1086" spans="1:12" ht="15" customHeight="1" x14ac:dyDescent="0.25">
      <c r="A1086" s="10" t="str">
        <f>Raw_Data!A1086</f>
        <v>Crompton Arno Neo 15-L 5 Star Rated Storage Water Heater (Geyser) with Advanced 3 Level Safety (Grey)</v>
      </c>
      <c r="B1086" s="10" t="str">
        <f>IFERROR(TRIM(LEFT(Raw_Data!A1086,FIND(" ",Raw_Data!A1086)-1)),Raw_Data!A1086)</f>
        <v>Crompton</v>
      </c>
      <c r="C1086" s="10" t="str">
        <f>IFERROR(LEFT(Raw_Data!B1086,FIND("|",Raw_Data!B1086)-1),Raw_Data!B1086)</f>
        <v>Home&amp;Kitchen</v>
      </c>
      <c r="D1086" s="11">
        <f>IFERROR(VALUE(SUBSTITUTE(SUBSTITUTE(TRIM(Raw_Data!C1086),"₹",""),",","")),"")</f>
        <v>6199</v>
      </c>
      <c r="E1086" s="11">
        <f>IFERROR(VALUE(SUBSTITUTE(SUBSTITUTE(TRIM(Raw_Data!D1086),"₹",""),",","")),"")</f>
        <v>10400</v>
      </c>
      <c r="F1086" s="12">
        <f>IFERROR(VALUE(SUBSTITUTE(Raw_Data!E1086,"%",""))/100,"")</f>
        <v>0.4</v>
      </c>
      <c r="G1086" s="13">
        <f>IFERROR(VALUE(Raw_Data!F1086),"")</f>
        <v>4.0999999999999996</v>
      </c>
      <c r="H1086" s="14">
        <f>IFERROR(VALUE(SUBSTITUTE(Raw_Data!G1086,",","")),"")</f>
        <v>14391</v>
      </c>
      <c r="I1086" s="11">
        <f t="shared" si="64"/>
        <v>4201</v>
      </c>
      <c r="J1086" s="11">
        <f t="shared" si="65"/>
        <v>89209809</v>
      </c>
      <c r="K1086" s="1">
        <f t="shared" si="66"/>
        <v>14391.000108599999</v>
      </c>
      <c r="L1086" s="15">
        <f t="shared" si="67"/>
        <v>0.40010860000000004</v>
      </c>
    </row>
    <row r="1087" spans="1:12" ht="15" customHeight="1" x14ac:dyDescent="0.25">
      <c r="A1087" s="10" t="str">
        <f>Raw_Data!A1087</f>
        <v>Borosil Chef Delite BCH20DBB21 300-Watt Chopper (Black)</v>
      </c>
      <c r="B1087" s="10" t="str">
        <f>IFERROR(TRIM(LEFT(Raw_Data!A1087,FIND(" ",Raw_Data!A1087)-1)),Raw_Data!A1087)</f>
        <v>Borosil</v>
      </c>
      <c r="C1087" s="10" t="str">
        <f>IFERROR(LEFT(Raw_Data!B1087,FIND("|",Raw_Data!B1087)-1),Raw_Data!B1087)</f>
        <v>Home&amp;Kitchen</v>
      </c>
      <c r="D1087" s="11">
        <f>IFERROR(VALUE(SUBSTITUTE(SUBSTITUTE(TRIM(Raw_Data!C1087),"₹",""),",","")),"")</f>
        <v>1819</v>
      </c>
      <c r="E1087" s="11">
        <f>IFERROR(VALUE(SUBSTITUTE(SUBSTITUTE(TRIM(Raw_Data!D1087),"₹",""),",","")),"")</f>
        <v>2490</v>
      </c>
      <c r="F1087" s="12">
        <f>IFERROR(VALUE(SUBSTITUTE(Raw_Data!E1087,"%",""))/100,"")</f>
        <v>0.27</v>
      </c>
      <c r="G1087" s="13">
        <f>IFERROR(VALUE(Raw_Data!F1087),"")</f>
        <v>4.4000000000000004</v>
      </c>
      <c r="H1087" s="14">
        <f>IFERROR(VALUE(SUBSTITUTE(Raw_Data!G1087,",","")),"")</f>
        <v>7946</v>
      </c>
      <c r="I1087" s="11">
        <f t="shared" si="64"/>
        <v>671</v>
      </c>
      <c r="J1087" s="11">
        <f t="shared" si="65"/>
        <v>14453774</v>
      </c>
      <c r="K1087" s="1">
        <f t="shared" si="66"/>
        <v>7946.0001087000001</v>
      </c>
      <c r="L1087" s="15">
        <f t="shared" si="67"/>
        <v>0.27010870000000003</v>
      </c>
    </row>
    <row r="1088" spans="1:12" ht="15" customHeight="1" x14ac:dyDescent="0.25">
      <c r="A1088" s="10" t="str">
        <f>Raw_Data!A1088</f>
        <v>KENT 16055 Amaze Cool Touch Electric Kettle 1.8 L 1500 W | Plastic Outer &amp; Stainless Steel Inside body | Auto shut off Over heating protection | Multipurpose hot water Kettle | 1 Year Warranty</v>
      </c>
      <c r="B1088" s="10" t="str">
        <f>IFERROR(TRIM(LEFT(Raw_Data!A1088,FIND(" ",Raw_Data!A1088)-1)),Raw_Data!A1088)</f>
        <v>KENT</v>
      </c>
      <c r="C1088" s="10" t="str">
        <f>IFERROR(LEFT(Raw_Data!B1088,FIND("|",Raw_Data!B1088)-1),Raw_Data!B1088)</f>
        <v>Home&amp;Kitchen</v>
      </c>
      <c r="D1088" s="11">
        <f>IFERROR(VALUE(SUBSTITUTE(SUBSTITUTE(TRIM(Raw_Data!C1088),"₹",""),",","")),"")</f>
        <v>1199</v>
      </c>
      <c r="E1088" s="11">
        <f>IFERROR(VALUE(SUBSTITUTE(SUBSTITUTE(TRIM(Raw_Data!D1088),"₹",""),",","")),"")</f>
        <v>1900</v>
      </c>
      <c r="F1088" s="12">
        <f>IFERROR(VALUE(SUBSTITUTE(Raw_Data!E1088,"%",""))/100,"")</f>
        <v>0.37</v>
      </c>
      <c r="G1088" s="13">
        <f>IFERROR(VALUE(Raw_Data!F1088),"")</f>
        <v>4</v>
      </c>
      <c r="H1088" s="14">
        <f>IFERROR(VALUE(SUBSTITUTE(Raw_Data!G1088,",","")),"")</f>
        <v>1765</v>
      </c>
      <c r="I1088" s="11">
        <f t="shared" si="64"/>
        <v>701</v>
      </c>
      <c r="J1088" s="11">
        <f t="shared" si="65"/>
        <v>2116235</v>
      </c>
      <c r="K1088" s="1">
        <f t="shared" si="66"/>
        <v>1765.0001087999999</v>
      </c>
      <c r="L1088" s="15">
        <f t="shared" si="67"/>
        <v>0.37010880000000002</v>
      </c>
    </row>
    <row r="1089" spans="1:12" ht="15" customHeight="1" x14ac:dyDescent="0.25">
      <c r="A1089" s="10" t="str">
        <f>Raw_Data!A1089</f>
        <v>Prestige IRIS Plus 750 watt mixer grinder</v>
      </c>
      <c r="B1089" s="10" t="str">
        <f>IFERROR(TRIM(LEFT(Raw_Data!A1089,FIND(" ",Raw_Data!A1089)-1)),Raw_Data!A1089)</f>
        <v>Prestige</v>
      </c>
      <c r="C1089" s="10" t="str">
        <f>IFERROR(LEFT(Raw_Data!B1089,FIND("|",Raw_Data!B1089)-1),Raw_Data!B1089)</f>
        <v>Home&amp;Kitchen</v>
      </c>
      <c r="D1089" s="11">
        <f>IFERROR(VALUE(SUBSTITUTE(SUBSTITUTE(TRIM(Raw_Data!C1089),"₹",""),",","")),"")</f>
        <v>3249</v>
      </c>
      <c r="E1089" s="11">
        <f>IFERROR(VALUE(SUBSTITUTE(SUBSTITUTE(TRIM(Raw_Data!D1089),"₹",""),",","")),"")</f>
        <v>6295</v>
      </c>
      <c r="F1089" s="12">
        <f>IFERROR(VALUE(SUBSTITUTE(Raw_Data!E1089,"%",""))/100,"")</f>
        <v>0.48</v>
      </c>
      <c r="G1089" s="13">
        <f>IFERROR(VALUE(Raw_Data!F1089),"")</f>
        <v>3.8</v>
      </c>
      <c r="H1089" s="14">
        <f>IFERROR(VALUE(SUBSTITUTE(Raw_Data!G1089,",","")),"")</f>
        <v>14062</v>
      </c>
      <c r="I1089" s="11">
        <f t="shared" si="64"/>
        <v>3046</v>
      </c>
      <c r="J1089" s="11">
        <f t="shared" si="65"/>
        <v>45687438</v>
      </c>
      <c r="K1089" s="1">
        <f t="shared" si="66"/>
        <v>14062.0001089</v>
      </c>
      <c r="L1089" s="15">
        <f t="shared" si="67"/>
        <v>0.48010890000000001</v>
      </c>
    </row>
    <row r="1090" spans="1:12" ht="15" customHeight="1" x14ac:dyDescent="0.25">
      <c r="A1090" s="10" t="str">
        <f>Raw_Data!A1090</f>
        <v>Simxen Egg Boiler Electric Automatic Off 7 Egg Poacher for Steaming, Cooking Also Boiling and Frying 400 W (Blue, Pink)</v>
      </c>
      <c r="B1090" s="10" t="str">
        <f>IFERROR(TRIM(LEFT(Raw_Data!A1090,FIND(" ",Raw_Data!A1090)-1)),Raw_Data!A1090)</f>
        <v>Simxen</v>
      </c>
      <c r="C1090" s="10" t="str">
        <f>IFERROR(LEFT(Raw_Data!B1090,FIND("|",Raw_Data!B1090)-1),Raw_Data!B1090)</f>
        <v>Home&amp;Kitchen</v>
      </c>
      <c r="D1090" s="11">
        <f>IFERROR(VALUE(SUBSTITUTE(SUBSTITUTE(TRIM(Raw_Data!C1090),"₹",""),",","")),"")</f>
        <v>349</v>
      </c>
      <c r="E1090" s="11">
        <f>IFERROR(VALUE(SUBSTITUTE(SUBSTITUTE(TRIM(Raw_Data!D1090),"₹",""),",","")),"")</f>
        <v>999</v>
      </c>
      <c r="F1090" s="12">
        <f>IFERROR(VALUE(SUBSTITUTE(Raw_Data!E1090,"%",""))/100,"")</f>
        <v>0.65</v>
      </c>
      <c r="G1090" s="13">
        <f>IFERROR(VALUE(Raw_Data!F1090),"")</f>
        <v>4</v>
      </c>
      <c r="H1090" s="14">
        <f>IFERROR(VALUE(SUBSTITUTE(Raw_Data!G1090,",","")),"")</f>
        <v>15646</v>
      </c>
      <c r="I1090" s="11">
        <f t="shared" ref="I1090:I1153" si="68">IFERROR(E1090-D1090,"")</f>
        <v>650</v>
      </c>
      <c r="J1090" s="11">
        <f t="shared" ref="J1090:J1153" si="69">IFERROR(D1090*H1090,"")</f>
        <v>5460454</v>
      </c>
      <c r="K1090" s="1">
        <f t="shared" ref="K1090:K1153" si="70">IF(ISNUMBER(H1090),H1090+ROW()/10000000,"")</f>
        <v>15646.000109000001</v>
      </c>
      <c r="L1090" s="15">
        <f t="shared" ref="L1090:L1153" si="71">IF(ISNUMBER(F1090),F1090+ROW()/10000000,"")</f>
        <v>0.65010900000000005</v>
      </c>
    </row>
    <row r="1091" spans="1:12" ht="15" customHeight="1" x14ac:dyDescent="0.25">
      <c r="A1091" s="10" t="str">
        <f>Raw_Data!A1091</f>
        <v>Amazon Basics 2000/1000 Watt Room Heater with Adjustable Thermostat (ISI certified, White color, Ideal for small to medium room/area)</v>
      </c>
      <c r="B1091" s="10" t="str">
        <f>IFERROR(TRIM(LEFT(Raw_Data!A1091,FIND(" ",Raw_Data!A1091)-1)),Raw_Data!A1091)</f>
        <v>Amazon</v>
      </c>
      <c r="C1091" s="10" t="str">
        <f>IFERROR(LEFT(Raw_Data!B1091,FIND("|",Raw_Data!B1091)-1),Raw_Data!B1091)</f>
        <v>Home&amp;Kitchen</v>
      </c>
      <c r="D1091" s="11">
        <f>IFERROR(VALUE(SUBSTITUTE(SUBSTITUTE(TRIM(Raw_Data!C1091),"₹",""),",","")),"")</f>
        <v>1049</v>
      </c>
      <c r="E1091" s="11">
        <f>IFERROR(VALUE(SUBSTITUTE(SUBSTITUTE(TRIM(Raw_Data!D1091),"₹",""),",","")),"")</f>
        <v>1699</v>
      </c>
      <c r="F1091" s="12">
        <f>IFERROR(VALUE(SUBSTITUTE(Raw_Data!E1091,"%",""))/100,"")</f>
        <v>0.38</v>
      </c>
      <c r="G1091" s="13">
        <f>IFERROR(VALUE(Raw_Data!F1091),"")</f>
        <v>3.1</v>
      </c>
      <c r="H1091" s="14">
        <f>IFERROR(VALUE(SUBSTITUTE(Raw_Data!G1091,",","")),"")</f>
        <v>111</v>
      </c>
      <c r="I1091" s="11">
        <f t="shared" si="68"/>
        <v>650</v>
      </c>
      <c r="J1091" s="11">
        <f t="shared" si="69"/>
        <v>116439</v>
      </c>
      <c r="K1091" s="1">
        <f t="shared" si="70"/>
        <v>111.0001091</v>
      </c>
      <c r="L1091" s="15">
        <f t="shared" si="71"/>
        <v>0.38010909999999998</v>
      </c>
    </row>
    <row r="1092" spans="1:12" ht="15" customHeight="1" x14ac:dyDescent="0.25">
      <c r="A1092" s="10" t="str">
        <f>Raw_Data!A1092</f>
        <v>HealthSense Weight Machine for Kitchen, Kitchen Food Weighing Scale for Health, Fitness, Home Baking &amp; Cooking with Hanging Design, Touch Button, Tare Function &amp; 1 Year Warranty – Chef-Mate KS 40</v>
      </c>
      <c r="B1092" s="10" t="str">
        <f>IFERROR(TRIM(LEFT(Raw_Data!A1092,FIND(" ",Raw_Data!A1092)-1)),Raw_Data!A1092)</f>
        <v>HealthSense</v>
      </c>
      <c r="C1092" s="10" t="str">
        <f>IFERROR(LEFT(Raw_Data!B1092,FIND("|",Raw_Data!B1092)-1),Raw_Data!B1092)</f>
        <v>Home&amp;Kitchen</v>
      </c>
      <c r="D1092" s="11">
        <f>IFERROR(VALUE(SUBSTITUTE(SUBSTITUTE(TRIM(Raw_Data!C1092),"₹",""),",","")),"")</f>
        <v>799</v>
      </c>
      <c r="E1092" s="11">
        <f>IFERROR(VALUE(SUBSTITUTE(SUBSTITUTE(TRIM(Raw_Data!D1092),"₹",""),",","")),"")</f>
        <v>1500</v>
      </c>
      <c r="F1092" s="12">
        <f>IFERROR(VALUE(SUBSTITUTE(Raw_Data!E1092,"%",""))/100,"")</f>
        <v>0.47</v>
      </c>
      <c r="G1092" s="13">
        <f>IFERROR(VALUE(Raw_Data!F1092),"")</f>
        <v>4.3</v>
      </c>
      <c r="H1092" s="14">
        <f>IFERROR(VALUE(SUBSTITUTE(Raw_Data!G1092,",","")),"")</f>
        <v>9695</v>
      </c>
      <c r="I1092" s="11">
        <f t="shared" si="68"/>
        <v>701</v>
      </c>
      <c r="J1092" s="11">
        <f t="shared" si="69"/>
        <v>7746305</v>
      </c>
      <c r="K1092" s="1">
        <f t="shared" si="70"/>
        <v>9695.0001092000002</v>
      </c>
      <c r="L1092" s="15">
        <f t="shared" si="71"/>
        <v>0.47010919999999995</v>
      </c>
    </row>
    <row r="1093" spans="1:12" ht="15" customHeight="1" x14ac:dyDescent="0.25">
      <c r="A1093" s="10" t="str">
        <f>Raw_Data!A1093</f>
        <v>Bajaj New Shakti Neo 10L Vertical Storage Water Heater (Geyser 10 Litres) 4 Star BEE Rated Heater For Water Heating with Titanium Armour, Swirl Flow Technology, Glasslined Tank(White), 1 Yr Warranty</v>
      </c>
      <c r="B1093" s="10" t="str">
        <f>IFERROR(TRIM(LEFT(Raw_Data!A1093,FIND(" ",Raw_Data!A1093)-1)),Raw_Data!A1093)</f>
        <v>Bajaj</v>
      </c>
      <c r="C1093" s="10" t="str">
        <f>IFERROR(LEFT(Raw_Data!B1093,FIND("|",Raw_Data!B1093)-1),Raw_Data!B1093)</f>
        <v>Home&amp;Kitchen</v>
      </c>
      <c r="D1093" s="11">
        <f>IFERROR(VALUE(SUBSTITUTE(SUBSTITUTE(TRIM(Raw_Data!C1093),"₹",""),",","")),"")</f>
        <v>4999</v>
      </c>
      <c r="E1093" s="11">
        <f>IFERROR(VALUE(SUBSTITUTE(SUBSTITUTE(TRIM(Raw_Data!D1093),"₹",""),",","")),"")</f>
        <v>9650</v>
      </c>
      <c r="F1093" s="12">
        <f>IFERROR(VALUE(SUBSTITUTE(Raw_Data!E1093,"%",""))/100,"")</f>
        <v>0.48</v>
      </c>
      <c r="G1093" s="13">
        <f>IFERROR(VALUE(Raw_Data!F1093),"")</f>
        <v>4.2</v>
      </c>
      <c r="H1093" s="14">
        <f>IFERROR(VALUE(SUBSTITUTE(Raw_Data!G1093,",","")),"")</f>
        <v>1772</v>
      </c>
      <c r="I1093" s="11">
        <f t="shared" si="68"/>
        <v>4651</v>
      </c>
      <c r="J1093" s="11">
        <f t="shared" si="69"/>
        <v>8858228</v>
      </c>
      <c r="K1093" s="1">
        <f t="shared" si="70"/>
        <v>1772.0001093000001</v>
      </c>
      <c r="L1093" s="15">
        <f t="shared" si="71"/>
        <v>0.48010929999999996</v>
      </c>
    </row>
    <row r="1094" spans="1:12" ht="15" customHeight="1" x14ac:dyDescent="0.25">
      <c r="A1094" s="10" t="str">
        <f>Raw_Data!A1094</f>
        <v>Bosch Pro 1000W Mixer Grinder MGM8842MIN - Black</v>
      </c>
      <c r="B1094" s="10" t="str">
        <f>IFERROR(TRIM(LEFT(Raw_Data!A1094,FIND(" ",Raw_Data!A1094)-1)),Raw_Data!A1094)</f>
        <v>Bosch</v>
      </c>
      <c r="C1094" s="10" t="str">
        <f>IFERROR(LEFT(Raw_Data!B1094,FIND("|",Raw_Data!B1094)-1),Raw_Data!B1094)</f>
        <v>Home&amp;Kitchen</v>
      </c>
      <c r="D1094" s="11">
        <f>IFERROR(VALUE(SUBSTITUTE(SUBSTITUTE(TRIM(Raw_Data!C1094),"₹",""),",","")),"")</f>
        <v>6999</v>
      </c>
      <c r="E1094" s="11">
        <f>IFERROR(VALUE(SUBSTITUTE(SUBSTITUTE(TRIM(Raw_Data!D1094),"₹",""),",","")),"")</f>
        <v>10590</v>
      </c>
      <c r="F1094" s="12">
        <f>IFERROR(VALUE(SUBSTITUTE(Raw_Data!E1094,"%",""))/100,"")</f>
        <v>0.34</v>
      </c>
      <c r="G1094" s="13">
        <f>IFERROR(VALUE(Raw_Data!F1094),"")</f>
        <v>4.4000000000000004</v>
      </c>
      <c r="H1094" s="14">
        <f>IFERROR(VALUE(SUBSTITUTE(Raw_Data!G1094,",","")),"")</f>
        <v>11499</v>
      </c>
      <c r="I1094" s="11">
        <f t="shared" si="68"/>
        <v>3591</v>
      </c>
      <c r="J1094" s="11">
        <f t="shared" si="69"/>
        <v>80481501</v>
      </c>
      <c r="K1094" s="1">
        <f t="shared" si="70"/>
        <v>11499.0001094</v>
      </c>
      <c r="L1094" s="15">
        <f t="shared" si="71"/>
        <v>0.34010940000000001</v>
      </c>
    </row>
    <row r="1095" spans="1:12" ht="15" customHeight="1" x14ac:dyDescent="0.25">
      <c r="A1095" s="10" t="str">
        <f>Raw_Data!A1095</f>
        <v>Bulfyss Stainless Steel Digital Kitchen Weighing Scale &amp; Food Weight Machine for Diet, Nutrition, Health, Fitness, Baking &amp; Cooking (5Kgs, Stainless Steel, 2 Years Warranty)</v>
      </c>
      <c r="B1095" s="10" t="str">
        <f>IFERROR(TRIM(LEFT(Raw_Data!A1095,FIND(" ",Raw_Data!A1095)-1)),Raw_Data!A1095)</f>
        <v>Bulfyss</v>
      </c>
      <c r="C1095" s="10" t="str">
        <f>IFERROR(LEFT(Raw_Data!B1095,FIND("|",Raw_Data!B1095)-1),Raw_Data!B1095)</f>
        <v>Home&amp;Kitchen</v>
      </c>
      <c r="D1095" s="11">
        <f>IFERROR(VALUE(SUBSTITUTE(SUBSTITUTE(TRIM(Raw_Data!C1095),"₹",""),",","")),"")</f>
        <v>799</v>
      </c>
      <c r="E1095" s="11">
        <f>IFERROR(VALUE(SUBSTITUTE(SUBSTITUTE(TRIM(Raw_Data!D1095),"₹",""),",","")),"")</f>
        <v>1999</v>
      </c>
      <c r="F1095" s="12">
        <f>IFERROR(VALUE(SUBSTITUTE(Raw_Data!E1095,"%",""))/100,"")</f>
        <v>0.6</v>
      </c>
      <c r="G1095" s="13">
        <f>IFERROR(VALUE(Raw_Data!F1095),"")</f>
        <v>4.0999999999999996</v>
      </c>
      <c r="H1095" s="14">
        <f>IFERROR(VALUE(SUBSTITUTE(Raw_Data!G1095,",","")),"")</f>
        <v>2162</v>
      </c>
      <c r="I1095" s="11">
        <f t="shared" si="68"/>
        <v>1200</v>
      </c>
      <c r="J1095" s="11">
        <f t="shared" si="69"/>
        <v>1727438</v>
      </c>
      <c r="K1095" s="1">
        <f t="shared" si="70"/>
        <v>2162.0001094999998</v>
      </c>
      <c r="L1095" s="15">
        <f t="shared" si="71"/>
        <v>0.60010949999999996</v>
      </c>
    </row>
    <row r="1096" spans="1:12" ht="15" customHeight="1" x14ac:dyDescent="0.25">
      <c r="A1096" s="10" t="str">
        <f>Raw_Data!A1096</f>
        <v>VR 18 Pcs - 3 Different Size Plastic Food Snack Bag Pouch Clip Sealer Large, Medium, Small Plastic Snack Seal Sealing Bag Clips Vacuum Sealer (Set of 18, Multi-Color) (Multicolor)</v>
      </c>
      <c r="B1096" s="10" t="str">
        <f>IFERROR(TRIM(LEFT(Raw_Data!A1096,FIND(" ",Raw_Data!A1096)-1)),Raw_Data!A1096)</f>
        <v>VR</v>
      </c>
      <c r="C1096" s="10" t="str">
        <f>IFERROR(LEFT(Raw_Data!B1096,FIND("|",Raw_Data!B1096)-1),Raw_Data!B1096)</f>
        <v>Home&amp;Kitchen</v>
      </c>
      <c r="D1096" s="11">
        <f>IFERROR(VALUE(SUBSTITUTE(SUBSTITUTE(TRIM(Raw_Data!C1096),"₹",""),",","")),"")</f>
        <v>89</v>
      </c>
      <c r="E1096" s="11">
        <f>IFERROR(VALUE(SUBSTITUTE(SUBSTITUTE(TRIM(Raw_Data!D1096),"₹",""),",","")),"")</f>
        <v>89</v>
      </c>
      <c r="F1096" s="12">
        <f>IFERROR(VALUE(SUBSTITUTE(Raw_Data!E1096,"%",""))/100,"")</f>
        <v>0</v>
      </c>
      <c r="G1096" s="13">
        <f>IFERROR(VALUE(Raw_Data!F1096),"")</f>
        <v>4.2</v>
      </c>
      <c r="H1096" s="14">
        <f>IFERROR(VALUE(SUBSTITUTE(Raw_Data!G1096,",","")),"")</f>
        <v>19621</v>
      </c>
      <c r="I1096" s="11">
        <f t="shared" si="68"/>
        <v>0</v>
      </c>
      <c r="J1096" s="11">
        <f t="shared" si="69"/>
        <v>1746269</v>
      </c>
      <c r="K1096" s="1">
        <f t="shared" si="70"/>
        <v>19621.000109600001</v>
      </c>
      <c r="L1096" s="15">
        <f t="shared" si="71"/>
        <v>1.0959999999999999E-4</v>
      </c>
    </row>
    <row r="1097" spans="1:12" ht="15" customHeight="1" x14ac:dyDescent="0.25">
      <c r="A1097" s="10" t="str">
        <f>Raw_Data!A1097</f>
        <v>Orient Electric Apex-FX 1200mm Ultra High Speed 400 RPM Ceiling Fan (Brown)</v>
      </c>
      <c r="B1097" s="10" t="str">
        <f>IFERROR(TRIM(LEFT(Raw_Data!A1097,FIND(" ",Raw_Data!A1097)-1)),Raw_Data!A1097)</f>
        <v>Orient</v>
      </c>
      <c r="C1097" s="10" t="str">
        <f>IFERROR(LEFT(Raw_Data!B1097,FIND("|",Raw_Data!B1097)-1),Raw_Data!B1097)</f>
        <v>Home&amp;Kitchen</v>
      </c>
      <c r="D1097" s="11">
        <f>IFERROR(VALUE(SUBSTITUTE(SUBSTITUTE(TRIM(Raw_Data!C1097),"₹",""),",","")),"")</f>
        <v>1400</v>
      </c>
      <c r="E1097" s="11">
        <f>IFERROR(VALUE(SUBSTITUTE(SUBSTITUTE(TRIM(Raw_Data!D1097),"₹",""),",","")),"")</f>
        <v>2485</v>
      </c>
      <c r="F1097" s="12">
        <f>IFERROR(VALUE(SUBSTITUTE(Raw_Data!E1097,"%",""))/100,"")</f>
        <v>0.44</v>
      </c>
      <c r="G1097" s="13">
        <f>IFERROR(VALUE(Raw_Data!F1097),"")</f>
        <v>4.0999999999999996</v>
      </c>
      <c r="H1097" s="14">
        <f>IFERROR(VALUE(SUBSTITUTE(Raw_Data!G1097,",","")),"")</f>
        <v>19998</v>
      </c>
      <c r="I1097" s="11">
        <f t="shared" si="68"/>
        <v>1085</v>
      </c>
      <c r="J1097" s="11">
        <f t="shared" si="69"/>
        <v>27997200</v>
      </c>
      <c r="K1097" s="1">
        <f t="shared" si="70"/>
        <v>19998.000109699999</v>
      </c>
      <c r="L1097" s="15">
        <f t="shared" si="71"/>
        <v>0.44010969999999999</v>
      </c>
    </row>
    <row r="1098" spans="1:12" ht="15" customHeight="1" x14ac:dyDescent="0.25">
      <c r="A1098" s="10" t="str">
        <f>Raw_Data!A1098</f>
        <v>PrettyKrafts Folding Laundry Basket for Clothes with Lid &amp; Handle, Toys Organiser, 75 Litre, (Pack of 1), Mushroom Print</v>
      </c>
      <c r="B1098" s="10" t="str">
        <f>IFERROR(TRIM(LEFT(Raw_Data!A1098,FIND(" ",Raw_Data!A1098)-1)),Raw_Data!A1098)</f>
        <v>PrettyKrafts</v>
      </c>
      <c r="C1098" s="10" t="str">
        <f>IFERROR(LEFT(Raw_Data!B1098,FIND("|",Raw_Data!B1098)-1),Raw_Data!B1098)</f>
        <v>Home&amp;Kitchen</v>
      </c>
      <c r="D1098" s="11">
        <f>IFERROR(VALUE(SUBSTITUTE(SUBSTITUTE(TRIM(Raw_Data!C1098),"₹",""),",","")),"")</f>
        <v>355</v>
      </c>
      <c r="E1098" s="11">
        <f>IFERROR(VALUE(SUBSTITUTE(SUBSTITUTE(TRIM(Raw_Data!D1098),"₹",""),",","")),"")</f>
        <v>899</v>
      </c>
      <c r="F1098" s="12">
        <f>IFERROR(VALUE(SUBSTITUTE(Raw_Data!E1098,"%",""))/100,"")</f>
        <v>0.61</v>
      </c>
      <c r="G1098" s="13">
        <f>IFERROR(VALUE(Raw_Data!F1098),"")</f>
        <v>4.0999999999999996</v>
      </c>
      <c r="H1098" s="14">
        <f>IFERROR(VALUE(SUBSTITUTE(Raw_Data!G1098,",","")),"")</f>
        <v>1051</v>
      </c>
      <c r="I1098" s="11">
        <f t="shared" si="68"/>
        <v>544</v>
      </c>
      <c r="J1098" s="11">
        <f t="shared" si="69"/>
        <v>373105</v>
      </c>
      <c r="K1098" s="1">
        <f t="shared" si="70"/>
        <v>1051.0001098</v>
      </c>
      <c r="L1098" s="15">
        <f t="shared" si="71"/>
        <v>0.61010980000000004</v>
      </c>
    </row>
    <row r="1099" spans="1:12" ht="15" customHeight="1" x14ac:dyDescent="0.25">
      <c r="A1099" s="10" t="str">
        <f>Raw_Data!A1099</f>
        <v>Bajaj Majesty RX11 2000 Watts Heat Convector Room Heater (White, ISI Approved)</v>
      </c>
      <c r="B1099" s="10" t="str">
        <f>IFERROR(TRIM(LEFT(Raw_Data!A1099,FIND(" ",Raw_Data!A1099)-1)),Raw_Data!A1099)</f>
        <v>Bajaj</v>
      </c>
      <c r="C1099" s="10" t="str">
        <f>IFERROR(LEFT(Raw_Data!B1099,FIND("|",Raw_Data!B1099)-1),Raw_Data!B1099)</f>
        <v>Home&amp;Kitchen</v>
      </c>
      <c r="D1099" s="11">
        <f>IFERROR(VALUE(SUBSTITUTE(SUBSTITUTE(TRIM(Raw_Data!C1099),"₹",""),",","")),"")</f>
        <v>2169</v>
      </c>
      <c r="E1099" s="11">
        <f>IFERROR(VALUE(SUBSTITUTE(SUBSTITUTE(TRIM(Raw_Data!D1099),"₹",""),",","")),"")</f>
        <v>3279</v>
      </c>
      <c r="F1099" s="12">
        <f>IFERROR(VALUE(SUBSTITUTE(Raw_Data!E1099,"%",""))/100,"")</f>
        <v>0.34</v>
      </c>
      <c r="G1099" s="13">
        <f>IFERROR(VALUE(Raw_Data!F1099),"")</f>
        <v>4.0999999999999996</v>
      </c>
      <c r="H1099" s="14">
        <f>IFERROR(VALUE(SUBSTITUTE(Raw_Data!G1099,",","")),"")</f>
        <v>1716</v>
      </c>
      <c r="I1099" s="11">
        <f t="shared" si="68"/>
        <v>1110</v>
      </c>
      <c r="J1099" s="11">
        <f t="shared" si="69"/>
        <v>3722004</v>
      </c>
      <c r="K1099" s="1">
        <f t="shared" si="70"/>
        <v>1716.0001099000001</v>
      </c>
      <c r="L1099" s="15">
        <f t="shared" si="71"/>
        <v>0.34010990000000002</v>
      </c>
    </row>
    <row r="1100" spans="1:12" ht="15" customHeight="1" x14ac:dyDescent="0.25">
      <c r="A1100" s="10" t="str">
        <f>Raw_Data!A1100</f>
        <v>Eureka Forbes Trendy Zip 1000 Watts powerful suction vacuum cleaner with resuable dust bag &amp; 5 accessories,1 year warrantycompact,light weight &amp; easy to use (Black)</v>
      </c>
      <c r="B1100" s="10" t="str">
        <f>IFERROR(TRIM(LEFT(Raw_Data!A1100,FIND(" ",Raw_Data!A1100)-1)),Raw_Data!A1100)</f>
        <v>Eureka</v>
      </c>
      <c r="C1100" s="10" t="str">
        <f>IFERROR(LEFT(Raw_Data!B1100,FIND("|",Raw_Data!B1100)-1),Raw_Data!B1100)</f>
        <v>Home&amp;Kitchen</v>
      </c>
      <c r="D1100" s="11">
        <f>IFERROR(VALUE(SUBSTITUTE(SUBSTITUTE(TRIM(Raw_Data!C1100),"₹",""),",","")),"")</f>
        <v>2799</v>
      </c>
      <c r="E1100" s="11">
        <f>IFERROR(VALUE(SUBSTITUTE(SUBSTITUTE(TRIM(Raw_Data!D1100),"₹",""),",","")),"")</f>
        <v>3799</v>
      </c>
      <c r="F1100" s="12">
        <f>IFERROR(VALUE(SUBSTITUTE(Raw_Data!E1100,"%",""))/100,"")</f>
        <v>0.26</v>
      </c>
      <c r="G1100" s="13">
        <f>IFERROR(VALUE(Raw_Data!F1100),"")</f>
        <v>3.9</v>
      </c>
      <c r="H1100" s="14">
        <f>IFERROR(VALUE(SUBSTITUTE(Raw_Data!G1100,",","")),"")</f>
        <v>32931</v>
      </c>
      <c r="I1100" s="11">
        <f t="shared" si="68"/>
        <v>1000</v>
      </c>
      <c r="J1100" s="11">
        <f t="shared" si="69"/>
        <v>92173869</v>
      </c>
      <c r="K1100" s="1">
        <f t="shared" si="70"/>
        <v>32931.000110000001</v>
      </c>
      <c r="L1100" s="15">
        <f t="shared" si="71"/>
        <v>0.26011000000000001</v>
      </c>
    </row>
    <row r="1101" spans="1:12" ht="15" customHeight="1" x14ac:dyDescent="0.25">
      <c r="A1101" s="10" t="str">
        <f>Raw_Data!A1101</f>
        <v>Pigeon by Stovekraft Quartz Electric Kettle (14299) 1.7 Litre with Stainless Steel Body, used for boiling Water, making tea and coffee, instant noodles, soup etc. 1500 Watt (Silver)</v>
      </c>
      <c r="B1101" s="10" t="str">
        <f>IFERROR(TRIM(LEFT(Raw_Data!A1101,FIND(" ",Raw_Data!A1101)-1)),Raw_Data!A1101)</f>
        <v>Pigeon</v>
      </c>
      <c r="C1101" s="10" t="str">
        <f>IFERROR(LEFT(Raw_Data!B1101,FIND("|",Raw_Data!B1101)-1),Raw_Data!B1101)</f>
        <v>Home&amp;Kitchen</v>
      </c>
      <c r="D1101" s="11">
        <f>IFERROR(VALUE(SUBSTITUTE(SUBSTITUTE(TRIM(Raw_Data!C1101),"₹",""),",","")),"")</f>
        <v>899</v>
      </c>
      <c r="E1101" s="11">
        <f>IFERROR(VALUE(SUBSTITUTE(SUBSTITUTE(TRIM(Raw_Data!D1101),"₹",""),",","")),"")</f>
        <v>1249</v>
      </c>
      <c r="F1101" s="12">
        <f>IFERROR(VALUE(SUBSTITUTE(Raw_Data!E1101,"%",""))/100,"")</f>
        <v>0.28000000000000003</v>
      </c>
      <c r="G1101" s="13">
        <f>IFERROR(VALUE(Raw_Data!F1101),"")</f>
        <v>3.9</v>
      </c>
      <c r="H1101" s="14">
        <f>IFERROR(VALUE(SUBSTITUTE(Raw_Data!G1101,",","")),"")</f>
        <v>17424</v>
      </c>
      <c r="I1101" s="11">
        <f t="shared" si="68"/>
        <v>350</v>
      </c>
      <c r="J1101" s="11">
        <f t="shared" si="69"/>
        <v>15664176</v>
      </c>
      <c r="K1101" s="1">
        <f t="shared" si="70"/>
        <v>17424.000110100002</v>
      </c>
      <c r="L1101" s="15">
        <f t="shared" si="71"/>
        <v>0.28011010000000003</v>
      </c>
    </row>
    <row r="1102" spans="1:12" ht="15" customHeight="1" x14ac:dyDescent="0.25">
      <c r="A1102" s="10" t="str">
        <f>Raw_Data!A1102</f>
        <v>Maharaja Whiteline Lava Neo 1200-Watts Halogen Heater (White and Red)</v>
      </c>
      <c r="B1102" s="10" t="str">
        <f>IFERROR(TRIM(LEFT(Raw_Data!A1102,FIND(" ",Raw_Data!A1102)-1)),Raw_Data!A1102)</f>
        <v>Maharaja</v>
      </c>
      <c r="C1102" s="10" t="str">
        <f>IFERROR(LEFT(Raw_Data!B1102,FIND("|",Raw_Data!B1102)-1),Raw_Data!B1102)</f>
        <v>Home&amp;Kitchen</v>
      </c>
      <c r="D1102" s="11">
        <f>IFERROR(VALUE(SUBSTITUTE(SUBSTITUTE(TRIM(Raw_Data!C1102),"₹",""),",","")),"")</f>
        <v>2499</v>
      </c>
      <c r="E1102" s="11">
        <f>IFERROR(VALUE(SUBSTITUTE(SUBSTITUTE(TRIM(Raw_Data!D1102),"₹",""),",","")),"")</f>
        <v>5000</v>
      </c>
      <c r="F1102" s="12">
        <f>IFERROR(VALUE(SUBSTITUTE(Raw_Data!E1102,"%",""))/100,"")</f>
        <v>0.5</v>
      </c>
      <c r="G1102" s="13">
        <f>IFERROR(VALUE(Raw_Data!F1102),"")</f>
        <v>3.8</v>
      </c>
      <c r="H1102" s="14">
        <f>IFERROR(VALUE(SUBSTITUTE(Raw_Data!G1102,",","")),"")</f>
        <v>1889</v>
      </c>
      <c r="I1102" s="11">
        <f t="shared" si="68"/>
        <v>2501</v>
      </c>
      <c r="J1102" s="11">
        <f t="shared" si="69"/>
        <v>4720611</v>
      </c>
      <c r="K1102" s="1">
        <f t="shared" si="70"/>
        <v>1889.0001102000001</v>
      </c>
      <c r="L1102" s="15">
        <f t="shared" si="71"/>
        <v>0.50011019999999995</v>
      </c>
    </row>
    <row r="1103" spans="1:12" ht="15" customHeight="1" x14ac:dyDescent="0.25">
      <c r="A1103" s="10" t="str">
        <f>Raw_Data!A1103</f>
        <v>Crompton Gracee 5-L Instant Water Heater (Geyser)</v>
      </c>
      <c r="B1103" s="10" t="str">
        <f>IFERROR(TRIM(LEFT(Raw_Data!A1103,FIND(" ",Raw_Data!A1103)-1)),Raw_Data!A1103)</f>
        <v>Crompton</v>
      </c>
      <c r="C1103" s="10" t="str">
        <f>IFERROR(LEFT(Raw_Data!B1103,FIND("|",Raw_Data!B1103)-1),Raw_Data!B1103)</f>
        <v>Home&amp;Kitchen</v>
      </c>
      <c r="D1103" s="11">
        <f>IFERROR(VALUE(SUBSTITUTE(SUBSTITUTE(TRIM(Raw_Data!C1103),"₹",""),",","")),"")</f>
        <v>3599</v>
      </c>
      <c r="E1103" s="11">
        <f>IFERROR(VALUE(SUBSTITUTE(SUBSTITUTE(TRIM(Raw_Data!D1103),"₹",""),",","")),"")</f>
        <v>7299</v>
      </c>
      <c r="F1103" s="12">
        <f>IFERROR(VALUE(SUBSTITUTE(Raw_Data!E1103,"%",""))/100,"")</f>
        <v>0.51</v>
      </c>
      <c r="G1103" s="13">
        <f>IFERROR(VALUE(Raw_Data!F1103),"")</f>
        <v>4</v>
      </c>
      <c r="H1103" s="14">
        <f>IFERROR(VALUE(SUBSTITUTE(Raw_Data!G1103,",","")),"")</f>
        <v>10324</v>
      </c>
      <c r="I1103" s="11">
        <f t="shared" si="68"/>
        <v>3700</v>
      </c>
      <c r="J1103" s="11">
        <f t="shared" si="69"/>
        <v>37156076</v>
      </c>
      <c r="K1103" s="1">
        <f t="shared" si="70"/>
        <v>10324.0001103</v>
      </c>
      <c r="L1103" s="15">
        <f t="shared" si="71"/>
        <v>0.51011030000000002</v>
      </c>
    </row>
    <row r="1104" spans="1:12" ht="15" customHeight="1" x14ac:dyDescent="0.25">
      <c r="A1104" s="10" t="str">
        <f>Raw_Data!A1104</f>
        <v>Bajaj DX-2 600W Dry Iron with Advance Soleplate and Anti-bacterial German Coating Technology, Black</v>
      </c>
      <c r="B1104" s="10" t="str">
        <f>IFERROR(TRIM(LEFT(Raw_Data!A1104,FIND(" ",Raw_Data!A1104)-1)),Raw_Data!A1104)</f>
        <v>Bajaj</v>
      </c>
      <c r="C1104" s="10" t="str">
        <f>IFERROR(LEFT(Raw_Data!B1104,FIND("|",Raw_Data!B1104)-1),Raw_Data!B1104)</f>
        <v>Home&amp;Kitchen</v>
      </c>
      <c r="D1104" s="11">
        <f>IFERROR(VALUE(SUBSTITUTE(SUBSTITUTE(TRIM(Raw_Data!C1104),"₹",""),",","")),"")</f>
        <v>499</v>
      </c>
      <c r="E1104" s="11">
        <f>IFERROR(VALUE(SUBSTITUTE(SUBSTITUTE(TRIM(Raw_Data!D1104),"₹",""),",","")),"")</f>
        <v>625</v>
      </c>
      <c r="F1104" s="12">
        <f>IFERROR(VALUE(SUBSTITUTE(Raw_Data!E1104,"%",""))/100,"")</f>
        <v>0.2</v>
      </c>
      <c r="G1104" s="13">
        <f>IFERROR(VALUE(Raw_Data!F1104),"")</f>
        <v>4.2</v>
      </c>
      <c r="H1104" s="14">
        <f>IFERROR(VALUE(SUBSTITUTE(Raw_Data!G1104,",","")),"")</f>
        <v>5355</v>
      </c>
      <c r="I1104" s="11">
        <f t="shared" si="68"/>
        <v>126</v>
      </c>
      <c r="J1104" s="11">
        <f t="shared" si="69"/>
        <v>2672145</v>
      </c>
      <c r="K1104" s="1">
        <f t="shared" si="70"/>
        <v>5355.0001104000003</v>
      </c>
      <c r="L1104" s="15">
        <f t="shared" si="71"/>
        <v>0.20011040000000002</v>
      </c>
    </row>
    <row r="1105" spans="1:12" ht="15" customHeight="1" x14ac:dyDescent="0.25">
      <c r="A1105" s="10" t="str">
        <f>Raw_Data!A1105</f>
        <v>Bajaj Waterproof 1500 Watts Immersion Rod Heater</v>
      </c>
      <c r="B1105" s="10" t="str">
        <f>IFERROR(TRIM(LEFT(Raw_Data!A1105,FIND(" ",Raw_Data!A1105)-1)),Raw_Data!A1105)</f>
        <v>Bajaj</v>
      </c>
      <c r="C1105" s="10" t="str">
        <f>IFERROR(LEFT(Raw_Data!B1105,FIND("|",Raw_Data!B1105)-1),Raw_Data!B1105)</f>
        <v>Home&amp;Kitchen</v>
      </c>
      <c r="D1105" s="11">
        <f>IFERROR(VALUE(SUBSTITUTE(SUBSTITUTE(TRIM(Raw_Data!C1105),"₹",""),",","")),"")</f>
        <v>653</v>
      </c>
      <c r="E1105" s="11">
        <f>IFERROR(VALUE(SUBSTITUTE(SUBSTITUTE(TRIM(Raw_Data!D1105),"₹",""),",","")),"")</f>
        <v>1020</v>
      </c>
      <c r="F1105" s="12">
        <f>IFERROR(VALUE(SUBSTITUTE(Raw_Data!E1105,"%",""))/100,"")</f>
        <v>0.36</v>
      </c>
      <c r="G1105" s="13">
        <f>IFERROR(VALUE(Raw_Data!F1105),"")</f>
        <v>4.0999999999999996</v>
      </c>
      <c r="H1105" s="14">
        <f>IFERROR(VALUE(SUBSTITUTE(Raw_Data!G1105,",","")),"")</f>
        <v>3366</v>
      </c>
      <c r="I1105" s="11">
        <f t="shared" si="68"/>
        <v>367</v>
      </c>
      <c r="J1105" s="11">
        <f t="shared" si="69"/>
        <v>2197998</v>
      </c>
      <c r="K1105" s="1">
        <f t="shared" si="70"/>
        <v>3366.0001105000001</v>
      </c>
      <c r="L1105" s="15">
        <f t="shared" si="71"/>
        <v>0.3601105</v>
      </c>
    </row>
    <row r="1106" spans="1:12" ht="15" customHeight="1" x14ac:dyDescent="0.25">
      <c r="A1106" s="10" t="str">
        <f>Raw_Data!A1106</f>
        <v>AGARO Supreme High Pressure Washer, 1800 Watts, 120 Bars, 6.5L/Min Flow Rate, 8 Meters Outlet Hose, Portable, for Car,Bike and Home Cleaning Purpose, Black and Orange</v>
      </c>
      <c r="B1106" s="10" t="str">
        <f>IFERROR(TRIM(LEFT(Raw_Data!A1106,FIND(" ",Raw_Data!A1106)-1)),Raw_Data!A1106)</f>
        <v>AGARO</v>
      </c>
      <c r="C1106" s="10" t="str">
        <f>IFERROR(LEFT(Raw_Data!B1106,FIND("|",Raw_Data!B1106)-1),Raw_Data!B1106)</f>
        <v>Home&amp;Kitchen</v>
      </c>
      <c r="D1106" s="11">
        <f>IFERROR(VALUE(SUBSTITUTE(SUBSTITUTE(TRIM(Raw_Data!C1106),"₹",""),",","")),"")</f>
        <v>4789</v>
      </c>
      <c r="E1106" s="11">
        <f>IFERROR(VALUE(SUBSTITUTE(SUBSTITUTE(TRIM(Raw_Data!D1106),"₹",""),",","")),"")</f>
        <v>8990</v>
      </c>
      <c r="F1106" s="12">
        <f>IFERROR(VALUE(SUBSTITUTE(Raw_Data!E1106,"%",""))/100,"")</f>
        <v>0.47</v>
      </c>
      <c r="G1106" s="13">
        <f>IFERROR(VALUE(Raw_Data!F1106),"")</f>
        <v>4.3</v>
      </c>
      <c r="H1106" s="14">
        <f>IFERROR(VALUE(SUBSTITUTE(Raw_Data!G1106,",","")),"")</f>
        <v>1017</v>
      </c>
      <c r="I1106" s="11">
        <f t="shared" si="68"/>
        <v>4201</v>
      </c>
      <c r="J1106" s="11">
        <f t="shared" si="69"/>
        <v>4870413</v>
      </c>
      <c r="K1106" s="1">
        <f t="shared" si="70"/>
        <v>1017.0001106</v>
      </c>
      <c r="L1106" s="15">
        <f t="shared" si="71"/>
        <v>0.47011059999999999</v>
      </c>
    </row>
    <row r="1107" spans="1:12" ht="15" customHeight="1" x14ac:dyDescent="0.25">
      <c r="A1107" s="10" t="str">
        <f>Raw_Data!A1107</f>
        <v>Bajaj Deluxe 2000 Watts Halogen Room Heater (Steel, ISI Approved), Multicolor</v>
      </c>
      <c r="B1107" s="10" t="str">
        <f>IFERROR(TRIM(LEFT(Raw_Data!A1107,FIND(" ",Raw_Data!A1107)-1)),Raw_Data!A1107)</f>
        <v>Bajaj</v>
      </c>
      <c r="C1107" s="10" t="str">
        <f>IFERROR(LEFT(Raw_Data!B1107,FIND("|",Raw_Data!B1107)-1),Raw_Data!B1107)</f>
        <v>Home&amp;Kitchen</v>
      </c>
      <c r="D1107" s="11">
        <f>IFERROR(VALUE(SUBSTITUTE(SUBSTITUTE(TRIM(Raw_Data!C1107),"₹",""),",","")),"")</f>
        <v>1409</v>
      </c>
      <c r="E1107" s="11">
        <f>IFERROR(VALUE(SUBSTITUTE(SUBSTITUTE(TRIM(Raw_Data!D1107),"₹",""),",","")),"")</f>
        <v>1639</v>
      </c>
      <c r="F1107" s="12">
        <f>IFERROR(VALUE(SUBSTITUTE(Raw_Data!E1107,"%",""))/100,"")</f>
        <v>0.14000000000000001</v>
      </c>
      <c r="G1107" s="13">
        <f>IFERROR(VALUE(Raw_Data!F1107),"")</f>
        <v>3.7</v>
      </c>
      <c r="H1107" s="14">
        <f>IFERROR(VALUE(SUBSTITUTE(Raw_Data!G1107,",","")),"")</f>
        <v>787</v>
      </c>
      <c r="I1107" s="11">
        <f t="shared" si="68"/>
        <v>230</v>
      </c>
      <c r="J1107" s="11">
        <f t="shared" si="69"/>
        <v>1108883</v>
      </c>
      <c r="K1107" s="1">
        <f t="shared" si="70"/>
        <v>787.00011070000005</v>
      </c>
      <c r="L1107" s="15">
        <f t="shared" si="71"/>
        <v>0.1401107</v>
      </c>
    </row>
    <row r="1108" spans="1:12" ht="15" customHeight="1" x14ac:dyDescent="0.25">
      <c r="A1108" s="10" t="str">
        <f>Raw_Data!A1108</f>
        <v>Orpat HHB-100E WOB 250-Watt Hand Blender (White)</v>
      </c>
      <c r="B1108" s="10" t="str">
        <f>IFERROR(TRIM(LEFT(Raw_Data!A1108,FIND(" ",Raw_Data!A1108)-1)),Raw_Data!A1108)</f>
        <v>Orpat</v>
      </c>
      <c r="C1108" s="10" t="str">
        <f>IFERROR(LEFT(Raw_Data!B1108,FIND("|",Raw_Data!B1108)-1),Raw_Data!B1108)</f>
        <v>Home&amp;Kitchen</v>
      </c>
      <c r="D1108" s="11">
        <f>IFERROR(VALUE(SUBSTITUTE(SUBSTITUTE(TRIM(Raw_Data!C1108),"₹",""),",","")),"")</f>
        <v>753</v>
      </c>
      <c r="E1108" s="11">
        <f>IFERROR(VALUE(SUBSTITUTE(SUBSTITUTE(TRIM(Raw_Data!D1108),"₹",""),",","")),"")</f>
        <v>899</v>
      </c>
      <c r="F1108" s="12">
        <f>IFERROR(VALUE(SUBSTITUTE(Raw_Data!E1108,"%",""))/100,"")</f>
        <v>0.16</v>
      </c>
      <c r="G1108" s="13">
        <f>IFERROR(VALUE(Raw_Data!F1108),"")</f>
        <v>4.2</v>
      </c>
      <c r="H1108" s="14">
        <f>IFERROR(VALUE(SUBSTITUTE(Raw_Data!G1108,",","")),"")</f>
        <v>18462</v>
      </c>
      <c r="I1108" s="11">
        <f t="shared" si="68"/>
        <v>146</v>
      </c>
      <c r="J1108" s="11">
        <f t="shared" si="69"/>
        <v>13901886</v>
      </c>
      <c r="K1108" s="1">
        <f t="shared" si="70"/>
        <v>18462.0001108</v>
      </c>
      <c r="L1108" s="15">
        <f t="shared" si="71"/>
        <v>0.1601108</v>
      </c>
    </row>
    <row r="1109" spans="1:12" ht="15" customHeight="1" x14ac:dyDescent="0.25">
      <c r="A1109" s="10" t="str">
        <f>Raw_Data!A1109</f>
        <v>GILTON Egg Boiler Electric Automatic Off 7 Egg Poacher for Steaming, Cooking Also Boiling and Frying, Multi Color</v>
      </c>
      <c r="B1109" s="10" t="str">
        <f>IFERROR(TRIM(LEFT(Raw_Data!A1109,FIND(" ",Raw_Data!A1109)-1)),Raw_Data!A1109)</f>
        <v>GILTON</v>
      </c>
      <c r="C1109" s="10" t="str">
        <f>IFERROR(LEFT(Raw_Data!B1109,FIND("|",Raw_Data!B1109)-1),Raw_Data!B1109)</f>
        <v>Home&amp;Kitchen</v>
      </c>
      <c r="D1109" s="11">
        <f>IFERROR(VALUE(SUBSTITUTE(SUBSTITUTE(TRIM(Raw_Data!C1109),"₹",""),",","")),"")</f>
        <v>353</v>
      </c>
      <c r="E1109" s="11">
        <f>IFERROR(VALUE(SUBSTITUTE(SUBSTITUTE(TRIM(Raw_Data!D1109),"₹",""),",","")),"")</f>
        <v>1199</v>
      </c>
      <c r="F1109" s="12">
        <f>IFERROR(VALUE(SUBSTITUTE(Raw_Data!E1109,"%",""))/100,"")</f>
        <v>0.71</v>
      </c>
      <c r="G1109" s="13">
        <f>IFERROR(VALUE(Raw_Data!F1109),"")</f>
        <v>4.3</v>
      </c>
      <c r="H1109" s="14">
        <f>IFERROR(VALUE(SUBSTITUTE(Raw_Data!G1109,",","")),"")</f>
        <v>629</v>
      </c>
      <c r="I1109" s="11">
        <f t="shared" si="68"/>
        <v>846</v>
      </c>
      <c r="J1109" s="11">
        <f t="shared" si="69"/>
        <v>222037</v>
      </c>
      <c r="K1109" s="1">
        <f t="shared" si="70"/>
        <v>629.00011089999998</v>
      </c>
      <c r="L1109" s="15">
        <f t="shared" si="71"/>
        <v>0.71011089999999999</v>
      </c>
    </row>
    <row r="1110" spans="1:12" ht="15" customHeight="1" x14ac:dyDescent="0.25">
      <c r="A1110" s="10" t="str">
        <f>Raw_Data!A1110</f>
        <v>HealthSense Chef-Mate KS 33 Digital Kitchen Weighing Scale &amp; Food Weight Machine for Health, Fitness, Home Baking &amp; Cooking with Free Bowl, 1 Year Warranty &amp; Batteries Included</v>
      </c>
      <c r="B1110" s="10" t="str">
        <f>IFERROR(TRIM(LEFT(Raw_Data!A1110,FIND(" ",Raw_Data!A1110)-1)),Raw_Data!A1110)</f>
        <v>HealthSense</v>
      </c>
      <c r="C1110" s="10" t="str">
        <f>IFERROR(LEFT(Raw_Data!B1110,FIND("|",Raw_Data!B1110)-1),Raw_Data!B1110)</f>
        <v>Home&amp;Kitchen</v>
      </c>
      <c r="D1110" s="11">
        <f>IFERROR(VALUE(SUBSTITUTE(SUBSTITUTE(TRIM(Raw_Data!C1110),"₹",""),",","")),"")</f>
        <v>1099</v>
      </c>
      <c r="E1110" s="11">
        <f>IFERROR(VALUE(SUBSTITUTE(SUBSTITUTE(TRIM(Raw_Data!D1110),"₹",""),",","")),"")</f>
        <v>1899</v>
      </c>
      <c r="F1110" s="12">
        <f>IFERROR(VALUE(SUBSTITUTE(Raw_Data!E1110,"%",""))/100,"")</f>
        <v>0.42</v>
      </c>
      <c r="G1110" s="13">
        <f>IFERROR(VALUE(Raw_Data!F1110),"")</f>
        <v>4.3</v>
      </c>
      <c r="H1110" s="14">
        <f>IFERROR(VALUE(SUBSTITUTE(Raw_Data!G1110,",","")),"")</f>
        <v>15276</v>
      </c>
      <c r="I1110" s="11">
        <f t="shared" si="68"/>
        <v>800</v>
      </c>
      <c r="J1110" s="11">
        <f t="shared" si="69"/>
        <v>16788324</v>
      </c>
      <c r="K1110" s="1">
        <f t="shared" si="70"/>
        <v>15276.000110999999</v>
      </c>
      <c r="L1110" s="15">
        <f t="shared" si="71"/>
        <v>0.42011100000000001</v>
      </c>
    </row>
    <row r="1111" spans="1:12" ht="15" customHeight="1" x14ac:dyDescent="0.25">
      <c r="A1111" s="10" t="str">
        <f>Raw_Data!A1111</f>
        <v>PHILIPS Digital Air Fryer HD9252/90 with Touch Panel, uses up to 90% less fat, 7 Pre-set Menu, 1400W, 4.1 Liter, with Rapid Air Technology (Black), Large</v>
      </c>
      <c r="B1111" s="10" t="str">
        <f>IFERROR(TRIM(LEFT(Raw_Data!A1111,FIND(" ",Raw_Data!A1111)-1)),Raw_Data!A1111)</f>
        <v>PHILIPS</v>
      </c>
      <c r="C1111" s="10" t="str">
        <f>IFERROR(LEFT(Raw_Data!B1111,FIND("|",Raw_Data!B1111)-1),Raw_Data!B1111)</f>
        <v>Home&amp;Kitchen</v>
      </c>
      <c r="D1111" s="11">
        <f>IFERROR(VALUE(SUBSTITUTE(SUBSTITUTE(TRIM(Raw_Data!C1111),"₹",""),",","")),"")</f>
        <v>8799</v>
      </c>
      <c r="E1111" s="11">
        <f>IFERROR(VALUE(SUBSTITUTE(SUBSTITUTE(TRIM(Raw_Data!D1111),"₹",""),",","")),"")</f>
        <v>11595</v>
      </c>
      <c r="F1111" s="12">
        <f>IFERROR(VALUE(SUBSTITUTE(Raw_Data!E1111,"%",""))/100,"")</f>
        <v>0.24</v>
      </c>
      <c r="G1111" s="13">
        <f>IFERROR(VALUE(Raw_Data!F1111),"")</f>
        <v>4.4000000000000004</v>
      </c>
      <c r="H1111" s="14">
        <f>IFERROR(VALUE(SUBSTITUTE(Raw_Data!G1111,",","")),"")</f>
        <v>2981</v>
      </c>
      <c r="I1111" s="11">
        <f t="shared" si="68"/>
        <v>2796</v>
      </c>
      <c r="J1111" s="11">
        <f t="shared" si="69"/>
        <v>26229819</v>
      </c>
      <c r="K1111" s="1">
        <f t="shared" si="70"/>
        <v>2981.0001111000001</v>
      </c>
      <c r="L1111" s="15">
        <f t="shared" si="71"/>
        <v>0.24011109999999999</v>
      </c>
    </row>
    <row r="1112" spans="1:12" ht="15" customHeight="1" x14ac:dyDescent="0.25">
      <c r="A1112" s="10" t="str">
        <f>Raw_Data!A1112</f>
        <v>Milton Go Electro 2.0 Stainless Steel Electric Kettle, 1 Piece, 2 Litres, Silver | Power Indicator | 1500 Watts | Auto Cut-off | Detachable 360 Degree Connector | Boiler for Water</v>
      </c>
      <c r="B1112" s="10" t="str">
        <f>IFERROR(TRIM(LEFT(Raw_Data!A1112,FIND(" ",Raw_Data!A1112)-1)),Raw_Data!A1112)</f>
        <v>Milton</v>
      </c>
      <c r="C1112" s="10" t="str">
        <f>IFERROR(LEFT(Raw_Data!B1112,FIND("|",Raw_Data!B1112)-1),Raw_Data!B1112)</f>
        <v>Home&amp;Kitchen</v>
      </c>
      <c r="D1112" s="11">
        <f>IFERROR(VALUE(SUBSTITUTE(SUBSTITUTE(TRIM(Raw_Data!C1112),"₹",""),",","")),"")</f>
        <v>1345</v>
      </c>
      <c r="E1112" s="11">
        <f>IFERROR(VALUE(SUBSTITUTE(SUBSTITUTE(TRIM(Raw_Data!D1112),"₹",""),",","")),"")</f>
        <v>1750</v>
      </c>
      <c r="F1112" s="12">
        <f>IFERROR(VALUE(SUBSTITUTE(Raw_Data!E1112,"%",""))/100,"")</f>
        <v>0.23</v>
      </c>
      <c r="G1112" s="13">
        <f>IFERROR(VALUE(Raw_Data!F1112),"")</f>
        <v>3.8</v>
      </c>
      <c r="H1112" s="14">
        <f>IFERROR(VALUE(SUBSTITUTE(Raw_Data!G1112,",","")),"")</f>
        <v>2466</v>
      </c>
      <c r="I1112" s="11">
        <f t="shared" si="68"/>
        <v>405</v>
      </c>
      <c r="J1112" s="11">
        <f t="shared" si="69"/>
        <v>3316770</v>
      </c>
      <c r="K1112" s="1">
        <f t="shared" si="70"/>
        <v>2466.0001112</v>
      </c>
      <c r="L1112" s="15">
        <f t="shared" si="71"/>
        <v>0.23011120000000002</v>
      </c>
    </row>
    <row r="1113" spans="1:12" ht="15" customHeight="1" x14ac:dyDescent="0.25">
      <c r="A1113" s="10" t="str">
        <f>Raw_Data!A1113</f>
        <v>Philips Daily Collection HD2582/00 830-Watt 2-Slice Pop-up Toaster (White)</v>
      </c>
      <c r="B1113" s="10" t="str">
        <f>IFERROR(TRIM(LEFT(Raw_Data!A1113,FIND(" ",Raw_Data!A1113)-1)),Raw_Data!A1113)</f>
        <v>Philips</v>
      </c>
      <c r="C1113" s="10" t="str">
        <f>IFERROR(LEFT(Raw_Data!B1113,FIND("|",Raw_Data!B1113)-1),Raw_Data!B1113)</f>
        <v>Home&amp;Kitchen</v>
      </c>
      <c r="D1113" s="11">
        <f>IFERROR(VALUE(SUBSTITUTE(SUBSTITUTE(TRIM(Raw_Data!C1113),"₹",""),",","")),"")</f>
        <v>2095</v>
      </c>
      <c r="E1113" s="11">
        <f>IFERROR(VALUE(SUBSTITUTE(SUBSTITUTE(TRIM(Raw_Data!D1113),"₹",""),",","")),"")</f>
        <v>2095</v>
      </c>
      <c r="F1113" s="12">
        <f>IFERROR(VALUE(SUBSTITUTE(Raw_Data!E1113,"%",""))/100,"")</f>
        <v>0</v>
      </c>
      <c r="G1113" s="13">
        <f>IFERROR(VALUE(Raw_Data!F1113),"")</f>
        <v>4.5</v>
      </c>
      <c r="H1113" s="14">
        <f>IFERROR(VALUE(SUBSTITUTE(Raw_Data!G1113,",","")),"")</f>
        <v>7949</v>
      </c>
      <c r="I1113" s="11">
        <f t="shared" si="68"/>
        <v>0</v>
      </c>
      <c r="J1113" s="11">
        <f t="shared" si="69"/>
        <v>16653155</v>
      </c>
      <c r="K1113" s="1">
        <f t="shared" si="70"/>
        <v>7949.0001112999998</v>
      </c>
      <c r="L1113" s="15">
        <f t="shared" si="71"/>
        <v>1.1129999999999999E-4</v>
      </c>
    </row>
    <row r="1114" spans="1:12" ht="15" customHeight="1" x14ac:dyDescent="0.25">
      <c r="A1114" s="10" t="str">
        <f>Raw_Data!A1114</f>
        <v>Crompton Insta Comfy 800 Watt Room Heater with 2 Heat Settings(Grey Blue)</v>
      </c>
      <c r="B1114" s="10" t="str">
        <f>IFERROR(TRIM(LEFT(Raw_Data!A1114,FIND(" ",Raw_Data!A1114)-1)),Raw_Data!A1114)</f>
        <v>Crompton</v>
      </c>
      <c r="C1114" s="10" t="str">
        <f>IFERROR(LEFT(Raw_Data!B1114,FIND("|",Raw_Data!B1114)-1),Raw_Data!B1114)</f>
        <v>Home&amp;Kitchen</v>
      </c>
      <c r="D1114" s="11">
        <f>IFERROR(VALUE(SUBSTITUTE(SUBSTITUTE(TRIM(Raw_Data!C1114),"₹",""),",","")),"")</f>
        <v>1498</v>
      </c>
      <c r="E1114" s="11">
        <f>IFERROR(VALUE(SUBSTITUTE(SUBSTITUTE(TRIM(Raw_Data!D1114),"₹",""),",","")),"")</f>
        <v>2300</v>
      </c>
      <c r="F1114" s="12">
        <f>IFERROR(VALUE(SUBSTITUTE(Raw_Data!E1114,"%",""))/100,"")</f>
        <v>0.35</v>
      </c>
      <c r="G1114" s="13">
        <f>IFERROR(VALUE(Raw_Data!F1114),"")</f>
        <v>3.8</v>
      </c>
      <c r="H1114" s="14">
        <f>IFERROR(VALUE(SUBSTITUTE(Raw_Data!G1114,",","")),"")</f>
        <v>95</v>
      </c>
      <c r="I1114" s="11">
        <f t="shared" si="68"/>
        <v>802</v>
      </c>
      <c r="J1114" s="11">
        <f t="shared" si="69"/>
        <v>142310</v>
      </c>
      <c r="K1114" s="1">
        <f t="shared" si="70"/>
        <v>95.000111399999994</v>
      </c>
      <c r="L1114" s="15">
        <f t="shared" si="71"/>
        <v>0.35011139999999996</v>
      </c>
    </row>
    <row r="1115" spans="1:12" ht="15" customHeight="1" x14ac:dyDescent="0.25">
      <c r="A1115" s="10" t="str">
        <f>Raw_Data!A1115</f>
        <v>USHA Heat Convector 812 T 2000-Watt with Instant Heating Feature (Black)</v>
      </c>
      <c r="B1115" s="10" t="str">
        <f>IFERROR(TRIM(LEFT(Raw_Data!A1115,FIND(" ",Raw_Data!A1115)-1)),Raw_Data!A1115)</f>
        <v>USHA</v>
      </c>
      <c r="C1115" s="10" t="str">
        <f>IFERROR(LEFT(Raw_Data!B1115,FIND("|",Raw_Data!B1115)-1),Raw_Data!B1115)</f>
        <v>Home&amp;Kitchen</v>
      </c>
      <c r="D1115" s="11">
        <f>IFERROR(VALUE(SUBSTITUTE(SUBSTITUTE(TRIM(Raw_Data!C1115),"₹",""),",","")),"")</f>
        <v>2199</v>
      </c>
      <c r="E1115" s="11">
        <f>IFERROR(VALUE(SUBSTITUTE(SUBSTITUTE(TRIM(Raw_Data!D1115),"₹",""),",","")),"")</f>
        <v>2990</v>
      </c>
      <c r="F1115" s="12">
        <f>IFERROR(VALUE(SUBSTITUTE(Raw_Data!E1115,"%",""))/100,"")</f>
        <v>0.26</v>
      </c>
      <c r="G1115" s="13">
        <f>IFERROR(VALUE(Raw_Data!F1115),"")</f>
        <v>3.8</v>
      </c>
      <c r="H1115" s="14">
        <f>IFERROR(VALUE(SUBSTITUTE(Raw_Data!G1115,",","")),"")</f>
        <v>1558</v>
      </c>
      <c r="I1115" s="11">
        <f t="shared" si="68"/>
        <v>791</v>
      </c>
      <c r="J1115" s="11">
        <f t="shared" si="69"/>
        <v>3426042</v>
      </c>
      <c r="K1115" s="1">
        <f t="shared" si="70"/>
        <v>1558.0001115</v>
      </c>
      <c r="L1115" s="15">
        <f t="shared" si="71"/>
        <v>0.2601115</v>
      </c>
    </row>
    <row r="1116" spans="1:12" ht="15" customHeight="1" x14ac:dyDescent="0.25">
      <c r="A1116" s="10" t="str">
        <f>Raw_Data!A1116</f>
        <v>Philips HL7756/00 Mixer Grinder, 750W, 3 Jars (Black)</v>
      </c>
      <c r="B1116" s="10" t="str">
        <f>IFERROR(TRIM(LEFT(Raw_Data!A1116,FIND(" ",Raw_Data!A1116)-1)),Raw_Data!A1116)</f>
        <v>Philips</v>
      </c>
      <c r="C1116" s="10" t="str">
        <f>IFERROR(LEFT(Raw_Data!B1116,FIND("|",Raw_Data!B1116)-1),Raw_Data!B1116)</f>
        <v>Home&amp;Kitchen</v>
      </c>
      <c r="D1116" s="11">
        <f>IFERROR(VALUE(SUBSTITUTE(SUBSTITUTE(TRIM(Raw_Data!C1116),"₹",""),",","")),"")</f>
        <v>3699</v>
      </c>
      <c r="E1116" s="11">
        <f>IFERROR(VALUE(SUBSTITUTE(SUBSTITUTE(TRIM(Raw_Data!D1116),"₹",""),",","")),"")</f>
        <v>4295</v>
      </c>
      <c r="F1116" s="12">
        <f>IFERROR(VALUE(SUBSTITUTE(Raw_Data!E1116,"%",""))/100,"")</f>
        <v>0.14000000000000001</v>
      </c>
      <c r="G1116" s="13">
        <f>IFERROR(VALUE(Raw_Data!F1116),"")</f>
        <v>4.0999999999999996</v>
      </c>
      <c r="H1116" s="14">
        <f>IFERROR(VALUE(SUBSTITUTE(Raw_Data!G1116,",","")),"")</f>
        <v>26543</v>
      </c>
      <c r="I1116" s="11">
        <f t="shared" si="68"/>
        <v>596</v>
      </c>
      <c r="J1116" s="11">
        <f t="shared" si="69"/>
        <v>98182557</v>
      </c>
      <c r="K1116" s="1">
        <f t="shared" si="70"/>
        <v>26543.000111599998</v>
      </c>
      <c r="L1116" s="15">
        <f t="shared" si="71"/>
        <v>0.1401116</v>
      </c>
    </row>
    <row r="1117" spans="1:12" ht="15" customHeight="1" x14ac:dyDescent="0.25">
      <c r="A1117" s="10" t="str">
        <f>Raw_Data!A1117</f>
        <v>Kuber Industries Waterproof Round Non Wovan Laundry Bag/Hamper|Metalic Printed With Handles|Foldable Bin &amp; 45 Liter Capicity|Size 37 x 37 x 49, Pack of 1 (Beige &amp; Brown)-KUBMART11450</v>
      </c>
      <c r="B1117" s="10" t="str">
        <f>IFERROR(TRIM(LEFT(Raw_Data!A1117,FIND(" ",Raw_Data!A1117)-1)),Raw_Data!A1117)</f>
        <v>Kuber</v>
      </c>
      <c r="C1117" s="10" t="str">
        <f>IFERROR(LEFT(Raw_Data!B1117,FIND("|",Raw_Data!B1117)-1),Raw_Data!B1117)</f>
        <v>Home&amp;Kitchen</v>
      </c>
      <c r="D1117" s="11">
        <f>IFERROR(VALUE(SUBSTITUTE(SUBSTITUTE(TRIM(Raw_Data!C1117),"₹",""),",","")),"")</f>
        <v>177</v>
      </c>
      <c r="E1117" s="11">
        <f>IFERROR(VALUE(SUBSTITUTE(SUBSTITUTE(TRIM(Raw_Data!D1117),"₹",""),",","")),"")</f>
        <v>199</v>
      </c>
      <c r="F1117" s="12">
        <f>IFERROR(VALUE(SUBSTITUTE(Raw_Data!E1117,"%",""))/100,"")</f>
        <v>0.11</v>
      </c>
      <c r="G1117" s="13">
        <f>IFERROR(VALUE(Raw_Data!F1117),"")</f>
        <v>4.0999999999999996</v>
      </c>
      <c r="H1117" s="14">
        <f>IFERROR(VALUE(SUBSTITUTE(Raw_Data!G1117,",","")),"")</f>
        <v>3688</v>
      </c>
      <c r="I1117" s="11">
        <f t="shared" si="68"/>
        <v>22</v>
      </c>
      <c r="J1117" s="11">
        <f t="shared" si="69"/>
        <v>652776</v>
      </c>
      <c r="K1117" s="1">
        <f t="shared" si="70"/>
        <v>3688.0001117000002</v>
      </c>
      <c r="L1117" s="15">
        <f t="shared" si="71"/>
        <v>0.11011170000000001</v>
      </c>
    </row>
    <row r="1118" spans="1:12" ht="15" customHeight="1" x14ac:dyDescent="0.25">
      <c r="A1118" s="10" t="str">
        <f>Raw_Data!A1118</f>
        <v>Lifelong LLMG93 500 Watt Duos Mixer Grinder, 2 Stainless Steel Jar (Liquidizing and Chutney Jar)| ABS Body, Stainless Steel Blades, 3 Speed Options with Whip (1 Year Warranty, Black)</v>
      </c>
      <c r="B1118" s="10" t="str">
        <f>IFERROR(TRIM(LEFT(Raw_Data!A1118,FIND(" ",Raw_Data!A1118)-1)),Raw_Data!A1118)</f>
        <v>Lifelong</v>
      </c>
      <c r="C1118" s="10" t="str">
        <f>IFERROR(LEFT(Raw_Data!B1118,FIND("|",Raw_Data!B1118)-1),Raw_Data!B1118)</f>
        <v>Home&amp;Kitchen</v>
      </c>
      <c r="D1118" s="11">
        <f>IFERROR(VALUE(SUBSTITUTE(SUBSTITUTE(TRIM(Raw_Data!C1118),"₹",""),",","")),"")</f>
        <v>1149</v>
      </c>
      <c r="E1118" s="11">
        <f>IFERROR(VALUE(SUBSTITUTE(SUBSTITUTE(TRIM(Raw_Data!D1118),"₹",""),",","")),"")</f>
        <v>2499</v>
      </c>
      <c r="F1118" s="12">
        <f>IFERROR(VALUE(SUBSTITUTE(Raw_Data!E1118,"%",""))/100,"")</f>
        <v>0.54</v>
      </c>
      <c r="G1118" s="13">
        <f>IFERROR(VALUE(Raw_Data!F1118),"")</f>
        <v>3.8</v>
      </c>
      <c r="H1118" s="14">
        <f>IFERROR(VALUE(SUBSTITUTE(Raw_Data!G1118,",","")),"")</f>
        <v>4383</v>
      </c>
      <c r="I1118" s="11">
        <f t="shared" si="68"/>
        <v>1350</v>
      </c>
      <c r="J1118" s="11">
        <f t="shared" si="69"/>
        <v>5036067</v>
      </c>
      <c r="K1118" s="1">
        <f t="shared" si="70"/>
        <v>4383.0001118</v>
      </c>
      <c r="L1118" s="15">
        <f t="shared" si="71"/>
        <v>0.54011180000000003</v>
      </c>
    </row>
    <row r="1119" spans="1:12" ht="15" customHeight="1" x14ac:dyDescent="0.25">
      <c r="A1119" s="10" t="str">
        <f>Raw_Data!A1119</f>
        <v>IKEA Frother for Milk</v>
      </c>
      <c r="B1119" s="10" t="str">
        <f>IFERROR(TRIM(LEFT(Raw_Data!A1119,FIND(" ",Raw_Data!A1119)-1)),Raw_Data!A1119)</f>
        <v>IKEA</v>
      </c>
      <c r="C1119" s="10" t="str">
        <f>IFERROR(LEFT(Raw_Data!B1119,FIND("|",Raw_Data!B1119)-1),Raw_Data!B1119)</f>
        <v>Home&amp;Kitchen</v>
      </c>
      <c r="D1119" s="11">
        <f>IFERROR(VALUE(SUBSTITUTE(SUBSTITUTE(TRIM(Raw_Data!C1119),"₹",""),",","")),"")</f>
        <v>244</v>
      </c>
      <c r="E1119" s="11">
        <f>IFERROR(VALUE(SUBSTITUTE(SUBSTITUTE(TRIM(Raw_Data!D1119),"₹",""),",","")),"")</f>
        <v>499</v>
      </c>
      <c r="F1119" s="12">
        <f>IFERROR(VALUE(SUBSTITUTE(Raw_Data!E1119,"%",""))/100,"")</f>
        <v>0.51</v>
      </c>
      <c r="G1119" s="13">
        <f>IFERROR(VALUE(Raw_Data!F1119),"")</f>
        <v>3.3</v>
      </c>
      <c r="H1119" s="14">
        <f>IFERROR(VALUE(SUBSTITUTE(Raw_Data!G1119,",","")),"")</f>
        <v>478</v>
      </c>
      <c r="I1119" s="11">
        <f t="shared" si="68"/>
        <v>255</v>
      </c>
      <c r="J1119" s="11">
        <f t="shared" si="69"/>
        <v>116632</v>
      </c>
      <c r="K1119" s="1">
        <f t="shared" si="70"/>
        <v>478.00011189999998</v>
      </c>
      <c r="L1119" s="15">
        <f t="shared" si="71"/>
        <v>0.51011190000000006</v>
      </c>
    </row>
    <row r="1120" spans="1:12" ht="15" customHeight="1" x14ac:dyDescent="0.25">
      <c r="A1120" s="10" t="str">
        <f>Raw_Data!A1120</f>
        <v>Crompton Insta Comfort Heater 2000 Watts Heat Convector with Adjustable Thermostats, Hybrid Cyan, Standard (‎ACGRH- INSTACOMFORT)</v>
      </c>
      <c r="B1120" s="10" t="str">
        <f>IFERROR(TRIM(LEFT(Raw_Data!A1120,FIND(" ",Raw_Data!A1120)-1)),Raw_Data!A1120)</f>
        <v>Crompton</v>
      </c>
      <c r="C1120" s="10" t="str">
        <f>IFERROR(LEFT(Raw_Data!B1120,FIND("|",Raw_Data!B1120)-1),Raw_Data!B1120)</f>
        <v>Home&amp;Kitchen</v>
      </c>
      <c r="D1120" s="11">
        <f>IFERROR(VALUE(SUBSTITUTE(SUBSTITUTE(TRIM(Raw_Data!C1120),"₹",""),",","")),"")</f>
        <v>1959</v>
      </c>
      <c r="E1120" s="11">
        <f>IFERROR(VALUE(SUBSTITUTE(SUBSTITUTE(TRIM(Raw_Data!D1120),"₹",""),",","")),"")</f>
        <v>2400</v>
      </c>
      <c r="F1120" s="12">
        <f>IFERROR(VALUE(SUBSTITUTE(Raw_Data!E1120,"%",""))/100,"")</f>
        <v>0.18</v>
      </c>
      <c r="G1120" s="13">
        <f>IFERROR(VALUE(Raw_Data!F1120),"")</f>
        <v>4</v>
      </c>
      <c r="H1120" s="14">
        <f>IFERROR(VALUE(SUBSTITUTE(Raw_Data!G1120,",","")),"")</f>
        <v>237</v>
      </c>
      <c r="I1120" s="11">
        <f t="shared" si="68"/>
        <v>441</v>
      </c>
      <c r="J1120" s="11">
        <f t="shared" si="69"/>
        <v>464283</v>
      </c>
      <c r="K1120" s="1">
        <f t="shared" si="70"/>
        <v>237.000112</v>
      </c>
      <c r="L1120" s="15">
        <f t="shared" si="71"/>
        <v>0.18011199999999999</v>
      </c>
    </row>
    <row r="1121" spans="1:12" ht="15" customHeight="1" x14ac:dyDescent="0.25">
      <c r="A1121" s="10" t="str">
        <f>Raw_Data!A1121</f>
        <v>Lint Remover Woolen Clothes Lint Extractor Battery Lint Removing Machine Bhur Remover</v>
      </c>
      <c r="B1121" s="10" t="str">
        <f>IFERROR(TRIM(LEFT(Raw_Data!A1121,FIND(" ",Raw_Data!A1121)-1)),Raw_Data!A1121)</f>
        <v>Lint</v>
      </c>
      <c r="C1121" s="10" t="str">
        <f>IFERROR(LEFT(Raw_Data!B1121,FIND("|",Raw_Data!B1121)-1),Raw_Data!B1121)</f>
        <v>Home&amp;Kitchen</v>
      </c>
      <c r="D1121" s="11">
        <f>IFERROR(VALUE(SUBSTITUTE(SUBSTITUTE(TRIM(Raw_Data!C1121),"₹",""),",","")),"")</f>
        <v>319</v>
      </c>
      <c r="E1121" s="11">
        <f>IFERROR(VALUE(SUBSTITUTE(SUBSTITUTE(TRIM(Raw_Data!D1121),"₹",""),",","")),"")</f>
        <v>749</v>
      </c>
      <c r="F1121" s="12">
        <f>IFERROR(VALUE(SUBSTITUTE(Raw_Data!E1121,"%",""))/100,"")</f>
        <v>0.56999999999999995</v>
      </c>
      <c r="G1121" s="13">
        <f>IFERROR(VALUE(Raw_Data!F1121),"")</f>
        <v>4.5999999999999996</v>
      </c>
      <c r="H1121" s="14">
        <f>IFERROR(VALUE(SUBSTITUTE(Raw_Data!G1121,",","")),"")</f>
        <v>124</v>
      </c>
      <c r="I1121" s="11">
        <f t="shared" si="68"/>
        <v>430</v>
      </c>
      <c r="J1121" s="11">
        <f t="shared" si="69"/>
        <v>39556</v>
      </c>
      <c r="K1121" s="1">
        <f t="shared" si="70"/>
        <v>124.0001121</v>
      </c>
      <c r="L1121" s="15">
        <f t="shared" si="71"/>
        <v>0.5701120999999999</v>
      </c>
    </row>
    <row r="1122" spans="1:12" ht="15" customHeight="1" x14ac:dyDescent="0.25">
      <c r="A1122" s="10" t="str">
        <f>Raw_Data!A1122</f>
        <v>Pigeon Kessel Multipurpose Kettle (12173) 1.2 litres with Stainless Steel Body, used for boiling Water and milk, Tea, Coffee, Oats, Noodles, Soup etc. 600 Watt (Black &amp; Silver)</v>
      </c>
      <c r="B1122" s="10" t="str">
        <f>IFERROR(TRIM(LEFT(Raw_Data!A1122,FIND(" ",Raw_Data!A1122)-1)),Raw_Data!A1122)</f>
        <v>Pigeon</v>
      </c>
      <c r="C1122" s="10" t="str">
        <f>IFERROR(LEFT(Raw_Data!B1122,FIND("|",Raw_Data!B1122)-1),Raw_Data!B1122)</f>
        <v>Home&amp;Kitchen</v>
      </c>
      <c r="D1122" s="11">
        <f>IFERROR(VALUE(SUBSTITUTE(SUBSTITUTE(TRIM(Raw_Data!C1122),"₹",""),",","")),"")</f>
        <v>1499</v>
      </c>
      <c r="E1122" s="11">
        <f>IFERROR(VALUE(SUBSTITUTE(SUBSTITUTE(TRIM(Raw_Data!D1122),"₹",""),",","")),"")</f>
        <v>1775</v>
      </c>
      <c r="F1122" s="12">
        <f>IFERROR(VALUE(SUBSTITUTE(Raw_Data!E1122,"%",""))/100,"")</f>
        <v>0.16</v>
      </c>
      <c r="G1122" s="13">
        <f>IFERROR(VALUE(Raw_Data!F1122),"")</f>
        <v>3.9</v>
      </c>
      <c r="H1122" s="14">
        <f>IFERROR(VALUE(SUBSTITUTE(Raw_Data!G1122,",","")),"")</f>
        <v>14667</v>
      </c>
      <c r="I1122" s="11">
        <f t="shared" si="68"/>
        <v>276</v>
      </c>
      <c r="J1122" s="11">
        <f t="shared" si="69"/>
        <v>21985833</v>
      </c>
      <c r="K1122" s="1">
        <f t="shared" si="70"/>
        <v>14667.000112199999</v>
      </c>
      <c r="L1122" s="15">
        <f t="shared" si="71"/>
        <v>0.16011220000000001</v>
      </c>
    </row>
    <row r="1123" spans="1:12" ht="15" customHeight="1" x14ac:dyDescent="0.25">
      <c r="A1123" s="10" t="str">
        <f>Raw_Data!A1123</f>
        <v>C (DEVICE) Lint Remover for Woolen Clothes, Electric Lint Remover, Best Lint Shaver for Clothes Pack of 1</v>
      </c>
      <c r="B1123" s="10" t="str">
        <f>IFERROR(TRIM(LEFT(Raw_Data!A1123,FIND(" ",Raw_Data!A1123)-1)),Raw_Data!A1123)</f>
        <v>C</v>
      </c>
      <c r="C1123" s="10" t="str">
        <f>IFERROR(LEFT(Raw_Data!B1123,FIND("|",Raw_Data!B1123)-1),Raw_Data!B1123)</f>
        <v>Home&amp;Kitchen</v>
      </c>
      <c r="D1123" s="11">
        <f>IFERROR(VALUE(SUBSTITUTE(SUBSTITUTE(TRIM(Raw_Data!C1123),"₹",""),",","")),"")</f>
        <v>469</v>
      </c>
      <c r="E1123" s="11">
        <f>IFERROR(VALUE(SUBSTITUTE(SUBSTITUTE(TRIM(Raw_Data!D1123),"₹",""),",","")),"")</f>
        <v>1599</v>
      </c>
      <c r="F1123" s="12">
        <f>IFERROR(VALUE(SUBSTITUTE(Raw_Data!E1123,"%",""))/100,"")</f>
        <v>0.71</v>
      </c>
      <c r="G1123" s="13">
        <f>IFERROR(VALUE(Raw_Data!F1123),"")</f>
        <v>3.7</v>
      </c>
      <c r="H1123" s="14">
        <f>IFERROR(VALUE(SUBSTITUTE(Raw_Data!G1123,",","")),"")</f>
        <v>6</v>
      </c>
      <c r="I1123" s="11">
        <f t="shared" si="68"/>
        <v>1130</v>
      </c>
      <c r="J1123" s="11">
        <f t="shared" si="69"/>
        <v>2814</v>
      </c>
      <c r="K1123" s="1">
        <f t="shared" si="70"/>
        <v>6.0001122999999996</v>
      </c>
      <c r="L1123" s="15">
        <f t="shared" si="71"/>
        <v>0.71011229999999992</v>
      </c>
    </row>
    <row r="1124" spans="1:12" ht="15" customHeight="1" x14ac:dyDescent="0.25">
      <c r="A1124" s="10" t="str">
        <f>Raw_Data!A1124</f>
        <v>Pigeon by Stovekraft 2 Slice Auto Pop up Toaster. A Smart Bread Toaster for Your Home (750 Watt) (black)</v>
      </c>
      <c r="B1124" s="10" t="str">
        <f>IFERROR(TRIM(LEFT(Raw_Data!A1124,FIND(" ",Raw_Data!A1124)-1)),Raw_Data!A1124)</f>
        <v>Pigeon</v>
      </c>
      <c r="C1124" s="10" t="str">
        <f>IFERROR(LEFT(Raw_Data!B1124,FIND("|",Raw_Data!B1124)-1),Raw_Data!B1124)</f>
        <v>Home&amp;Kitchen</v>
      </c>
      <c r="D1124" s="11">
        <f>IFERROR(VALUE(SUBSTITUTE(SUBSTITUTE(TRIM(Raw_Data!C1124),"₹",""),",","")),"")</f>
        <v>1099</v>
      </c>
      <c r="E1124" s="11">
        <f>IFERROR(VALUE(SUBSTITUTE(SUBSTITUTE(TRIM(Raw_Data!D1124),"₹",""),",","")),"")</f>
        <v>1795</v>
      </c>
      <c r="F1124" s="12">
        <f>IFERROR(VALUE(SUBSTITUTE(Raw_Data!E1124,"%",""))/100,"")</f>
        <v>0.39</v>
      </c>
      <c r="G1124" s="13">
        <f>IFERROR(VALUE(Raw_Data!F1124),"")</f>
        <v>4.2</v>
      </c>
      <c r="H1124" s="14">
        <f>IFERROR(VALUE(SUBSTITUTE(Raw_Data!G1124,",","")),"")</f>
        <v>4244</v>
      </c>
      <c r="I1124" s="11">
        <f t="shared" si="68"/>
        <v>696</v>
      </c>
      <c r="J1124" s="11">
        <f t="shared" si="69"/>
        <v>4664156</v>
      </c>
      <c r="K1124" s="1">
        <f t="shared" si="70"/>
        <v>4244.0001124</v>
      </c>
      <c r="L1124" s="15">
        <f t="shared" si="71"/>
        <v>0.39011240000000003</v>
      </c>
    </row>
    <row r="1125" spans="1:12" ht="15" customHeight="1" x14ac:dyDescent="0.25">
      <c r="A1125" s="10" t="str">
        <f>Raw_Data!A1125</f>
        <v>Bajaj OFR Room Heater, 13 Fin 2900 Watts Oil Filled Room Heater with 400W PTC Ceramic Fan Heater, ISI Approved (Majesty 13F Plus Black)</v>
      </c>
      <c r="B1125" s="10" t="str">
        <f>IFERROR(TRIM(LEFT(Raw_Data!A1125,FIND(" ",Raw_Data!A1125)-1)),Raw_Data!A1125)</f>
        <v>Bajaj</v>
      </c>
      <c r="C1125" s="10" t="str">
        <f>IFERROR(LEFT(Raw_Data!B1125,FIND("|",Raw_Data!B1125)-1),Raw_Data!B1125)</f>
        <v>Home&amp;Kitchen</v>
      </c>
      <c r="D1125" s="11">
        <f>IFERROR(VALUE(SUBSTITUTE(SUBSTITUTE(TRIM(Raw_Data!C1125),"₹",""),",","")),"")</f>
        <v>9590</v>
      </c>
      <c r="E1125" s="11">
        <f>IFERROR(VALUE(SUBSTITUTE(SUBSTITUTE(TRIM(Raw_Data!D1125),"₹",""),",","")),"")</f>
        <v>15999</v>
      </c>
      <c r="F1125" s="12">
        <f>IFERROR(VALUE(SUBSTITUTE(Raw_Data!E1125,"%",""))/100,"")</f>
        <v>0.4</v>
      </c>
      <c r="G1125" s="13">
        <f>IFERROR(VALUE(Raw_Data!F1125),"")</f>
        <v>4.0999999999999996</v>
      </c>
      <c r="H1125" s="14">
        <f>IFERROR(VALUE(SUBSTITUTE(Raw_Data!G1125,",","")),"")</f>
        <v>1017</v>
      </c>
      <c r="I1125" s="11">
        <f t="shared" si="68"/>
        <v>6409</v>
      </c>
      <c r="J1125" s="11">
        <f t="shared" si="69"/>
        <v>9753030</v>
      </c>
      <c r="K1125" s="1">
        <f t="shared" si="70"/>
        <v>1017.0001125</v>
      </c>
      <c r="L1125" s="15">
        <f t="shared" si="71"/>
        <v>0.40011250000000004</v>
      </c>
    </row>
    <row r="1126" spans="1:12" ht="15" customHeight="1" x14ac:dyDescent="0.25">
      <c r="A1126" s="10" t="str">
        <f>Raw_Data!A1126</f>
        <v>Luminous Vento Deluxe 150 mm Exhaust Fan for Kitchen, Bathroom with Strong Air Suction, Rust Proof Body and Dust Protection Shutters (2-Year Warranty, White)</v>
      </c>
      <c r="B1126" s="10" t="str">
        <f>IFERROR(TRIM(LEFT(Raw_Data!A1126,FIND(" ",Raw_Data!A1126)-1)),Raw_Data!A1126)</f>
        <v>Luminous</v>
      </c>
      <c r="C1126" s="10" t="str">
        <f>IFERROR(LEFT(Raw_Data!B1126,FIND("|",Raw_Data!B1126)-1),Raw_Data!B1126)</f>
        <v>Home&amp;Kitchen</v>
      </c>
      <c r="D1126" s="11">
        <f>IFERROR(VALUE(SUBSTITUTE(SUBSTITUTE(TRIM(Raw_Data!C1126),"₹",""),",","")),"")</f>
        <v>999</v>
      </c>
      <c r="E1126" s="11">
        <f>IFERROR(VALUE(SUBSTITUTE(SUBSTITUTE(TRIM(Raw_Data!D1126),"₹",""),",","")),"")</f>
        <v>1490</v>
      </c>
      <c r="F1126" s="12">
        <f>IFERROR(VALUE(SUBSTITUTE(Raw_Data!E1126,"%",""))/100,"")</f>
        <v>0.33</v>
      </c>
      <c r="G1126" s="13">
        <f>IFERROR(VALUE(Raw_Data!F1126),"")</f>
        <v>4.0999999999999996</v>
      </c>
      <c r="H1126" s="14">
        <f>IFERROR(VALUE(SUBSTITUTE(Raw_Data!G1126,",","")),"")</f>
        <v>12999</v>
      </c>
      <c r="I1126" s="11">
        <f t="shared" si="68"/>
        <v>491</v>
      </c>
      <c r="J1126" s="11">
        <f t="shared" si="69"/>
        <v>12986001</v>
      </c>
      <c r="K1126" s="1">
        <f t="shared" si="70"/>
        <v>12999.000112600001</v>
      </c>
      <c r="L1126" s="15">
        <f t="shared" si="71"/>
        <v>0.33011260000000003</v>
      </c>
    </row>
    <row r="1127" spans="1:12" ht="15" customHeight="1" x14ac:dyDescent="0.25">
      <c r="A1127" s="10" t="str">
        <f>Raw_Data!A1127</f>
        <v>Wipro Vesta 1.8 litre Cool touch electric Kettle with Auto cut off | Double Layer outer body | Triple Protection - Dry Boil, Steam &amp; Over Heat |Stainless Steel Inner Body | (Black, 1500 Watt)</v>
      </c>
      <c r="B1127" s="10" t="str">
        <f>IFERROR(TRIM(LEFT(Raw_Data!A1127,FIND(" ",Raw_Data!A1127)-1)),Raw_Data!A1127)</f>
        <v>Wipro</v>
      </c>
      <c r="C1127" s="10" t="str">
        <f>IFERROR(LEFT(Raw_Data!B1127,FIND("|",Raw_Data!B1127)-1),Raw_Data!B1127)</f>
        <v>Home&amp;Kitchen</v>
      </c>
      <c r="D1127" s="11">
        <f>IFERROR(VALUE(SUBSTITUTE(SUBSTITUTE(TRIM(Raw_Data!C1127),"₹",""),",","")),"")</f>
        <v>1299</v>
      </c>
      <c r="E1127" s="11">
        <f>IFERROR(VALUE(SUBSTITUTE(SUBSTITUTE(TRIM(Raw_Data!D1127),"₹",""),",","")),"")</f>
        <v>1999</v>
      </c>
      <c r="F1127" s="12">
        <f>IFERROR(VALUE(SUBSTITUTE(Raw_Data!E1127,"%",""))/100,"")</f>
        <v>0.35</v>
      </c>
      <c r="G1127" s="13">
        <f>IFERROR(VALUE(Raw_Data!F1127),"")</f>
        <v>3.8</v>
      </c>
      <c r="H1127" s="14">
        <f>IFERROR(VALUE(SUBSTITUTE(Raw_Data!G1127,",","")),"")</f>
        <v>311</v>
      </c>
      <c r="I1127" s="11">
        <f t="shared" si="68"/>
        <v>700</v>
      </c>
      <c r="J1127" s="11">
        <f t="shared" si="69"/>
        <v>403989</v>
      </c>
      <c r="K1127" s="1">
        <f t="shared" si="70"/>
        <v>311.00011269999999</v>
      </c>
      <c r="L1127" s="15">
        <f t="shared" si="71"/>
        <v>0.3501127</v>
      </c>
    </row>
    <row r="1128" spans="1:12" ht="15" customHeight="1" x14ac:dyDescent="0.25">
      <c r="A1128" s="10" t="str">
        <f>Raw_Data!A1128</f>
        <v>Kitchen Mart Stainless Steel South Indian Filter Coffee Drip Maker, Madras Kappi, Drip Decotion Maker160ml (2 Cup)</v>
      </c>
      <c r="B1128" s="10" t="str">
        <f>IFERROR(TRIM(LEFT(Raw_Data!A1128,FIND(" ",Raw_Data!A1128)-1)),Raw_Data!A1128)</f>
        <v>Kitchen</v>
      </c>
      <c r="C1128" s="10" t="str">
        <f>IFERROR(LEFT(Raw_Data!B1128,FIND("|",Raw_Data!B1128)-1),Raw_Data!B1128)</f>
        <v>Home&amp;Kitchen</v>
      </c>
      <c r="D1128" s="11">
        <f>IFERROR(VALUE(SUBSTITUTE(SUBSTITUTE(TRIM(Raw_Data!C1128),"₹",""),",","")),"")</f>
        <v>292</v>
      </c>
      <c r="E1128" s="11">
        <f>IFERROR(VALUE(SUBSTITUTE(SUBSTITUTE(TRIM(Raw_Data!D1128),"₹",""),",","")),"")</f>
        <v>499</v>
      </c>
      <c r="F1128" s="12">
        <f>IFERROR(VALUE(SUBSTITUTE(Raw_Data!E1128,"%",""))/100,"")</f>
        <v>0.41</v>
      </c>
      <c r="G1128" s="13">
        <f>IFERROR(VALUE(Raw_Data!F1128),"")</f>
        <v>4.0999999999999996</v>
      </c>
      <c r="H1128" s="14">
        <f>IFERROR(VALUE(SUBSTITUTE(Raw_Data!G1128,",","")),"")</f>
        <v>4238</v>
      </c>
      <c r="I1128" s="11">
        <f t="shared" si="68"/>
        <v>207</v>
      </c>
      <c r="J1128" s="11">
        <f t="shared" si="69"/>
        <v>1237496</v>
      </c>
      <c r="K1128" s="1">
        <f t="shared" si="70"/>
        <v>4238.0001128000004</v>
      </c>
      <c r="L1128" s="15">
        <f t="shared" si="71"/>
        <v>0.4101128</v>
      </c>
    </row>
    <row r="1129" spans="1:12" ht="15" customHeight="1" x14ac:dyDescent="0.25">
      <c r="A1129" s="10" t="str">
        <f>Raw_Data!A1129</f>
        <v>Ikea 903.391.72 Polypropylene Plastic Solid Bevara Sealing Clip (Multicolour) - 30 Pack, Adjustable</v>
      </c>
      <c r="B1129" s="10" t="str">
        <f>IFERROR(TRIM(LEFT(Raw_Data!A1129,FIND(" ",Raw_Data!A1129)-1)),Raw_Data!A1129)</f>
        <v>Ikea</v>
      </c>
      <c r="C1129" s="10" t="str">
        <f>IFERROR(LEFT(Raw_Data!B1129,FIND("|",Raw_Data!B1129)-1),Raw_Data!B1129)</f>
        <v>Home&amp;Kitchen</v>
      </c>
      <c r="D1129" s="11">
        <f>IFERROR(VALUE(SUBSTITUTE(SUBSTITUTE(TRIM(Raw_Data!C1129),"₹",""),",","")),"")</f>
        <v>160</v>
      </c>
      <c r="E1129" s="11">
        <f>IFERROR(VALUE(SUBSTITUTE(SUBSTITUTE(TRIM(Raw_Data!D1129),"₹",""),",","")),"")</f>
        <v>299</v>
      </c>
      <c r="F1129" s="12">
        <f>IFERROR(VALUE(SUBSTITUTE(Raw_Data!E1129,"%",""))/100,"")</f>
        <v>0.46</v>
      </c>
      <c r="G1129" s="13">
        <f>IFERROR(VALUE(Raw_Data!F1129),"")</f>
        <v>4.5999999999999996</v>
      </c>
      <c r="H1129" s="14">
        <f>IFERROR(VALUE(SUBSTITUTE(Raw_Data!G1129,",","")),"")</f>
        <v>2781</v>
      </c>
      <c r="I1129" s="11">
        <f t="shared" si="68"/>
        <v>139</v>
      </c>
      <c r="J1129" s="11">
        <f t="shared" si="69"/>
        <v>444960</v>
      </c>
      <c r="K1129" s="1">
        <f t="shared" si="70"/>
        <v>2781.0001129000002</v>
      </c>
      <c r="L1129" s="15">
        <f t="shared" si="71"/>
        <v>0.46011290000000005</v>
      </c>
    </row>
    <row r="1130" spans="1:12" ht="15" customHeight="1" x14ac:dyDescent="0.25">
      <c r="A1130" s="10" t="str">
        <f>Raw_Data!A1130</f>
        <v>HUL Pureit Germkill kit for Classic 23 L water purifier - 1500 L Capacity</v>
      </c>
      <c r="B1130" s="10" t="str">
        <f>IFERROR(TRIM(LEFT(Raw_Data!A1130,FIND(" ",Raw_Data!A1130)-1)),Raw_Data!A1130)</f>
        <v>HUL</v>
      </c>
      <c r="C1130" s="10" t="str">
        <f>IFERROR(LEFT(Raw_Data!B1130,FIND("|",Raw_Data!B1130)-1),Raw_Data!B1130)</f>
        <v>Home&amp;Kitchen</v>
      </c>
      <c r="D1130" s="11">
        <f>IFERROR(VALUE(SUBSTITUTE(SUBSTITUTE(TRIM(Raw_Data!C1130),"₹",""),",","")),"")</f>
        <v>600</v>
      </c>
      <c r="E1130" s="11">
        <f>IFERROR(VALUE(SUBSTITUTE(SUBSTITUTE(TRIM(Raw_Data!D1130),"₹",""),",","")),"")</f>
        <v>600</v>
      </c>
      <c r="F1130" s="12">
        <f>IFERROR(VALUE(SUBSTITUTE(Raw_Data!E1130,"%",""))/100,"")</f>
        <v>0</v>
      </c>
      <c r="G1130" s="13">
        <f>IFERROR(VALUE(Raw_Data!F1130),"")</f>
        <v>4.0999999999999996</v>
      </c>
      <c r="H1130" s="14">
        <f>IFERROR(VALUE(SUBSTITUTE(Raw_Data!G1130,",","")),"")</f>
        <v>10907</v>
      </c>
      <c r="I1130" s="11">
        <f t="shared" si="68"/>
        <v>0</v>
      </c>
      <c r="J1130" s="11">
        <f t="shared" si="69"/>
        <v>6544200</v>
      </c>
      <c r="K1130" s="1">
        <f t="shared" si="70"/>
        <v>10907.000113</v>
      </c>
      <c r="L1130" s="15">
        <f t="shared" si="71"/>
        <v>1.13E-4</v>
      </c>
    </row>
    <row r="1131" spans="1:12" ht="15" customHeight="1" x14ac:dyDescent="0.25">
      <c r="A1131" s="10" t="str">
        <f>Raw_Data!A1131</f>
        <v>HUL Pureit Germkill kit for Classic 23 L water purifier - 3000 L Capacity</v>
      </c>
      <c r="B1131" s="10" t="str">
        <f>IFERROR(TRIM(LEFT(Raw_Data!A1131,FIND(" ",Raw_Data!A1131)-1)),Raw_Data!A1131)</f>
        <v>HUL</v>
      </c>
      <c r="C1131" s="10" t="str">
        <f>IFERROR(LEFT(Raw_Data!B1131,FIND("|",Raw_Data!B1131)-1),Raw_Data!B1131)</f>
        <v>Home&amp;Kitchen</v>
      </c>
      <c r="D1131" s="11">
        <f>IFERROR(VALUE(SUBSTITUTE(SUBSTITUTE(TRIM(Raw_Data!C1131),"₹",""),",","")),"")</f>
        <v>1130</v>
      </c>
      <c r="E1131" s="11">
        <f>IFERROR(VALUE(SUBSTITUTE(SUBSTITUTE(TRIM(Raw_Data!D1131),"₹",""),",","")),"")</f>
        <v>1130</v>
      </c>
      <c r="F1131" s="12">
        <f>IFERROR(VALUE(SUBSTITUTE(Raw_Data!E1131,"%",""))/100,"")</f>
        <v>0</v>
      </c>
      <c r="G1131" s="13">
        <f>IFERROR(VALUE(Raw_Data!F1131),"")</f>
        <v>4.2</v>
      </c>
      <c r="H1131" s="14">
        <f>IFERROR(VALUE(SUBSTITUTE(Raw_Data!G1131,",","")),"")</f>
        <v>13250</v>
      </c>
      <c r="I1131" s="11">
        <f t="shared" si="68"/>
        <v>0</v>
      </c>
      <c r="J1131" s="11">
        <f t="shared" si="69"/>
        <v>14972500</v>
      </c>
      <c r="K1131" s="1">
        <f t="shared" si="70"/>
        <v>13250.000113100001</v>
      </c>
      <c r="L1131" s="15">
        <f t="shared" si="71"/>
        <v>1.131E-4</v>
      </c>
    </row>
    <row r="1132" spans="1:12" ht="15" customHeight="1" x14ac:dyDescent="0.25">
      <c r="A1132" s="10" t="str">
        <f>Raw_Data!A1132</f>
        <v>Prestige Iris 750 Watt Mixer Grinder with 3 Stainless Steel Jar + 1 Juicer Jar (White and Blue)</v>
      </c>
      <c r="B1132" s="10" t="str">
        <f>IFERROR(TRIM(LEFT(Raw_Data!A1132,FIND(" ",Raw_Data!A1132)-1)),Raw_Data!A1132)</f>
        <v>Prestige</v>
      </c>
      <c r="C1132" s="10" t="str">
        <f>IFERROR(LEFT(Raw_Data!B1132,FIND("|",Raw_Data!B1132)-1),Raw_Data!B1132)</f>
        <v>Home&amp;Kitchen</v>
      </c>
      <c r="D1132" s="11">
        <f>IFERROR(VALUE(SUBSTITUTE(SUBSTITUTE(TRIM(Raw_Data!C1132),"₹",""),",","")),"")</f>
        <v>3249</v>
      </c>
      <c r="E1132" s="11">
        <f>IFERROR(VALUE(SUBSTITUTE(SUBSTITUTE(TRIM(Raw_Data!D1132),"₹",""),",","")),"")</f>
        <v>6295</v>
      </c>
      <c r="F1132" s="12">
        <f>IFERROR(VALUE(SUBSTITUTE(Raw_Data!E1132,"%",""))/100,"")</f>
        <v>0.48</v>
      </c>
      <c r="G1132" s="13">
        <f>IFERROR(VALUE(Raw_Data!F1132),"")</f>
        <v>3.9</v>
      </c>
      <c r="H1132" s="14">
        <f>IFERROR(VALUE(SUBSTITUTE(Raw_Data!G1132,",","")),"")</f>
        <v>43070</v>
      </c>
      <c r="I1132" s="11">
        <f t="shared" si="68"/>
        <v>3046</v>
      </c>
      <c r="J1132" s="11">
        <f t="shared" si="69"/>
        <v>139934430</v>
      </c>
      <c r="K1132" s="1">
        <f t="shared" si="70"/>
        <v>43070.000113200003</v>
      </c>
      <c r="L1132" s="15">
        <f t="shared" si="71"/>
        <v>0.48011319999999996</v>
      </c>
    </row>
    <row r="1133" spans="1:12" ht="15" customHeight="1" x14ac:dyDescent="0.25">
      <c r="A1133" s="10" t="str">
        <f>Raw_Data!A1133</f>
        <v>Preethi Blue Leaf Diamond MG-214 mixer grinder 750 watt (Blue/White), 3 jars &amp; Flexi Lid, FBT motor with 2yr Guarantee &amp; Lifelong Free Service</v>
      </c>
      <c r="B1133" s="10" t="str">
        <f>IFERROR(TRIM(LEFT(Raw_Data!A1133,FIND(" ",Raw_Data!A1133)-1)),Raw_Data!A1133)</f>
        <v>Preethi</v>
      </c>
      <c r="C1133" s="10" t="str">
        <f>IFERROR(LEFT(Raw_Data!B1133,FIND("|",Raw_Data!B1133)-1),Raw_Data!B1133)</f>
        <v>Home&amp;Kitchen</v>
      </c>
      <c r="D1133" s="11">
        <f>IFERROR(VALUE(SUBSTITUTE(SUBSTITUTE(TRIM(Raw_Data!C1133),"₹",""),",","")),"")</f>
        <v>3599</v>
      </c>
      <c r="E1133" s="11">
        <f>IFERROR(VALUE(SUBSTITUTE(SUBSTITUTE(TRIM(Raw_Data!D1133),"₹",""),",","")),"")</f>
        <v>9455</v>
      </c>
      <c r="F1133" s="12">
        <f>IFERROR(VALUE(SUBSTITUTE(Raw_Data!E1133,"%",""))/100,"")</f>
        <v>0.62</v>
      </c>
      <c r="G1133" s="13">
        <f>IFERROR(VALUE(Raw_Data!F1133),"")</f>
        <v>4.0999999999999996</v>
      </c>
      <c r="H1133" s="14">
        <f>IFERROR(VALUE(SUBSTITUTE(Raw_Data!G1133,",","")),"")</f>
        <v>11828</v>
      </c>
      <c r="I1133" s="11">
        <f t="shared" si="68"/>
        <v>5856</v>
      </c>
      <c r="J1133" s="11">
        <f t="shared" si="69"/>
        <v>42568972</v>
      </c>
      <c r="K1133" s="1">
        <f t="shared" si="70"/>
        <v>11828.000113300001</v>
      </c>
      <c r="L1133" s="15">
        <f t="shared" si="71"/>
        <v>0.62011329999999998</v>
      </c>
    </row>
    <row r="1134" spans="1:12" ht="15" customHeight="1" x14ac:dyDescent="0.25">
      <c r="A1134" s="10" t="str">
        <f>Raw_Data!A1134</f>
        <v>Themisto 350 Watts Egg Boiler-Blue</v>
      </c>
      <c r="B1134" s="10" t="str">
        <f>IFERROR(TRIM(LEFT(Raw_Data!A1134,FIND(" ",Raw_Data!A1134)-1)),Raw_Data!A1134)</f>
        <v>Themisto</v>
      </c>
      <c r="C1134" s="10" t="str">
        <f>IFERROR(LEFT(Raw_Data!B1134,FIND("|",Raw_Data!B1134)-1),Raw_Data!B1134)</f>
        <v>Home&amp;Kitchen</v>
      </c>
      <c r="D1134" s="11">
        <f>IFERROR(VALUE(SUBSTITUTE(SUBSTITUTE(TRIM(Raw_Data!C1134),"₹",""),",","")),"")</f>
        <v>368</v>
      </c>
      <c r="E1134" s="11">
        <f>IFERROR(VALUE(SUBSTITUTE(SUBSTITUTE(TRIM(Raw_Data!D1134),"₹",""),",","")),"")</f>
        <v>699</v>
      </c>
      <c r="F1134" s="12">
        <f>IFERROR(VALUE(SUBSTITUTE(Raw_Data!E1134,"%",""))/100,"")</f>
        <v>0.47</v>
      </c>
      <c r="G1134" s="13">
        <f>IFERROR(VALUE(Raw_Data!F1134),"")</f>
        <v>4.0999999999999996</v>
      </c>
      <c r="H1134" s="14">
        <f>IFERROR(VALUE(SUBSTITUTE(Raw_Data!G1134,",","")),"")</f>
        <v>1240</v>
      </c>
      <c r="I1134" s="11">
        <f t="shared" si="68"/>
        <v>331</v>
      </c>
      <c r="J1134" s="11">
        <f t="shared" si="69"/>
        <v>456320</v>
      </c>
      <c r="K1134" s="1">
        <f t="shared" si="70"/>
        <v>1240.0001133999999</v>
      </c>
      <c r="L1134" s="15">
        <f t="shared" si="71"/>
        <v>0.47011339999999996</v>
      </c>
    </row>
    <row r="1135" spans="1:12" ht="15" customHeight="1" x14ac:dyDescent="0.25">
      <c r="A1135" s="10" t="str">
        <f>Raw_Data!A1135</f>
        <v>Butterfly Smart Mixer Grinder, 750W, 4 Jars (Grey)</v>
      </c>
      <c r="B1135" s="10" t="str">
        <f>IFERROR(TRIM(LEFT(Raw_Data!A1135,FIND(" ",Raw_Data!A1135)-1)),Raw_Data!A1135)</f>
        <v>Butterfly</v>
      </c>
      <c r="C1135" s="10" t="str">
        <f>IFERROR(LEFT(Raw_Data!B1135,FIND("|",Raw_Data!B1135)-1),Raw_Data!B1135)</f>
        <v>Home&amp;Kitchen</v>
      </c>
      <c r="D1135" s="11">
        <f>IFERROR(VALUE(SUBSTITUTE(SUBSTITUTE(TRIM(Raw_Data!C1135),"₹",""),",","")),"")</f>
        <v>3199</v>
      </c>
      <c r="E1135" s="11">
        <f>IFERROR(VALUE(SUBSTITUTE(SUBSTITUTE(TRIM(Raw_Data!D1135),"₹",""),",","")),"")</f>
        <v>4999</v>
      </c>
      <c r="F1135" s="12">
        <f>IFERROR(VALUE(SUBSTITUTE(Raw_Data!E1135,"%",""))/100,"")</f>
        <v>0.36</v>
      </c>
      <c r="G1135" s="13">
        <f>IFERROR(VALUE(Raw_Data!F1135),"")</f>
        <v>4</v>
      </c>
      <c r="H1135" s="14">
        <f>IFERROR(VALUE(SUBSTITUTE(Raw_Data!G1135,",","")),"")</f>
        <v>20869</v>
      </c>
      <c r="I1135" s="11">
        <f t="shared" si="68"/>
        <v>1800</v>
      </c>
      <c r="J1135" s="11">
        <f t="shared" si="69"/>
        <v>66759931</v>
      </c>
      <c r="K1135" s="1">
        <f t="shared" si="70"/>
        <v>20869.000113499998</v>
      </c>
      <c r="L1135" s="15">
        <f t="shared" si="71"/>
        <v>0.36011349999999998</v>
      </c>
    </row>
    <row r="1136" spans="1:12" ht="15" customHeight="1" x14ac:dyDescent="0.25">
      <c r="A1136" s="10" t="str">
        <f>Raw_Data!A1136</f>
        <v>KENT Smart Multi Cooker Cum Kettle 1.2 Liter 800 Watts, Electric Cooker with Steamer &amp; Boiler for Idlis, Instant Noodles, Momos, Eggs, &amp; Steam Vegetables, Inner Stainless Steel &amp; Cool Touch Outer Body</v>
      </c>
      <c r="B1136" s="10" t="str">
        <f>IFERROR(TRIM(LEFT(Raw_Data!A1136,FIND(" ",Raw_Data!A1136)-1)),Raw_Data!A1136)</f>
        <v>KENT</v>
      </c>
      <c r="C1136" s="10" t="str">
        <f>IFERROR(LEFT(Raw_Data!B1136,FIND("|",Raw_Data!B1136)-1),Raw_Data!B1136)</f>
        <v>Home&amp;Kitchen</v>
      </c>
      <c r="D1136" s="11">
        <f>IFERROR(VALUE(SUBSTITUTE(SUBSTITUTE(TRIM(Raw_Data!C1136),"₹",""),",","")),"")</f>
        <v>1599</v>
      </c>
      <c r="E1136" s="11">
        <f>IFERROR(VALUE(SUBSTITUTE(SUBSTITUTE(TRIM(Raw_Data!D1136),"₹",""),",","")),"")</f>
        <v>2900</v>
      </c>
      <c r="F1136" s="12">
        <f>IFERROR(VALUE(SUBSTITUTE(Raw_Data!E1136,"%",""))/100,"")</f>
        <v>0.45</v>
      </c>
      <c r="G1136" s="13">
        <f>IFERROR(VALUE(Raw_Data!F1136),"")</f>
        <v>3.7</v>
      </c>
      <c r="H1136" s="14">
        <f>IFERROR(VALUE(SUBSTITUTE(Raw_Data!G1136,",","")),"")</f>
        <v>441</v>
      </c>
      <c r="I1136" s="11">
        <f t="shared" si="68"/>
        <v>1301</v>
      </c>
      <c r="J1136" s="11">
        <f t="shared" si="69"/>
        <v>705159</v>
      </c>
      <c r="K1136" s="1">
        <f t="shared" si="70"/>
        <v>441.00011360000002</v>
      </c>
      <c r="L1136" s="15">
        <f t="shared" si="71"/>
        <v>0.4501136</v>
      </c>
    </row>
    <row r="1137" spans="1:12" ht="15" customHeight="1" x14ac:dyDescent="0.25">
      <c r="A1137" s="10" t="str">
        <f>Raw_Data!A1137</f>
        <v>InstaCuppa Portable Blender for Smoothie, Milk Shakes, Crushing Ice and Juices, USB Rechargeable Personal Blender Machine for Kitchen with 2000 mAh Rechargeable Battery, 150 Watt Motor, 400 ML</v>
      </c>
      <c r="B1137" s="10" t="str">
        <f>IFERROR(TRIM(LEFT(Raw_Data!A1137,FIND(" ",Raw_Data!A1137)-1)),Raw_Data!A1137)</f>
        <v>InstaCuppa</v>
      </c>
      <c r="C1137" s="10" t="str">
        <f>IFERROR(LEFT(Raw_Data!B1137,FIND("|",Raw_Data!B1137)-1),Raw_Data!B1137)</f>
        <v>Home&amp;Kitchen</v>
      </c>
      <c r="D1137" s="11">
        <f>IFERROR(VALUE(SUBSTITUTE(SUBSTITUTE(TRIM(Raw_Data!C1137),"₹",""),",","")),"")</f>
        <v>1999</v>
      </c>
      <c r="E1137" s="11">
        <f>IFERROR(VALUE(SUBSTITUTE(SUBSTITUTE(TRIM(Raw_Data!D1137),"₹",""),",","")),"")</f>
        <v>2499</v>
      </c>
      <c r="F1137" s="12">
        <f>IFERROR(VALUE(SUBSTITUTE(Raw_Data!E1137,"%",""))/100,"")</f>
        <v>0.2</v>
      </c>
      <c r="G1137" s="13">
        <f>IFERROR(VALUE(Raw_Data!F1137),"")</f>
        <v>4.0999999999999996</v>
      </c>
      <c r="H1137" s="14">
        <f>IFERROR(VALUE(SUBSTITUTE(Raw_Data!G1137,",","")),"")</f>
        <v>1034</v>
      </c>
      <c r="I1137" s="11">
        <f t="shared" si="68"/>
        <v>500</v>
      </c>
      <c r="J1137" s="11">
        <f t="shared" si="69"/>
        <v>2066966</v>
      </c>
      <c r="K1137" s="1">
        <f t="shared" si="70"/>
        <v>1034.0001136999999</v>
      </c>
      <c r="L1137" s="15">
        <f t="shared" si="71"/>
        <v>0.20011370000000001</v>
      </c>
    </row>
    <row r="1138" spans="1:12" ht="15" customHeight="1" x14ac:dyDescent="0.25">
      <c r="A1138" s="10" t="str">
        <f>Raw_Data!A1138</f>
        <v>USHA EI 1602 1000 W Lightweight Dry Iron with Non-Stick Soleplate (Multi-colour)</v>
      </c>
      <c r="B1138" s="10" t="str">
        <f>IFERROR(TRIM(LEFT(Raw_Data!A1138,FIND(" ",Raw_Data!A1138)-1)),Raw_Data!A1138)</f>
        <v>USHA</v>
      </c>
      <c r="C1138" s="10" t="str">
        <f>IFERROR(LEFT(Raw_Data!B1138,FIND("|",Raw_Data!B1138)-1),Raw_Data!B1138)</f>
        <v>Home&amp;Kitchen</v>
      </c>
      <c r="D1138" s="11">
        <f>IFERROR(VALUE(SUBSTITUTE(SUBSTITUTE(TRIM(Raw_Data!C1138),"₹",""),",","")),"")</f>
        <v>616</v>
      </c>
      <c r="E1138" s="11">
        <f>IFERROR(VALUE(SUBSTITUTE(SUBSTITUTE(TRIM(Raw_Data!D1138),"₹",""),",","")),"")</f>
        <v>1190</v>
      </c>
      <c r="F1138" s="12">
        <f>IFERROR(VALUE(SUBSTITUTE(Raw_Data!E1138,"%",""))/100,"")</f>
        <v>0.48</v>
      </c>
      <c r="G1138" s="13">
        <f>IFERROR(VALUE(Raw_Data!F1138),"")</f>
        <v>4.0999999999999996</v>
      </c>
      <c r="H1138" s="14">
        <f>IFERROR(VALUE(SUBSTITUTE(Raw_Data!G1138,",","")),"")</f>
        <v>37126</v>
      </c>
      <c r="I1138" s="11">
        <f t="shared" si="68"/>
        <v>574</v>
      </c>
      <c r="J1138" s="11">
        <f t="shared" si="69"/>
        <v>22869616</v>
      </c>
      <c r="K1138" s="1">
        <f t="shared" si="70"/>
        <v>37126.000113800001</v>
      </c>
      <c r="L1138" s="15">
        <f t="shared" si="71"/>
        <v>0.48011379999999998</v>
      </c>
    </row>
    <row r="1139" spans="1:12" ht="15" customHeight="1" x14ac:dyDescent="0.25">
      <c r="A1139" s="10" t="str">
        <f>Raw_Data!A1139</f>
        <v>KENT 16044 Hand Blender Stainless Steel 400 W | Variable Speed Control | Easy to Clean and Store | Low Noise Operation</v>
      </c>
      <c r="B1139" s="10" t="str">
        <f>IFERROR(TRIM(LEFT(Raw_Data!A1139,FIND(" ",Raw_Data!A1139)-1)),Raw_Data!A1139)</f>
        <v>KENT</v>
      </c>
      <c r="C1139" s="10" t="str">
        <f>IFERROR(LEFT(Raw_Data!B1139,FIND("|",Raw_Data!B1139)-1),Raw_Data!B1139)</f>
        <v>Home&amp;Kitchen</v>
      </c>
      <c r="D1139" s="11">
        <f>IFERROR(VALUE(SUBSTITUTE(SUBSTITUTE(TRIM(Raw_Data!C1139),"₹",""),",","")),"")</f>
        <v>1499</v>
      </c>
      <c r="E1139" s="11">
        <f>IFERROR(VALUE(SUBSTITUTE(SUBSTITUTE(TRIM(Raw_Data!D1139),"₹",""),",","")),"")</f>
        <v>2100</v>
      </c>
      <c r="F1139" s="12">
        <f>IFERROR(VALUE(SUBSTITUTE(Raw_Data!E1139,"%",""))/100,"")</f>
        <v>0.28999999999999998</v>
      </c>
      <c r="G1139" s="13">
        <f>IFERROR(VALUE(Raw_Data!F1139),"")</f>
        <v>4.0999999999999996</v>
      </c>
      <c r="H1139" s="14">
        <f>IFERROR(VALUE(SUBSTITUTE(Raw_Data!G1139,",","")),"")</f>
        <v>6355</v>
      </c>
      <c r="I1139" s="11">
        <f t="shared" si="68"/>
        <v>601</v>
      </c>
      <c r="J1139" s="11">
        <f t="shared" si="69"/>
        <v>9526145</v>
      </c>
      <c r="K1139" s="1">
        <f t="shared" si="70"/>
        <v>6355.0001138999996</v>
      </c>
      <c r="L1139" s="15">
        <f t="shared" si="71"/>
        <v>0.29011389999999998</v>
      </c>
    </row>
    <row r="1140" spans="1:12" ht="15" customHeight="1" x14ac:dyDescent="0.25">
      <c r="A1140" s="10" t="str">
        <f>Raw_Data!A1140</f>
        <v>White Feather Portable Heat Sealer Mini Sealing Machine for Food Storage Vacuum Bag, Chip, Plastic, Snack Bags, Package Home Closer Storage Tool (Multicolor) Random Colour</v>
      </c>
      <c r="B1140" s="10" t="str">
        <f>IFERROR(TRIM(LEFT(Raw_Data!A1140,FIND(" ",Raw_Data!A1140)-1)),Raw_Data!A1140)</f>
        <v>White</v>
      </c>
      <c r="C1140" s="10" t="str">
        <f>IFERROR(LEFT(Raw_Data!B1140,FIND("|",Raw_Data!B1140)-1),Raw_Data!B1140)</f>
        <v>Home&amp;Kitchen</v>
      </c>
      <c r="D1140" s="11">
        <f>IFERROR(VALUE(SUBSTITUTE(SUBSTITUTE(TRIM(Raw_Data!C1140),"₹",""),",","")),"")</f>
        <v>199</v>
      </c>
      <c r="E1140" s="11">
        <f>IFERROR(VALUE(SUBSTITUTE(SUBSTITUTE(TRIM(Raw_Data!D1140),"₹",""),",","")),"")</f>
        <v>499</v>
      </c>
      <c r="F1140" s="12">
        <f>IFERROR(VALUE(SUBSTITUTE(Raw_Data!E1140,"%",""))/100,"")</f>
        <v>0.6</v>
      </c>
      <c r="G1140" s="13">
        <f>IFERROR(VALUE(Raw_Data!F1140),"")</f>
        <v>3.3</v>
      </c>
      <c r="H1140" s="14">
        <f>IFERROR(VALUE(SUBSTITUTE(Raw_Data!G1140,",","")),"")</f>
        <v>12</v>
      </c>
      <c r="I1140" s="11">
        <f t="shared" si="68"/>
        <v>300</v>
      </c>
      <c r="J1140" s="11">
        <f t="shared" si="69"/>
        <v>2388</v>
      </c>
      <c r="K1140" s="1">
        <f t="shared" si="70"/>
        <v>12.000114</v>
      </c>
      <c r="L1140" s="15">
        <f t="shared" si="71"/>
        <v>0.60011399999999993</v>
      </c>
    </row>
    <row r="1141" spans="1:12" ht="15" customHeight="1" x14ac:dyDescent="0.25">
      <c r="A1141" s="10" t="str">
        <f>Raw_Data!A1141</f>
        <v>Crompton IHL 152 1500-Watt Immersion Water Heater with Copper Heating Element (Black)</v>
      </c>
      <c r="B1141" s="10" t="str">
        <f>IFERROR(TRIM(LEFT(Raw_Data!A1141,FIND(" ",Raw_Data!A1141)-1)),Raw_Data!A1141)</f>
        <v>Crompton</v>
      </c>
      <c r="C1141" s="10" t="str">
        <f>IFERROR(LEFT(Raw_Data!B1141,FIND("|",Raw_Data!B1141)-1),Raw_Data!B1141)</f>
        <v>Home&amp;Kitchen</v>
      </c>
      <c r="D1141" s="11">
        <f>IFERROR(VALUE(SUBSTITUTE(SUBSTITUTE(TRIM(Raw_Data!C1141),"₹",""),",","")),"")</f>
        <v>610</v>
      </c>
      <c r="E1141" s="11">
        <f>IFERROR(VALUE(SUBSTITUTE(SUBSTITUTE(TRIM(Raw_Data!D1141),"₹",""),",","")),"")</f>
        <v>825</v>
      </c>
      <c r="F1141" s="12">
        <f>IFERROR(VALUE(SUBSTITUTE(Raw_Data!E1141,"%",""))/100,"")</f>
        <v>0.26</v>
      </c>
      <c r="G1141" s="13">
        <f>IFERROR(VALUE(Raw_Data!F1141),"")</f>
        <v>4.0999999999999996</v>
      </c>
      <c r="H1141" s="14">
        <f>IFERROR(VALUE(SUBSTITUTE(Raw_Data!G1141,",","")),"")</f>
        <v>13165</v>
      </c>
      <c r="I1141" s="11">
        <f t="shared" si="68"/>
        <v>215</v>
      </c>
      <c r="J1141" s="11">
        <f t="shared" si="69"/>
        <v>8030650</v>
      </c>
      <c r="K1141" s="1">
        <f t="shared" si="70"/>
        <v>13165.000114099999</v>
      </c>
      <c r="L1141" s="15">
        <f t="shared" si="71"/>
        <v>0.26011410000000001</v>
      </c>
    </row>
    <row r="1142" spans="1:12" ht="15" customHeight="1" x14ac:dyDescent="0.25">
      <c r="A1142" s="10" t="str">
        <f>Raw_Data!A1142</f>
        <v>InstaCuppa Rechargeable Mini Electric Chopper - Stainless Steel Blades, One Touch Operation, for Mincing Garlic, Ginger, Onion, Vegetable, Meat, Nuts, (White, 250 ML, Pack of 1, 45 Watts)</v>
      </c>
      <c r="B1142" s="10" t="str">
        <f>IFERROR(TRIM(LEFT(Raw_Data!A1142,FIND(" ",Raw_Data!A1142)-1)),Raw_Data!A1142)</f>
        <v>InstaCuppa</v>
      </c>
      <c r="C1142" s="10" t="str">
        <f>IFERROR(LEFT(Raw_Data!B1142,FIND("|",Raw_Data!B1142)-1),Raw_Data!B1142)</f>
        <v>Home&amp;Kitchen</v>
      </c>
      <c r="D1142" s="11">
        <f>IFERROR(VALUE(SUBSTITUTE(SUBSTITUTE(TRIM(Raw_Data!C1142),"₹",""),",","")),"")</f>
        <v>999</v>
      </c>
      <c r="E1142" s="11">
        <f>IFERROR(VALUE(SUBSTITUTE(SUBSTITUTE(TRIM(Raw_Data!D1142),"₹",""),",","")),"")</f>
        <v>1499</v>
      </c>
      <c r="F1142" s="12">
        <f>IFERROR(VALUE(SUBSTITUTE(Raw_Data!E1142,"%",""))/100,"")</f>
        <v>0.33</v>
      </c>
      <c r="G1142" s="13">
        <f>IFERROR(VALUE(Raw_Data!F1142),"")</f>
        <v>4.0999999999999996</v>
      </c>
      <c r="H1142" s="14">
        <f>IFERROR(VALUE(SUBSTITUTE(Raw_Data!G1142,",","")),"")</f>
        <v>1646</v>
      </c>
      <c r="I1142" s="11">
        <f t="shared" si="68"/>
        <v>500</v>
      </c>
      <c r="J1142" s="11">
        <f t="shared" si="69"/>
        <v>1644354</v>
      </c>
      <c r="K1142" s="1">
        <f t="shared" si="70"/>
        <v>1646.0001142000001</v>
      </c>
      <c r="L1142" s="15">
        <f t="shared" si="71"/>
        <v>0.33011420000000002</v>
      </c>
    </row>
    <row r="1143" spans="1:12" ht="15" customHeight="1" x14ac:dyDescent="0.25">
      <c r="A1143" s="10" t="str">
        <f>Raw_Data!A1143</f>
        <v>Philips PowerPro FC9352/01 Compact Bagless Vacuum Cleaner (Blue)</v>
      </c>
      <c r="B1143" s="10" t="str">
        <f>IFERROR(TRIM(LEFT(Raw_Data!A1143,FIND(" ",Raw_Data!A1143)-1)),Raw_Data!A1143)</f>
        <v>Philips</v>
      </c>
      <c r="C1143" s="10" t="str">
        <f>IFERROR(LEFT(Raw_Data!B1143,FIND("|",Raw_Data!B1143)-1),Raw_Data!B1143)</f>
        <v>Home&amp;Kitchen</v>
      </c>
      <c r="D1143" s="11">
        <f>IFERROR(VALUE(SUBSTITUTE(SUBSTITUTE(TRIM(Raw_Data!C1143),"₹",""),",","")),"")</f>
        <v>8999</v>
      </c>
      <c r="E1143" s="11">
        <f>IFERROR(VALUE(SUBSTITUTE(SUBSTITUTE(TRIM(Raw_Data!D1143),"₹",""),",","")),"")</f>
        <v>9995</v>
      </c>
      <c r="F1143" s="12">
        <f>IFERROR(VALUE(SUBSTITUTE(Raw_Data!E1143,"%",""))/100,"")</f>
        <v>0.1</v>
      </c>
      <c r="G1143" s="13">
        <f>IFERROR(VALUE(Raw_Data!F1143),"")</f>
        <v>4.4000000000000004</v>
      </c>
      <c r="H1143" s="14">
        <f>IFERROR(VALUE(SUBSTITUTE(Raw_Data!G1143,",","")),"")</f>
        <v>17994</v>
      </c>
      <c r="I1143" s="11">
        <f t="shared" si="68"/>
        <v>996</v>
      </c>
      <c r="J1143" s="11">
        <f t="shared" si="69"/>
        <v>161928006</v>
      </c>
      <c r="K1143" s="1">
        <f t="shared" si="70"/>
        <v>17994.000114300001</v>
      </c>
      <c r="L1143" s="15">
        <f t="shared" si="71"/>
        <v>0.1001143</v>
      </c>
    </row>
    <row r="1144" spans="1:12" ht="15" customHeight="1" x14ac:dyDescent="0.25">
      <c r="A1144" s="10" t="str">
        <f>Raw_Data!A1144</f>
        <v>SAIELLIN Electric Lint Remover for Clothes Fabric Shaver Lint Shaver for Woolen Clothes Blanket Jackets Stainless Steel Blades, Clothes and Furniture Lint Roller for Fabrics Portable Lint Shavers (White Orange)</v>
      </c>
      <c r="B1144" s="10" t="str">
        <f>IFERROR(TRIM(LEFT(Raw_Data!A1144,FIND(" ",Raw_Data!A1144)-1)),Raw_Data!A1144)</f>
        <v>SAIELLIN</v>
      </c>
      <c r="C1144" s="10" t="str">
        <f>IFERROR(LEFT(Raw_Data!B1144,FIND("|",Raw_Data!B1144)-1),Raw_Data!B1144)</f>
        <v>Home&amp;Kitchen</v>
      </c>
      <c r="D1144" s="11">
        <f>IFERROR(VALUE(SUBSTITUTE(SUBSTITUTE(TRIM(Raw_Data!C1144),"₹",""),",","")),"")</f>
        <v>453</v>
      </c>
      <c r="E1144" s="11">
        <f>IFERROR(VALUE(SUBSTITUTE(SUBSTITUTE(TRIM(Raw_Data!D1144),"₹",""),",","")),"")</f>
        <v>999</v>
      </c>
      <c r="F1144" s="12">
        <f>IFERROR(VALUE(SUBSTITUTE(Raw_Data!E1144,"%",""))/100,"")</f>
        <v>0.55000000000000004</v>
      </c>
      <c r="G1144" s="13">
        <f>IFERROR(VALUE(Raw_Data!F1144),"")</f>
        <v>4.3</v>
      </c>
      <c r="H1144" s="14">
        <f>IFERROR(VALUE(SUBSTITUTE(Raw_Data!G1144,",","")),"")</f>
        <v>610</v>
      </c>
      <c r="I1144" s="11">
        <f t="shared" si="68"/>
        <v>546</v>
      </c>
      <c r="J1144" s="11">
        <f t="shared" si="69"/>
        <v>276330</v>
      </c>
      <c r="K1144" s="1">
        <f t="shared" si="70"/>
        <v>610.00011440000003</v>
      </c>
      <c r="L1144" s="15">
        <f t="shared" si="71"/>
        <v>0.5501144</v>
      </c>
    </row>
    <row r="1145" spans="1:12" ht="15" customHeight="1" x14ac:dyDescent="0.25">
      <c r="A1145" s="10" t="str">
        <f>Raw_Data!A1145</f>
        <v>Cookwell Bullet Mixer Grinder (5 Jars, 3 Blades, Silver)</v>
      </c>
      <c r="B1145" s="10" t="str">
        <f>IFERROR(TRIM(LEFT(Raw_Data!A1145,FIND(" ",Raw_Data!A1145)-1)),Raw_Data!A1145)</f>
        <v>Cookwell</v>
      </c>
      <c r="C1145" s="10" t="str">
        <f>IFERROR(LEFT(Raw_Data!B1145,FIND("|",Raw_Data!B1145)-1),Raw_Data!B1145)</f>
        <v>Home&amp;Kitchen</v>
      </c>
      <c r="D1145" s="11">
        <f>IFERROR(VALUE(SUBSTITUTE(SUBSTITUTE(TRIM(Raw_Data!C1145),"₹",""),",","")),"")</f>
        <v>2464</v>
      </c>
      <c r="E1145" s="11">
        <f>IFERROR(VALUE(SUBSTITUTE(SUBSTITUTE(TRIM(Raw_Data!D1145),"₹",""),",","")),"")</f>
        <v>6000</v>
      </c>
      <c r="F1145" s="12">
        <f>IFERROR(VALUE(SUBSTITUTE(Raw_Data!E1145,"%",""))/100,"")</f>
        <v>0.59</v>
      </c>
      <c r="G1145" s="13">
        <f>IFERROR(VALUE(Raw_Data!F1145),"")</f>
        <v>4.0999999999999996</v>
      </c>
      <c r="H1145" s="14">
        <f>IFERROR(VALUE(SUBSTITUTE(Raw_Data!G1145,",","")),"")</f>
        <v>8866</v>
      </c>
      <c r="I1145" s="11">
        <f t="shared" si="68"/>
        <v>3536</v>
      </c>
      <c r="J1145" s="11">
        <f t="shared" si="69"/>
        <v>21845824</v>
      </c>
      <c r="K1145" s="1">
        <f t="shared" si="70"/>
        <v>8866.0001145000006</v>
      </c>
      <c r="L1145" s="15">
        <f t="shared" si="71"/>
        <v>0.59011449999999999</v>
      </c>
    </row>
    <row r="1146" spans="1:12" ht="15" customHeight="1" x14ac:dyDescent="0.25">
      <c r="A1146" s="10" t="str">
        <f>Raw_Data!A1146</f>
        <v>Prestige PRWO 1.8-2 700-Watts Delight Electric Rice Cooker with 2 Aluminium Cooking Pans - 1.8 Liters, White</v>
      </c>
      <c r="B1146" s="10" t="str">
        <f>IFERROR(TRIM(LEFT(Raw_Data!A1146,FIND(" ",Raw_Data!A1146)-1)),Raw_Data!A1146)</f>
        <v>Prestige</v>
      </c>
      <c r="C1146" s="10" t="str">
        <f>IFERROR(LEFT(Raw_Data!B1146,FIND("|",Raw_Data!B1146)-1),Raw_Data!B1146)</f>
        <v>Home&amp;Kitchen</v>
      </c>
      <c r="D1146" s="11">
        <f>IFERROR(VALUE(SUBSTITUTE(SUBSTITUTE(TRIM(Raw_Data!C1146),"₹",""),",","")),"")</f>
        <v>2719</v>
      </c>
      <c r="E1146" s="11">
        <f>IFERROR(VALUE(SUBSTITUTE(SUBSTITUTE(TRIM(Raw_Data!D1146),"₹",""),",","")),"")</f>
        <v>3945</v>
      </c>
      <c r="F1146" s="12">
        <f>IFERROR(VALUE(SUBSTITUTE(Raw_Data!E1146,"%",""))/100,"")</f>
        <v>0.31</v>
      </c>
      <c r="G1146" s="13">
        <f>IFERROR(VALUE(Raw_Data!F1146),"")</f>
        <v>3.7</v>
      </c>
      <c r="H1146" s="14">
        <f>IFERROR(VALUE(SUBSTITUTE(Raw_Data!G1146,",","")),"")</f>
        <v>13406</v>
      </c>
      <c r="I1146" s="11">
        <f t="shared" si="68"/>
        <v>1226</v>
      </c>
      <c r="J1146" s="11">
        <f t="shared" si="69"/>
        <v>36450914</v>
      </c>
      <c r="K1146" s="1">
        <f t="shared" si="70"/>
        <v>13406.0001146</v>
      </c>
      <c r="L1146" s="15">
        <f t="shared" si="71"/>
        <v>0.31011460000000002</v>
      </c>
    </row>
    <row r="1147" spans="1:12" ht="15" customHeight="1" x14ac:dyDescent="0.25">
      <c r="A1147" s="10" t="str">
        <f>Raw_Data!A1147</f>
        <v>Swiffer Instant Electric Water Heater Faucet Tap Home-Kitchen Instantaneous Water Heater Tank less for Tap, LED Electric Head Water Heaters Tail Gallon Comfort(3000W) ((Pack of 1))</v>
      </c>
      <c r="B1147" s="10" t="str">
        <f>IFERROR(TRIM(LEFT(Raw_Data!A1147,FIND(" ",Raw_Data!A1147)-1)),Raw_Data!A1147)</f>
        <v>Swiffer</v>
      </c>
      <c r="C1147" s="10" t="str">
        <f>IFERROR(LEFT(Raw_Data!B1147,FIND("|",Raw_Data!B1147)-1),Raw_Data!B1147)</f>
        <v>Home&amp;Kitchen</v>
      </c>
      <c r="D1147" s="11">
        <f>IFERROR(VALUE(SUBSTITUTE(SUBSTITUTE(TRIM(Raw_Data!C1147),"₹",""),",","")),"")</f>
        <v>1439</v>
      </c>
      <c r="E1147" s="11">
        <f>IFERROR(VALUE(SUBSTITUTE(SUBSTITUTE(TRIM(Raw_Data!D1147),"₹",""),",","")),"")</f>
        <v>1999</v>
      </c>
      <c r="F1147" s="12">
        <f>IFERROR(VALUE(SUBSTITUTE(Raw_Data!E1147,"%",""))/100,"")</f>
        <v>0.28000000000000003</v>
      </c>
      <c r="G1147" s="13">
        <f>IFERROR(VALUE(Raw_Data!F1147),"")</f>
        <v>4.8</v>
      </c>
      <c r="H1147" s="14">
        <f>IFERROR(VALUE(SUBSTITUTE(Raw_Data!G1147,",","")),"")</f>
        <v>53803</v>
      </c>
      <c r="I1147" s="11">
        <f t="shared" si="68"/>
        <v>560</v>
      </c>
      <c r="J1147" s="11">
        <f t="shared" si="69"/>
        <v>77422517</v>
      </c>
      <c r="K1147" s="1">
        <f t="shared" si="70"/>
        <v>53803.0001147</v>
      </c>
      <c r="L1147" s="15">
        <f t="shared" si="71"/>
        <v>0.28011470000000005</v>
      </c>
    </row>
    <row r="1148" spans="1:12" ht="15" customHeight="1" x14ac:dyDescent="0.25">
      <c r="A1148" s="10" t="str">
        <f>Raw_Data!A1148</f>
        <v>InstaCuppa Portable Blender for Smoothie, Milk Shakes, Crushing Ice and Juices, USB Rechargeable Personal Blender Machine for Kitchen with 4000 mAh Rechargeable Battery, 230 Watt Motor, 500 ML</v>
      </c>
      <c r="B1148" s="10" t="str">
        <f>IFERROR(TRIM(LEFT(Raw_Data!A1148,FIND(" ",Raw_Data!A1148)-1)),Raw_Data!A1148)</f>
        <v>InstaCuppa</v>
      </c>
      <c r="C1148" s="10" t="str">
        <f>IFERROR(LEFT(Raw_Data!B1148,FIND("|",Raw_Data!B1148)-1),Raw_Data!B1148)</f>
        <v>Home&amp;Kitchen</v>
      </c>
      <c r="D1148" s="11">
        <f>IFERROR(VALUE(SUBSTITUTE(SUBSTITUTE(TRIM(Raw_Data!C1148),"₹",""),",","")),"")</f>
        <v>2799</v>
      </c>
      <c r="E1148" s="11">
        <f>IFERROR(VALUE(SUBSTITUTE(SUBSTITUTE(TRIM(Raw_Data!D1148),"₹",""),",","")),"")</f>
        <v>3499</v>
      </c>
      <c r="F1148" s="12">
        <f>IFERROR(VALUE(SUBSTITUTE(Raw_Data!E1148,"%",""))/100,"")</f>
        <v>0.2</v>
      </c>
      <c r="G1148" s="13">
        <f>IFERROR(VALUE(Raw_Data!F1148),"")</f>
        <v>4.5</v>
      </c>
      <c r="H1148" s="14">
        <f>IFERROR(VALUE(SUBSTITUTE(Raw_Data!G1148,",","")),"")</f>
        <v>546</v>
      </c>
      <c r="I1148" s="11">
        <f t="shared" si="68"/>
        <v>700</v>
      </c>
      <c r="J1148" s="11">
        <f t="shared" si="69"/>
        <v>1528254</v>
      </c>
      <c r="K1148" s="1">
        <f t="shared" si="70"/>
        <v>546.00011480000001</v>
      </c>
      <c r="L1148" s="15">
        <f t="shared" si="71"/>
        <v>0.20011480000000001</v>
      </c>
    </row>
    <row r="1149" spans="1:12" ht="15" customHeight="1" x14ac:dyDescent="0.25">
      <c r="A1149" s="10" t="str">
        <f>Raw_Data!A1149</f>
        <v>Lifelong LLWH106 Flash 3 Litres Instant Water Heater for Home Use, 8 Bar Pressure,Power On/Off Indicator and Advanced Safety, (3000W, ISI Certified, 2 Years Warranty)</v>
      </c>
      <c r="B1149" s="10" t="str">
        <f>IFERROR(TRIM(LEFT(Raw_Data!A1149,FIND(" ",Raw_Data!A1149)-1)),Raw_Data!A1149)</f>
        <v>Lifelong</v>
      </c>
      <c r="C1149" s="10" t="str">
        <f>IFERROR(LEFT(Raw_Data!B1149,FIND("|",Raw_Data!B1149)-1),Raw_Data!B1149)</f>
        <v>Home&amp;Kitchen</v>
      </c>
      <c r="D1149" s="11">
        <f>IFERROR(VALUE(SUBSTITUTE(SUBSTITUTE(TRIM(Raw_Data!C1149),"₹",""),",","")),"")</f>
        <v>2088</v>
      </c>
      <c r="E1149" s="11">
        <f>IFERROR(VALUE(SUBSTITUTE(SUBSTITUTE(TRIM(Raw_Data!D1149),"₹",""),",","")),"")</f>
        <v>5550</v>
      </c>
      <c r="F1149" s="12">
        <f>IFERROR(VALUE(SUBSTITUTE(Raw_Data!E1149,"%",""))/100,"")</f>
        <v>0.62</v>
      </c>
      <c r="G1149" s="13">
        <f>IFERROR(VALUE(Raw_Data!F1149),"")</f>
        <v>4</v>
      </c>
      <c r="H1149" s="14">
        <f>IFERROR(VALUE(SUBSTITUTE(Raw_Data!G1149,",","")),"")</f>
        <v>5292</v>
      </c>
      <c r="I1149" s="11">
        <f t="shared" si="68"/>
        <v>3462</v>
      </c>
      <c r="J1149" s="11">
        <f t="shared" si="69"/>
        <v>11049696</v>
      </c>
      <c r="K1149" s="1">
        <f t="shared" si="70"/>
        <v>5292.0001149</v>
      </c>
      <c r="L1149" s="15">
        <f t="shared" si="71"/>
        <v>0.62011490000000002</v>
      </c>
    </row>
    <row r="1150" spans="1:12" ht="15" customHeight="1" x14ac:dyDescent="0.25">
      <c r="A1150" s="10" t="str">
        <f>Raw_Data!A1150</f>
        <v>Hindware Atlantic Compacto 3 Litre Instant water heater with Stainless Steel Tank, Robust Construction, Pressure Relief Valve And I-thermostat Feature (White And Grey)</v>
      </c>
      <c r="B1150" s="10" t="str">
        <f>IFERROR(TRIM(LEFT(Raw_Data!A1150,FIND(" ",Raw_Data!A1150)-1)),Raw_Data!A1150)</f>
        <v>Hindware</v>
      </c>
      <c r="C1150" s="10" t="str">
        <f>IFERROR(LEFT(Raw_Data!B1150,FIND("|",Raw_Data!B1150)-1),Raw_Data!B1150)</f>
        <v>Home&amp;Kitchen</v>
      </c>
      <c r="D1150" s="11">
        <f>IFERROR(VALUE(SUBSTITUTE(SUBSTITUTE(TRIM(Raw_Data!C1150),"₹",""),",","")),"")</f>
        <v>2399</v>
      </c>
      <c r="E1150" s="11">
        <f>IFERROR(VALUE(SUBSTITUTE(SUBSTITUTE(TRIM(Raw_Data!D1150),"₹",""),",","")),"")</f>
        <v>4590</v>
      </c>
      <c r="F1150" s="12">
        <f>IFERROR(VALUE(SUBSTITUTE(Raw_Data!E1150,"%",""))/100,"")</f>
        <v>0.48</v>
      </c>
      <c r="G1150" s="13">
        <f>IFERROR(VALUE(Raw_Data!F1150),"")</f>
        <v>4.0999999999999996</v>
      </c>
      <c r="H1150" s="14">
        <f>IFERROR(VALUE(SUBSTITUTE(Raw_Data!G1150,",","")),"")</f>
        <v>444</v>
      </c>
      <c r="I1150" s="11">
        <f t="shared" si="68"/>
        <v>2191</v>
      </c>
      <c r="J1150" s="11">
        <f t="shared" si="69"/>
        <v>1065156</v>
      </c>
      <c r="K1150" s="1">
        <f t="shared" si="70"/>
        <v>444.00011499999999</v>
      </c>
      <c r="L1150" s="15">
        <f t="shared" si="71"/>
        <v>0.48011499999999996</v>
      </c>
    </row>
    <row r="1151" spans="1:12" ht="15" customHeight="1" x14ac:dyDescent="0.25">
      <c r="A1151" s="10" t="str">
        <f>Raw_Data!A1151</f>
        <v>ATOM Selves-MH 200 GM Digital Pocket Scale</v>
      </c>
      <c r="B1151" s="10" t="str">
        <f>IFERROR(TRIM(LEFT(Raw_Data!A1151,FIND(" ",Raw_Data!A1151)-1)),Raw_Data!A1151)</f>
        <v>ATOM</v>
      </c>
      <c r="C1151" s="10" t="str">
        <f>IFERROR(LEFT(Raw_Data!B1151,FIND("|",Raw_Data!B1151)-1),Raw_Data!B1151)</f>
        <v>Home&amp;Kitchen</v>
      </c>
      <c r="D1151" s="11">
        <f>IFERROR(VALUE(SUBSTITUTE(SUBSTITUTE(TRIM(Raw_Data!C1151),"₹",""),",","")),"")</f>
        <v>308</v>
      </c>
      <c r="E1151" s="11">
        <f>IFERROR(VALUE(SUBSTITUTE(SUBSTITUTE(TRIM(Raw_Data!D1151),"₹",""),",","")),"")</f>
        <v>499</v>
      </c>
      <c r="F1151" s="12">
        <f>IFERROR(VALUE(SUBSTITUTE(Raw_Data!E1151,"%",""))/100,"")</f>
        <v>0.38</v>
      </c>
      <c r="G1151" s="13">
        <f>IFERROR(VALUE(Raw_Data!F1151),"")</f>
        <v>3.9</v>
      </c>
      <c r="H1151" s="14">
        <f>IFERROR(VALUE(SUBSTITUTE(Raw_Data!G1151,",","")),"")</f>
        <v>4584</v>
      </c>
      <c r="I1151" s="11">
        <f t="shared" si="68"/>
        <v>191</v>
      </c>
      <c r="J1151" s="11">
        <f t="shared" si="69"/>
        <v>1411872</v>
      </c>
      <c r="K1151" s="1">
        <f t="shared" si="70"/>
        <v>4584.0001150999997</v>
      </c>
      <c r="L1151" s="15">
        <f t="shared" si="71"/>
        <v>0.38011509999999998</v>
      </c>
    </row>
    <row r="1152" spans="1:12" ht="15" customHeight="1" x14ac:dyDescent="0.25">
      <c r="A1152" s="10" t="str">
        <f>Raw_Data!A1152</f>
        <v>Crompton InstaBliss 3-L Instant Water Heater (Geyser) with Advanced 4 Level Safety</v>
      </c>
      <c r="B1152" s="10" t="str">
        <f>IFERROR(TRIM(LEFT(Raw_Data!A1152,FIND(" ",Raw_Data!A1152)-1)),Raw_Data!A1152)</f>
        <v>Crompton</v>
      </c>
      <c r="C1152" s="10" t="str">
        <f>IFERROR(LEFT(Raw_Data!B1152,FIND("|",Raw_Data!B1152)-1),Raw_Data!B1152)</f>
        <v>Home&amp;Kitchen</v>
      </c>
      <c r="D1152" s="11">
        <f>IFERROR(VALUE(SUBSTITUTE(SUBSTITUTE(TRIM(Raw_Data!C1152),"₹",""),",","")),"")</f>
        <v>2599</v>
      </c>
      <c r="E1152" s="11">
        <f>IFERROR(VALUE(SUBSTITUTE(SUBSTITUTE(TRIM(Raw_Data!D1152),"₹",""),",","")),"")</f>
        <v>4400</v>
      </c>
      <c r="F1152" s="12">
        <f>IFERROR(VALUE(SUBSTITUTE(Raw_Data!E1152,"%",""))/100,"")</f>
        <v>0.41</v>
      </c>
      <c r="G1152" s="13">
        <f>IFERROR(VALUE(Raw_Data!F1152),"")</f>
        <v>4.0999999999999996</v>
      </c>
      <c r="H1152" s="14">
        <f>IFERROR(VALUE(SUBSTITUTE(Raw_Data!G1152,",","")),"")</f>
        <v>14947</v>
      </c>
      <c r="I1152" s="11">
        <f t="shared" si="68"/>
        <v>1801</v>
      </c>
      <c r="J1152" s="11">
        <f t="shared" si="69"/>
        <v>38847253</v>
      </c>
      <c r="K1152" s="1">
        <f t="shared" si="70"/>
        <v>14947.0001152</v>
      </c>
      <c r="L1152" s="15">
        <f t="shared" si="71"/>
        <v>0.41011519999999996</v>
      </c>
    </row>
    <row r="1153" spans="1:12" ht="15" customHeight="1" x14ac:dyDescent="0.25">
      <c r="A1153" s="10" t="str">
        <f>Raw_Data!A1153</f>
        <v>Croma 1100 W Dry Iron with Weilburger Dual Soleplate Coating (CRSHAH702SIR11, White)</v>
      </c>
      <c r="B1153" s="10" t="str">
        <f>IFERROR(TRIM(LEFT(Raw_Data!A1153,FIND(" ",Raw_Data!A1153)-1)),Raw_Data!A1153)</f>
        <v>Croma</v>
      </c>
      <c r="C1153" s="10" t="str">
        <f>IFERROR(LEFT(Raw_Data!B1153,FIND("|",Raw_Data!B1153)-1),Raw_Data!B1153)</f>
        <v>Home&amp;Kitchen</v>
      </c>
      <c r="D1153" s="11">
        <f>IFERROR(VALUE(SUBSTITUTE(SUBSTITUTE(TRIM(Raw_Data!C1153),"₹",""),",","")),"")</f>
        <v>479</v>
      </c>
      <c r="E1153" s="11">
        <f>IFERROR(VALUE(SUBSTITUTE(SUBSTITUTE(TRIM(Raw_Data!D1153),"₹",""),",","")),"")</f>
        <v>1000</v>
      </c>
      <c r="F1153" s="12">
        <f>IFERROR(VALUE(SUBSTITUTE(Raw_Data!E1153,"%",""))/100,"")</f>
        <v>0.52</v>
      </c>
      <c r="G1153" s="13">
        <f>IFERROR(VALUE(Raw_Data!F1153),"")</f>
        <v>4.2</v>
      </c>
      <c r="H1153" s="14">
        <f>IFERROR(VALUE(SUBSTITUTE(Raw_Data!G1153,",","")),"")</f>
        <v>1559</v>
      </c>
      <c r="I1153" s="11">
        <f t="shared" si="68"/>
        <v>521</v>
      </c>
      <c r="J1153" s="11">
        <f t="shared" si="69"/>
        <v>746761</v>
      </c>
      <c r="K1153" s="1">
        <f t="shared" si="70"/>
        <v>1559.0001153000001</v>
      </c>
      <c r="L1153" s="15">
        <f t="shared" si="71"/>
        <v>0.52011530000000006</v>
      </c>
    </row>
    <row r="1154" spans="1:12" ht="15" customHeight="1" x14ac:dyDescent="0.25">
      <c r="A1154" s="10" t="str">
        <f>Raw_Data!A1154</f>
        <v>Lint Roller with 40 Paper Sheets, 22 x 5 cm (Grey)</v>
      </c>
      <c r="B1154" s="10" t="str">
        <f>IFERROR(TRIM(LEFT(Raw_Data!A1154,FIND(" ",Raw_Data!A1154)-1)),Raw_Data!A1154)</f>
        <v>Lint</v>
      </c>
      <c r="C1154" s="10" t="str">
        <f>IFERROR(LEFT(Raw_Data!B1154,FIND("|",Raw_Data!B1154)-1),Raw_Data!B1154)</f>
        <v>Home&amp;Kitchen</v>
      </c>
      <c r="D1154" s="11">
        <f>IFERROR(VALUE(SUBSTITUTE(SUBSTITUTE(TRIM(Raw_Data!C1154),"₹",""),",","")),"")</f>
        <v>245</v>
      </c>
      <c r="E1154" s="11">
        <f>IFERROR(VALUE(SUBSTITUTE(SUBSTITUTE(TRIM(Raw_Data!D1154),"₹",""),",","")),"")</f>
        <v>299</v>
      </c>
      <c r="F1154" s="12">
        <f>IFERROR(VALUE(SUBSTITUTE(Raw_Data!E1154,"%",""))/100,"")</f>
        <v>0.18</v>
      </c>
      <c r="G1154" s="13">
        <f>IFERROR(VALUE(Raw_Data!F1154),"")</f>
        <v>4.0999999999999996</v>
      </c>
      <c r="H1154" s="14">
        <f>IFERROR(VALUE(SUBSTITUTE(Raw_Data!G1154,",","")),"")</f>
        <v>1660</v>
      </c>
      <c r="I1154" s="11">
        <f t="shared" ref="I1154:I1217" si="72">IFERROR(E1154-D1154,"")</f>
        <v>54</v>
      </c>
      <c r="J1154" s="11">
        <f t="shared" ref="J1154:J1217" si="73">IFERROR(D1154*H1154,"")</f>
        <v>406700</v>
      </c>
      <c r="K1154" s="1">
        <f t="shared" ref="K1154:K1217" si="74">IF(ISNUMBER(H1154),H1154+ROW()/10000000,"")</f>
        <v>1660.0001153999999</v>
      </c>
      <c r="L1154" s="15">
        <f t="shared" ref="L1154:L1217" si="75">IF(ISNUMBER(F1154),F1154+ROW()/10000000,"")</f>
        <v>0.18011539999999998</v>
      </c>
    </row>
    <row r="1155" spans="1:12" ht="15" customHeight="1" x14ac:dyDescent="0.25">
      <c r="A1155" s="10" t="str">
        <f>Raw_Data!A1155</f>
        <v>Portable Lint Remover Pet Fur Remover Clothes Fuzz Remover Pet Hairball Quick Epilator Shaver Removing Dust Pet Hair from Clothing Furniture Perfect for Clothing,Furniture,Couch,Carpet (Standard)</v>
      </c>
      <c r="B1155" s="10" t="str">
        <f>IFERROR(TRIM(LEFT(Raw_Data!A1155,FIND(" ",Raw_Data!A1155)-1)),Raw_Data!A1155)</f>
        <v>Portable</v>
      </c>
      <c r="C1155" s="10" t="str">
        <f>IFERROR(LEFT(Raw_Data!B1155,FIND("|",Raw_Data!B1155)-1),Raw_Data!B1155)</f>
        <v>Home&amp;Kitchen</v>
      </c>
      <c r="D1155" s="11">
        <f>IFERROR(VALUE(SUBSTITUTE(SUBSTITUTE(TRIM(Raw_Data!C1155),"₹",""),",","")),"")</f>
        <v>179</v>
      </c>
      <c r="E1155" s="11">
        <f>IFERROR(VALUE(SUBSTITUTE(SUBSTITUTE(TRIM(Raw_Data!D1155),"₹",""),",","")),"")</f>
        <v>799</v>
      </c>
      <c r="F1155" s="12">
        <f>IFERROR(VALUE(SUBSTITUTE(Raw_Data!E1155,"%",""))/100,"")</f>
        <v>0.78</v>
      </c>
      <c r="G1155" s="13">
        <f>IFERROR(VALUE(Raw_Data!F1155),"")</f>
        <v>3.5</v>
      </c>
      <c r="H1155" s="14">
        <f>IFERROR(VALUE(SUBSTITUTE(Raw_Data!G1155,",","")),"")</f>
        <v>132</v>
      </c>
      <c r="I1155" s="11">
        <f t="shared" si="72"/>
        <v>620</v>
      </c>
      <c r="J1155" s="11">
        <f t="shared" si="73"/>
        <v>23628</v>
      </c>
      <c r="K1155" s="1">
        <f t="shared" si="74"/>
        <v>132.00011549999999</v>
      </c>
      <c r="L1155" s="15">
        <f t="shared" si="75"/>
        <v>0.78011550000000007</v>
      </c>
    </row>
    <row r="1156" spans="1:12" ht="15" customHeight="1" x14ac:dyDescent="0.25">
      <c r="A1156" s="10" t="str">
        <f>Raw_Data!A1156</f>
        <v>atomberg Renesa 1200mm BLDC Motor with Remote 3 Blade Energy Saving Ceiling Fan (Matt Black)</v>
      </c>
      <c r="B1156" s="10" t="str">
        <f>IFERROR(TRIM(LEFT(Raw_Data!A1156,FIND(" ",Raw_Data!A1156)-1)),Raw_Data!A1156)</f>
        <v>atomberg</v>
      </c>
      <c r="C1156" s="10" t="str">
        <f>IFERROR(LEFT(Raw_Data!B1156,FIND("|",Raw_Data!B1156)-1),Raw_Data!B1156)</f>
        <v>Home&amp;Kitchen</v>
      </c>
      <c r="D1156" s="11">
        <f>IFERROR(VALUE(SUBSTITUTE(SUBSTITUTE(TRIM(Raw_Data!C1156),"₹",""),",","")),"")</f>
        <v>3569</v>
      </c>
      <c r="E1156" s="11">
        <f>IFERROR(VALUE(SUBSTITUTE(SUBSTITUTE(TRIM(Raw_Data!D1156),"₹",""),",","")),"")</f>
        <v>5190</v>
      </c>
      <c r="F1156" s="12">
        <f>IFERROR(VALUE(SUBSTITUTE(Raw_Data!E1156,"%",""))/100,"")</f>
        <v>0.31</v>
      </c>
      <c r="G1156" s="13">
        <f>IFERROR(VALUE(Raw_Data!F1156),"")</f>
        <v>4.3</v>
      </c>
      <c r="H1156" s="14">
        <f>IFERROR(VALUE(SUBSTITUTE(Raw_Data!G1156,",","")),"")</f>
        <v>28629</v>
      </c>
      <c r="I1156" s="11">
        <f t="shared" si="72"/>
        <v>1621</v>
      </c>
      <c r="J1156" s="11">
        <f t="shared" si="73"/>
        <v>102176901</v>
      </c>
      <c r="K1156" s="1">
        <f t="shared" si="74"/>
        <v>28629.0001156</v>
      </c>
      <c r="L1156" s="15">
        <f t="shared" si="75"/>
        <v>0.31011559999999999</v>
      </c>
    </row>
    <row r="1157" spans="1:12" ht="15" customHeight="1" x14ac:dyDescent="0.25">
      <c r="A1157" s="10" t="str">
        <f>Raw_Data!A1157</f>
        <v>Pigeon by Stovekraft Amaze Plus Electric Kettle (14313) with Stainless Steel Body, 1.8 litre, used for boiling Water, making tea and coffee, instant noodles, soup etc. 1500 Watt (Silver)</v>
      </c>
      <c r="B1157" s="10" t="str">
        <f>IFERROR(TRIM(LEFT(Raw_Data!A1157,FIND(" ",Raw_Data!A1157)-1)),Raw_Data!A1157)</f>
        <v>Pigeon</v>
      </c>
      <c r="C1157" s="10" t="str">
        <f>IFERROR(LEFT(Raw_Data!B1157,FIND("|",Raw_Data!B1157)-1),Raw_Data!B1157)</f>
        <v>Home&amp;Kitchen</v>
      </c>
      <c r="D1157" s="11">
        <f>IFERROR(VALUE(SUBSTITUTE(SUBSTITUTE(TRIM(Raw_Data!C1157),"₹",""),",","")),"")</f>
        <v>699</v>
      </c>
      <c r="E1157" s="11">
        <f>IFERROR(VALUE(SUBSTITUTE(SUBSTITUTE(TRIM(Raw_Data!D1157),"₹",""),",","")),"")</f>
        <v>1345</v>
      </c>
      <c r="F1157" s="12">
        <f>IFERROR(VALUE(SUBSTITUTE(Raw_Data!E1157,"%",""))/100,"")</f>
        <v>0.48</v>
      </c>
      <c r="G1157" s="13">
        <f>IFERROR(VALUE(Raw_Data!F1157),"")</f>
        <v>3.9</v>
      </c>
      <c r="H1157" s="14">
        <f>IFERROR(VALUE(SUBSTITUTE(Raw_Data!G1157,",","")),"")</f>
        <v>8446</v>
      </c>
      <c r="I1157" s="11">
        <f t="shared" si="72"/>
        <v>646</v>
      </c>
      <c r="J1157" s="11">
        <f t="shared" si="73"/>
        <v>5903754</v>
      </c>
      <c r="K1157" s="1">
        <f t="shared" si="74"/>
        <v>8446.0001157000006</v>
      </c>
      <c r="L1157" s="15">
        <f t="shared" si="75"/>
        <v>0.48011569999999998</v>
      </c>
    </row>
    <row r="1158" spans="1:12" ht="15" customHeight="1" x14ac:dyDescent="0.25">
      <c r="A1158" s="10" t="str">
        <f>Raw_Data!A1158</f>
        <v>Usha CookJoy (CJ1600WPC) 1600 Watt Induction cooktop (Black)</v>
      </c>
      <c r="B1158" s="10" t="str">
        <f>IFERROR(TRIM(LEFT(Raw_Data!A1158,FIND(" ",Raw_Data!A1158)-1)),Raw_Data!A1158)</f>
        <v>Usha</v>
      </c>
      <c r="C1158" s="10" t="str">
        <f>IFERROR(LEFT(Raw_Data!B1158,FIND("|",Raw_Data!B1158)-1),Raw_Data!B1158)</f>
        <v>Home&amp;Kitchen</v>
      </c>
      <c r="D1158" s="11">
        <f>IFERROR(VALUE(SUBSTITUTE(SUBSTITUTE(TRIM(Raw_Data!C1158),"₹",""),",","")),"")</f>
        <v>2089</v>
      </c>
      <c r="E1158" s="11">
        <f>IFERROR(VALUE(SUBSTITUTE(SUBSTITUTE(TRIM(Raw_Data!D1158),"₹",""),",","")),"")</f>
        <v>4000</v>
      </c>
      <c r="F1158" s="12">
        <f>IFERROR(VALUE(SUBSTITUTE(Raw_Data!E1158,"%",""))/100,"")</f>
        <v>0.48</v>
      </c>
      <c r="G1158" s="13">
        <f>IFERROR(VALUE(Raw_Data!F1158),"")</f>
        <v>4.2</v>
      </c>
      <c r="H1158" s="14">
        <f>IFERROR(VALUE(SUBSTITUTE(Raw_Data!G1158,",","")),"")</f>
        <v>11199</v>
      </c>
      <c r="I1158" s="11">
        <f t="shared" si="72"/>
        <v>1911</v>
      </c>
      <c r="J1158" s="11">
        <f t="shared" si="73"/>
        <v>23394711</v>
      </c>
      <c r="K1158" s="1">
        <f t="shared" si="74"/>
        <v>11199.0001158</v>
      </c>
      <c r="L1158" s="15">
        <f t="shared" si="75"/>
        <v>0.48011579999999998</v>
      </c>
    </row>
    <row r="1159" spans="1:12" ht="15" customHeight="1" x14ac:dyDescent="0.25">
      <c r="A1159" s="10" t="str">
        <f>Raw_Data!A1159</f>
        <v>Reffair AX30 [MAX] Portable Air Purifier for Car, Home &amp; Office | Smart Ionizer Function | H13 Grade True HEPA Filter [Internationally Tested] Aromabuds Fragrance Option - Black</v>
      </c>
      <c r="B1159" s="10" t="str">
        <f>IFERROR(TRIM(LEFT(Raw_Data!A1159,FIND(" ",Raw_Data!A1159)-1)),Raw_Data!A1159)</f>
        <v>Reffair</v>
      </c>
      <c r="C1159" s="10" t="str">
        <f>IFERROR(LEFT(Raw_Data!B1159,FIND("|",Raw_Data!B1159)-1),Raw_Data!B1159)</f>
        <v>Car&amp;Motorbike</v>
      </c>
      <c r="D1159" s="11">
        <f>IFERROR(VALUE(SUBSTITUTE(SUBSTITUTE(TRIM(Raw_Data!C1159),"₹",""),",","")),"")</f>
        <v>2339</v>
      </c>
      <c r="E1159" s="11">
        <f>IFERROR(VALUE(SUBSTITUTE(SUBSTITUTE(TRIM(Raw_Data!D1159),"₹",""),",","")),"")</f>
        <v>4000</v>
      </c>
      <c r="F1159" s="12">
        <f>IFERROR(VALUE(SUBSTITUTE(Raw_Data!E1159,"%",""))/100,"")</f>
        <v>0.42</v>
      </c>
      <c r="G1159" s="13">
        <f>IFERROR(VALUE(Raw_Data!F1159),"")</f>
        <v>3.8</v>
      </c>
      <c r="H1159" s="14">
        <f>IFERROR(VALUE(SUBSTITUTE(Raw_Data!G1159,",","")),"")</f>
        <v>1118</v>
      </c>
      <c r="I1159" s="11">
        <f t="shared" si="72"/>
        <v>1661</v>
      </c>
      <c r="J1159" s="11">
        <f t="shared" si="73"/>
        <v>2615002</v>
      </c>
      <c r="K1159" s="1">
        <f t="shared" si="74"/>
        <v>1118.0001159000001</v>
      </c>
      <c r="L1159" s="15">
        <f t="shared" si="75"/>
        <v>0.42011589999999999</v>
      </c>
    </row>
    <row r="1160" spans="1:12" ht="15" customHeight="1" x14ac:dyDescent="0.25">
      <c r="A1160" s="10" t="str">
        <f>Raw_Data!A1160</f>
        <v>!!1000 Watt/2000-Watt Room Heater!! Fan Heater!!Pure White!!HN-2500!!Made in India!!</v>
      </c>
      <c r="B1160" s="10" t="str">
        <f>IFERROR(TRIM(LEFT(Raw_Data!A1160,FIND(" ",Raw_Data!A1160)-1)),Raw_Data!A1160)</f>
        <v>!!1000</v>
      </c>
      <c r="C1160" s="10" t="str">
        <f>IFERROR(LEFT(Raw_Data!B1160,FIND("|",Raw_Data!B1160)-1),Raw_Data!B1160)</f>
        <v>Home&amp;Kitchen</v>
      </c>
      <c r="D1160" s="11">
        <f>IFERROR(VALUE(SUBSTITUTE(SUBSTITUTE(TRIM(Raw_Data!C1160),"₹",""),",","")),"")</f>
        <v>784</v>
      </c>
      <c r="E1160" s="11">
        <f>IFERROR(VALUE(SUBSTITUTE(SUBSTITUTE(TRIM(Raw_Data!D1160),"₹",""),",","")),"")</f>
        <v>1599</v>
      </c>
      <c r="F1160" s="12">
        <f>IFERROR(VALUE(SUBSTITUTE(Raw_Data!E1160,"%",""))/100,"")</f>
        <v>0.51</v>
      </c>
      <c r="G1160" s="13">
        <f>IFERROR(VALUE(Raw_Data!F1160),"")</f>
        <v>4.5</v>
      </c>
      <c r="H1160" s="14">
        <f>IFERROR(VALUE(SUBSTITUTE(Raw_Data!G1160,",","")),"")</f>
        <v>11</v>
      </c>
      <c r="I1160" s="11">
        <f t="shared" si="72"/>
        <v>815</v>
      </c>
      <c r="J1160" s="11">
        <f t="shared" si="73"/>
        <v>8624</v>
      </c>
      <c r="K1160" s="1">
        <f t="shared" si="74"/>
        <v>11.000116</v>
      </c>
      <c r="L1160" s="15">
        <f t="shared" si="75"/>
        <v>0.51011600000000001</v>
      </c>
    </row>
    <row r="1161" spans="1:12" ht="15" customHeight="1" x14ac:dyDescent="0.25">
      <c r="A1161" s="10" t="str">
        <f>Raw_Data!A1161</f>
        <v>Eureka Forbes Wet &amp; Dry Ultimo 1400 Watts Multipurpose Vacuum Cleaner,Power Suction &amp; Blower with 20 litres Tank Capacity,6 Accessories,1 Year Warranty,Compact,Light Weight &amp; Easy to use (Red)</v>
      </c>
      <c r="B1161" s="10" t="str">
        <f>IFERROR(TRIM(LEFT(Raw_Data!A1161,FIND(" ",Raw_Data!A1161)-1)),Raw_Data!A1161)</f>
        <v>Eureka</v>
      </c>
      <c r="C1161" s="10" t="str">
        <f>IFERROR(LEFT(Raw_Data!B1161,FIND("|",Raw_Data!B1161)-1),Raw_Data!B1161)</f>
        <v>Home&amp;Kitchen</v>
      </c>
      <c r="D1161" s="11">
        <f>IFERROR(VALUE(SUBSTITUTE(SUBSTITUTE(TRIM(Raw_Data!C1161),"₹",""),",","")),"")</f>
        <v>5499</v>
      </c>
      <c r="E1161" s="11">
        <f>IFERROR(VALUE(SUBSTITUTE(SUBSTITUTE(TRIM(Raw_Data!D1161),"₹",""),",","")),"")</f>
        <v>9999</v>
      </c>
      <c r="F1161" s="12">
        <f>IFERROR(VALUE(SUBSTITUTE(Raw_Data!E1161,"%",""))/100,"")</f>
        <v>0.45</v>
      </c>
      <c r="G1161" s="13">
        <f>IFERROR(VALUE(Raw_Data!F1161),"")</f>
        <v>3.8</v>
      </c>
      <c r="H1161" s="14">
        <f>IFERROR(VALUE(SUBSTITUTE(Raw_Data!G1161,",","")),"")</f>
        <v>4353</v>
      </c>
      <c r="I1161" s="11">
        <f t="shared" si="72"/>
        <v>4500</v>
      </c>
      <c r="J1161" s="11">
        <f t="shared" si="73"/>
        <v>23937147</v>
      </c>
      <c r="K1161" s="1">
        <f t="shared" si="74"/>
        <v>4353.0001161</v>
      </c>
      <c r="L1161" s="15">
        <f t="shared" si="75"/>
        <v>0.45011610000000002</v>
      </c>
    </row>
    <row r="1162" spans="1:12" ht="15" customHeight="1" x14ac:dyDescent="0.25">
      <c r="A1162" s="10" t="str">
        <f>Raw_Data!A1162</f>
        <v>Activa Heat-Max 2000 Watts Room Heater (White color ) with ABS body</v>
      </c>
      <c r="B1162" s="10" t="str">
        <f>IFERROR(TRIM(LEFT(Raw_Data!A1162,FIND(" ",Raw_Data!A1162)-1)),Raw_Data!A1162)</f>
        <v>Activa</v>
      </c>
      <c r="C1162" s="10" t="str">
        <f>IFERROR(LEFT(Raw_Data!B1162,FIND("|",Raw_Data!B1162)-1),Raw_Data!B1162)</f>
        <v>Home&amp;Kitchen</v>
      </c>
      <c r="D1162" s="11">
        <f>IFERROR(VALUE(SUBSTITUTE(SUBSTITUTE(TRIM(Raw_Data!C1162),"₹",""),",","")),"")</f>
        <v>899</v>
      </c>
      <c r="E1162" s="11">
        <f>IFERROR(VALUE(SUBSTITUTE(SUBSTITUTE(TRIM(Raw_Data!D1162),"₹",""),",","")),"")</f>
        <v>1990</v>
      </c>
      <c r="F1162" s="12">
        <f>IFERROR(VALUE(SUBSTITUTE(Raw_Data!E1162,"%",""))/100,"")</f>
        <v>0.55000000000000004</v>
      </c>
      <c r="G1162" s="13">
        <f>IFERROR(VALUE(Raw_Data!F1162),"")</f>
        <v>4.0999999999999996</v>
      </c>
      <c r="H1162" s="14">
        <f>IFERROR(VALUE(SUBSTITUTE(Raw_Data!G1162,",","")),"")</f>
        <v>185</v>
      </c>
      <c r="I1162" s="11">
        <f t="shared" si="72"/>
        <v>1091</v>
      </c>
      <c r="J1162" s="11">
        <f t="shared" si="73"/>
        <v>166315</v>
      </c>
      <c r="K1162" s="1">
        <f t="shared" si="74"/>
        <v>185.00011620000001</v>
      </c>
      <c r="L1162" s="15">
        <f t="shared" si="75"/>
        <v>0.55011620000000006</v>
      </c>
    </row>
    <row r="1163" spans="1:12" ht="15" customHeight="1" x14ac:dyDescent="0.25">
      <c r="A1163" s="10" t="str">
        <f>Raw_Data!A1163</f>
        <v>PHILIPS HL1655/00 Hand Blender, White Jar 250W</v>
      </c>
      <c r="B1163" s="10" t="str">
        <f>IFERROR(TRIM(LEFT(Raw_Data!A1163,FIND(" ",Raw_Data!A1163)-1)),Raw_Data!A1163)</f>
        <v>PHILIPS</v>
      </c>
      <c r="C1163" s="10" t="str">
        <f>IFERROR(LEFT(Raw_Data!B1163,FIND("|",Raw_Data!B1163)-1),Raw_Data!B1163)</f>
        <v>Home&amp;Kitchen</v>
      </c>
      <c r="D1163" s="11">
        <f>IFERROR(VALUE(SUBSTITUTE(SUBSTITUTE(TRIM(Raw_Data!C1163),"₹",""),",","")),"")</f>
        <v>1695</v>
      </c>
      <c r="E1163" s="11">
        <f>IFERROR(VALUE(SUBSTITUTE(SUBSTITUTE(TRIM(Raw_Data!D1163),"₹",""),",","")),"")</f>
        <v>1695</v>
      </c>
      <c r="F1163" s="12">
        <f>IFERROR(VALUE(SUBSTITUTE(Raw_Data!E1163,"%",""))/100,"")</f>
        <v>0</v>
      </c>
      <c r="G1163" s="13">
        <f>IFERROR(VALUE(Raw_Data!F1163),"")</f>
        <v>4.2</v>
      </c>
      <c r="H1163" s="14">
        <f>IFERROR(VALUE(SUBSTITUTE(Raw_Data!G1163,",","")),"")</f>
        <v>14290</v>
      </c>
      <c r="I1163" s="11">
        <f t="shared" si="72"/>
        <v>0</v>
      </c>
      <c r="J1163" s="11">
        <f t="shared" si="73"/>
        <v>24221550</v>
      </c>
      <c r="K1163" s="1">
        <f t="shared" si="74"/>
        <v>14290.0001163</v>
      </c>
      <c r="L1163" s="15">
        <f t="shared" si="75"/>
        <v>1.1629999999999999E-4</v>
      </c>
    </row>
    <row r="1164" spans="1:12" ht="15" customHeight="1" x14ac:dyDescent="0.25">
      <c r="A1164" s="10" t="str">
        <f>Raw_Data!A1164</f>
        <v>Bajaj DX-2 600W Dry Iron with Advance Soleplate and Anti-Bacterial German Coating Technology, Grey</v>
      </c>
      <c r="B1164" s="10" t="str">
        <f>IFERROR(TRIM(LEFT(Raw_Data!A1164,FIND(" ",Raw_Data!A1164)-1)),Raw_Data!A1164)</f>
        <v>Bajaj</v>
      </c>
      <c r="C1164" s="10" t="str">
        <f>IFERROR(LEFT(Raw_Data!B1164,FIND("|",Raw_Data!B1164)-1),Raw_Data!B1164)</f>
        <v>Home&amp;Kitchen</v>
      </c>
      <c r="D1164" s="11">
        <f>IFERROR(VALUE(SUBSTITUTE(SUBSTITUTE(TRIM(Raw_Data!C1164),"₹",""),",","")),"")</f>
        <v>499</v>
      </c>
      <c r="E1164" s="11">
        <f>IFERROR(VALUE(SUBSTITUTE(SUBSTITUTE(TRIM(Raw_Data!D1164),"₹",""),",","")),"")</f>
        <v>940</v>
      </c>
      <c r="F1164" s="12">
        <f>IFERROR(VALUE(SUBSTITUTE(Raw_Data!E1164,"%",""))/100,"")</f>
        <v>0.47</v>
      </c>
      <c r="G1164" s="13">
        <f>IFERROR(VALUE(Raw_Data!F1164),"")</f>
        <v>4.0999999999999996</v>
      </c>
      <c r="H1164" s="14">
        <f>IFERROR(VALUE(SUBSTITUTE(Raw_Data!G1164,",","")),"")</f>
        <v>3036</v>
      </c>
      <c r="I1164" s="11">
        <f t="shared" si="72"/>
        <v>441</v>
      </c>
      <c r="J1164" s="11">
        <f t="shared" si="73"/>
        <v>1514964</v>
      </c>
      <c r="K1164" s="1">
        <f t="shared" si="74"/>
        <v>3036.0001164</v>
      </c>
      <c r="L1164" s="15">
        <f t="shared" si="75"/>
        <v>0.47011639999999999</v>
      </c>
    </row>
    <row r="1165" spans="1:12" ht="15" customHeight="1" x14ac:dyDescent="0.25">
      <c r="A1165" s="10" t="str">
        <f>Raw_Data!A1165</f>
        <v>V-Guard Zio Instant Water Geyser | 3 Litre | 3000 W Heating | White-Blue | | 2 Year Warranty</v>
      </c>
      <c r="B1165" s="10" t="str">
        <f>IFERROR(TRIM(LEFT(Raw_Data!A1165,FIND(" ",Raw_Data!A1165)-1)),Raw_Data!A1165)</f>
        <v>V-Guard</v>
      </c>
      <c r="C1165" s="10" t="str">
        <f>IFERROR(LEFT(Raw_Data!B1165,FIND("|",Raw_Data!B1165)-1),Raw_Data!B1165)</f>
        <v>Home&amp;Kitchen</v>
      </c>
      <c r="D1165" s="11">
        <f>IFERROR(VALUE(SUBSTITUTE(SUBSTITUTE(TRIM(Raw_Data!C1165),"₹",""),",","")),"")</f>
        <v>2699</v>
      </c>
      <c r="E1165" s="11">
        <f>IFERROR(VALUE(SUBSTITUTE(SUBSTITUTE(TRIM(Raw_Data!D1165),"₹",""),",","")),"")</f>
        <v>4700</v>
      </c>
      <c r="F1165" s="12">
        <f>IFERROR(VALUE(SUBSTITUTE(Raw_Data!E1165,"%",""))/100,"")</f>
        <v>0.43</v>
      </c>
      <c r="G1165" s="13">
        <f>IFERROR(VALUE(Raw_Data!F1165),"")</f>
        <v>4.2</v>
      </c>
      <c r="H1165" s="14">
        <f>IFERROR(VALUE(SUBSTITUTE(Raw_Data!G1165,",","")),"")</f>
        <v>1296</v>
      </c>
      <c r="I1165" s="11">
        <f t="shared" si="72"/>
        <v>2001</v>
      </c>
      <c r="J1165" s="11">
        <f t="shared" si="73"/>
        <v>3497904</v>
      </c>
      <c r="K1165" s="1">
        <f t="shared" si="74"/>
        <v>1296.0001165000001</v>
      </c>
      <c r="L1165" s="15">
        <f t="shared" si="75"/>
        <v>0.43011650000000001</v>
      </c>
    </row>
    <row r="1166" spans="1:12" ht="15" customHeight="1" x14ac:dyDescent="0.25">
      <c r="A1166" s="10" t="str">
        <f>Raw_Data!A1166</f>
        <v>Homeistic Applience™ Instant Electric Water Heater Faucet Tap For Kitchen And Bathroom Sink Digital Water Heating Tap with Shower Head ABS Body- Shock Proof (Pack Of 1. White)</v>
      </c>
      <c r="B1166" s="10" t="str">
        <f>IFERROR(TRIM(LEFT(Raw_Data!A1166,FIND(" ",Raw_Data!A1166)-1)),Raw_Data!A1166)</f>
        <v>Homeistic</v>
      </c>
      <c r="C1166" s="10" t="str">
        <f>IFERROR(LEFT(Raw_Data!B1166,FIND("|",Raw_Data!B1166)-1),Raw_Data!B1166)</f>
        <v>Home&amp;Kitchen</v>
      </c>
      <c r="D1166" s="11">
        <f>IFERROR(VALUE(SUBSTITUTE(SUBSTITUTE(TRIM(Raw_Data!C1166),"₹",""),",","")),"")</f>
        <v>1448</v>
      </c>
      <c r="E1166" s="11">
        <f>IFERROR(VALUE(SUBSTITUTE(SUBSTITUTE(TRIM(Raw_Data!D1166),"₹",""),",","")),"")</f>
        <v>2999</v>
      </c>
      <c r="F1166" s="12">
        <f>IFERROR(VALUE(SUBSTITUTE(Raw_Data!E1166,"%",""))/100,"")</f>
        <v>0.52</v>
      </c>
      <c r="G1166" s="13">
        <f>IFERROR(VALUE(Raw_Data!F1166),"")</f>
        <v>4.5</v>
      </c>
      <c r="H1166" s="14">
        <f>IFERROR(VALUE(SUBSTITUTE(Raw_Data!G1166,",","")),"")</f>
        <v>19</v>
      </c>
      <c r="I1166" s="11">
        <f t="shared" si="72"/>
        <v>1551</v>
      </c>
      <c r="J1166" s="11">
        <f t="shared" si="73"/>
        <v>27512</v>
      </c>
      <c r="K1166" s="1">
        <f t="shared" si="74"/>
        <v>19.000116599999998</v>
      </c>
      <c r="L1166" s="15">
        <f t="shared" si="75"/>
        <v>0.52011660000000004</v>
      </c>
    </row>
    <row r="1167" spans="1:12" ht="15" customHeight="1" x14ac:dyDescent="0.25">
      <c r="A1167" s="10" t="str">
        <f>Raw_Data!A1167</f>
        <v>Kitchenwell 18Pc Plastic Food Snack Bag Pouch Clip Sealer for Keeping Food Fresh for Home, Kitchen, Camping Snack Seal Sealing Bag Clips (Multi-Color) | (Pack of 18)|</v>
      </c>
      <c r="B1167" s="10" t="str">
        <f>IFERROR(TRIM(LEFT(Raw_Data!A1167,FIND(" ",Raw_Data!A1167)-1)),Raw_Data!A1167)</f>
        <v>Kitchenwell</v>
      </c>
      <c r="C1167" s="10" t="str">
        <f>IFERROR(LEFT(Raw_Data!B1167,FIND("|",Raw_Data!B1167)-1),Raw_Data!B1167)</f>
        <v>Home&amp;Kitchen</v>
      </c>
      <c r="D1167" s="11">
        <f>IFERROR(VALUE(SUBSTITUTE(SUBSTITUTE(TRIM(Raw_Data!C1167),"₹",""),",","")),"")</f>
        <v>79</v>
      </c>
      <c r="E1167" s="11">
        <f>IFERROR(VALUE(SUBSTITUTE(SUBSTITUTE(TRIM(Raw_Data!D1167),"₹",""),",","")),"")</f>
        <v>79</v>
      </c>
      <c r="F1167" s="12">
        <f>IFERROR(VALUE(SUBSTITUTE(Raw_Data!E1167,"%",""))/100,"")</f>
        <v>0</v>
      </c>
      <c r="G1167" s="13">
        <f>IFERROR(VALUE(Raw_Data!F1167),"")</f>
        <v>4</v>
      </c>
      <c r="H1167" s="14">
        <f>IFERROR(VALUE(SUBSTITUTE(Raw_Data!G1167,",","")),"")</f>
        <v>97</v>
      </c>
      <c r="I1167" s="11">
        <f t="shared" si="72"/>
        <v>0</v>
      </c>
      <c r="J1167" s="11">
        <f t="shared" si="73"/>
        <v>7663</v>
      </c>
      <c r="K1167" s="1">
        <f t="shared" si="74"/>
        <v>97.000116700000007</v>
      </c>
      <c r="L1167" s="15">
        <f t="shared" si="75"/>
        <v>1.167E-4</v>
      </c>
    </row>
    <row r="1168" spans="1:12" ht="15" customHeight="1" x14ac:dyDescent="0.25">
      <c r="A1168" s="10" t="str">
        <f>Raw_Data!A1168</f>
        <v>Havells Instanio 10 Litre Storage Water Heater with Flexi Pipe and Free installation (White Blue)</v>
      </c>
      <c r="B1168" s="10" t="str">
        <f>IFERROR(TRIM(LEFT(Raw_Data!A1168,FIND(" ",Raw_Data!A1168)-1)),Raw_Data!A1168)</f>
        <v>Havells</v>
      </c>
      <c r="C1168" s="10" t="str">
        <f>IFERROR(LEFT(Raw_Data!B1168,FIND("|",Raw_Data!B1168)-1),Raw_Data!B1168)</f>
        <v>Home&amp;Kitchen</v>
      </c>
      <c r="D1168" s="11">
        <f>IFERROR(VALUE(SUBSTITUTE(SUBSTITUTE(TRIM(Raw_Data!C1168),"₹",""),",","")),"")</f>
        <v>6990</v>
      </c>
      <c r="E1168" s="11">
        <f>IFERROR(VALUE(SUBSTITUTE(SUBSTITUTE(TRIM(Raw_Data!D1168),"₹",""),",","")),"")</f>
        <v>14290</v>
      </c>
      <c r="F1168" s="12">
        <f>IFERROR(VALUE(SUBSTITUTE(Raw_Data!E1168,"%",""))/100,"")</f>
        <v>0.51</v>
      </c>
      <c r="G1168" s="13">
        <f>IFERROR(VALUE(Raw_Data!F1168),"")</f>
        <v>4.4000000000000004</v>
      </c>
      <c r="H1168" s="14">
        <f>IFERROR(VALUE(SUBSTITUTE(Raw_Data!G1168,",","")),"")</f>
        <v>1771</v>
      </c>
      <c r="I1168" s="11">
        <f t="shared" si="72"/>
        <v>7300</v>
      </c>
      <c r="J1168" s="11">
        <f t="shared" si="73"/>
        <v>12379290</v>
      </c>
      <c r="K1168" s="1">
        <f t="shared" si="74"/>
        <v>1771.0001167999999</v>
      </c>
      <c r="L1168" s="15">
        <f t="shared" si="75"/>
        <v>0.51011680000000004</v>
      </c>
    </row>
    <row r="1169" spans="1:12" ht="15" customHeight="1" x14ac:dyDescent="0.25">
      <c r="A1169" s="10" t="str">
        <f>Raw_Data!A1169</f>
        <v>Prestige PIC 16.0+ 1900W Induction Cooktop with Soft Touch Push Buttons (Black)</v>
      </c>
      <c r="B1169" s="10" t="str">
        <f>IFERROR(TRIM(LEFT(Raw_Data!A1169,FIND(" ",Raw_Data!A1169)-1)),Raw_Data!A1169)</f>
        <v>Prestige</v>
      </c>
      <c r="C1169" s="10" t="str">
        <f>IFERROR(LEFT(Raw_Data!B1169,FIND("|",Raw_Data!B1169)-1),Raw_Data!B1169)</f>
        <v>Home&amp;Kitchen</v>
      </c>
      <c r="D1169" s="11">
        <f>IFERROR(VALUE(SUBSTITUTE(SUBSTITUTE(TRIM(Raw_Data!C1169),"₹",""),",","")),"")</f>
        <v>2698</v>
      </c>
      <c r="E1169" s="11">
        <f>IFERROR(VALUE(SUBSTITUTE(SUBSTITUTE(TRIM(Raw_Data!D1169),"₹",""),",","")),"")</f>
        <v>3945</v>
      </c>
      <c r="F1169" s="12">
        <f>IFERROR(VALUE(SUBSTITUTE(Raw_Data!E1169,"%",""))/100,"")</f>
        <v>0.32</v>
      </c>
      <c r="G1169" s="13">
        <f>IFERROR(VALUE(Raw_Data!F1169),"")</f>
        <v>4</v>
      </c>
      <c r="H1169" s="14">
        <f>IFERROR(VALUE(SUBSTITUTE(Raw_Data!G1169,",","")),"")</f>
        <v>15034</v>
      </c>
      <c r="I1169" s="11">
        <f t="shared" si="72"/>
        <v>1247</v>
      </c>
      <c r="J1169" s="11">
        <f t="shared" si="73"/>
        <v>40561732</v>
      </c>
      <c r="K1169" s="1">
        <f t="shared" si="74"/>
        <v>15034.000116900001</v>
      </c>
      <c r="L1169" s="15">
        <f t="shared" si="75"/>
        <v>0.32011689999999998</v>
      </c>
    </row>
    <row r="1170" spans="1:12" ht="15" customHeight="1" x14ac:dyDescent="0.25">
      <c r="A1170" s="10" t="str">
        <f>Raw_Data!A1170</f>
        <v>AGARO 33398 Rapid 1000-Watt, 10-Litre Wet &amp; Dry Vacuum Cleaner, with Blower Function (Red &amp; Black)</v>
      </c>
      <c r="B1170" s="10" t="str">
        <f>IFERROR(TRIM(LEFT(Raw_Data!A1170,FIND(" ",Raw_Data!A1170)-1)),Raw_Data!A1170)</f>
        <v>AGARO</v>
      </c>
      <c r="C1170" s="10" t="str">
        <f>IFERROR(LEFT(Raw_Data!B1170,FIND("|",Raw_Data!B1170)-1),Raw_Data!B1170)</f>
        <v>Home&amp;Kitchen</v>
      </c>
      <c r="D1170" s="11">
        <f>IFERROR(VALUE(SUBSTITUTE(SUBSTITUTE(TRIM(Raw_Data!C1170),"₹",""),",","")),"")</f>
        <v>3199</v>
      </c>
      <c r="E1170" s="11">
        <f>IFERROR(VALUE(SUBSTITUTE(SUBSTITUTE(TRIM(Raw_Data!D1170),"₹",""),",","")),"")</f>
        <v>5999</v>
      </c>
      <c r="F1170" s="12">
        <f>IFERROR(VALUE(SUBSTITUTE(Raw_Data!E1170,"%",""))/100,"")</f>
        <v>0.47</v>
      </c>
      <c r="G1170" s="13">
        <f>IFERROR(VALUE(Raw_Data!F1170),"")</f>
        <v>4</v>
      </c>
      <c r="H1170" s="14">
        <f>IFERROR(VALUE(SUBSTITUTE(Raw_Data!G1170,",","")),"")</f>
        <v>3242</v>
      </c>
      <c r="I1170" s="11">
        <f t="shared" si="72"/>
        <v>2800</v>
      </c>
      <c r="J1170" s="11">
        <f t="shared" si="73"/>
        <v>10371158</v>
      </c>
      <c r="K1170" s="1">
        <f t="shared" si="74"/>
        <v>3242.000117</v>
      </c>
      <c r="L1170" s="15">
        <f t="shared" si="75"/>
        <v>0.47011699999999995</v>
      </c>
    </row>
    <row r="1171" spans="1:12" ht="15" customHeight="1" x14ac:dyDescent="0.25">
      <c r="A1171" s="10" t="str">
        <f>Raw_Data!A1171</f>
        <v>KENT 16026 Electric Kettle Stainless Steel 1.8 L | 1500W | Superfast Boiling | Auto Shut-Off | Boil Dry Protection | 360° Rotating Base | Water Level Indicator</v>
      </c>
      <c r="B1171" s="10" t="str">
        <f>IFERROR(TRIM(LEFT(Raw_Data!A1171,FIND(" ",Raw_Data!A1171)-1)),Raw_Data!A1171)</f>
        <v>KENT</v>
      </c>
      <c r="C1171" s="10" t="str">
        <f>IFERROR(LEFT(Raw_Data!B1171,FIND("|",Raw_Data!B1171)-1),Raw_Data!B1171)</f>
        <v>Home&amp;Kitchen</v>
      </c>
      <c r="D1171" s="11">
        <f>IFERROR(VALUE(SUBSTITUTE(SUBSTITUTE(TRIM(Raw_Data!C1171),"₹",""),",","")),"")</f>
        <v>1199</v>
      </c>
      <c r="E1171" s="11">
        <f>IFERROR(VALUE(SUBSTITUTE(SUBSTITUTE(TRIM(Raw_Data!D1171),"₹",""),",","")),"")</f>
        <v>1950</v>
      </c>
      <c r="F1171" s="12">
        <f>IFERROR(VALUE(SUBSTITUTE(Raw_Data!E1171,"%",""))/100,"")</f>
        <v>0.39</v>
      </c>
      <c r="G1171" s="13">
        <f>IFERROR(VALUE(Raw_Data!F1171),"")</f>
        <v>3.9</v>
      </c>
      <c r="H1171" s="14">
        <f>IFERROR(VALUE(SUBSTITUTE(Raw_Data!G1171,",","")),"")</f>
        <v>2832</v>
      </c>
      <c r="I1171" s="11">
        <f t="shared" si="72"/>
        <v>751</v>
      </c>
      <c r="J1171" s="11">
        <f t="shared" si="73"/>
        <v>3395568</v>
      </c>
      <c r="K1171" s="1">
        <f t="shared" si="74"/>
        <v>2832.0001170999999</v>
      </c>
      <c r="L1171" s="15">
        <f t="shared" si="75"/>
        <v>0.39011709999999999</v>
      </c>
    </row>
    <row r="1172" spans="1:12" ht="15" customHeight="1" x14ac:dyDescent="0.25">
      <c r="A1172" s="10" t="str">
        <f>Raw_Data!A1172</f>
        <v>SKYTONE Stainless Steel Electric Meat Grinders with Bowl 700W Heavy for Kitchen Food Chopper, Meat, Vegetables, Onion , Garlic Slicer Dicer, Fruit &amp; Nuts Blender (2L, 700 Watts)</v>
      </c>
      <c r="B1172" s="10" t="str">
        <f>IFERROR(TRIM(LEFT(Raw_Data!A1172,FIND(" ",Raw_Data!A1172)-1)),Raw_Data!A1172)</f>
        <v>SKYTONE</v>
      </c>
      <c r="C1172" s="10" t="str">
        <f>IFERROR(LEFT(Raw_Data!B1172,FIND("|",Raw_Data!B1172)-1),Raw_Data!B1172)</f>
        <v>Home&amp;Kitchen</v>
      </c>
      <c r="D1172" s="11">
        <f>IFERROR(VALUE(SUBSTITUTE(SUBSTITUTE(TRIM(Raw_Data!C1172),"₹",""),",","")),"")</f>
        <v>1414</v>
      </c>
      <c r="E1172" s="11">
        <f>IFERROR(VALUE(SUBSTITUTE(SUBSTITUTE(TRIM(Raw_Data!D1172),"₹",""),",","")),"")</f>
        <v>2799</v>
      </c>
      <c r="F1172" s="12">
        <f>IFERROR(VALUE(SUBSTITUTE(Raw_Data!E1172,"%",""))/100,"")</f>
        <v>0.49</v>
      </c>
      <c r="G1172" s="13">
        <f>IFERROR(VALUE(Raw_Data!F1172),"")</f>
        <v>4</v>
      </c>
      <c r="H1172" s="14">
        <f>IFERROR(VALUE(SUBSTITUTE(Raw_Data!G1172,",","")),"")</f>
        <v>1498</v>
      </c>
      <c r="I1172" s="11">
        <f t="shared" si="72"/>
        <v>1385</v>
      </c>
      <c r="J1172" s="11">
        <f t="shared" si="73"/>
        <v>2118172</v>
      </c>
      <c r="K1172" s="1">
        <f t="shared" si="74"/>
        <v>1498.0001172</v>
      </c>
      <c r="L1172" s="15">
        <f t="shared" si="75"/>
        <v>0.49011719999999998</v>
      </c>
    </row>
    <row r="1173" spans="1:12" ht="15" customHeight="1" x14ac:dyDescent="0.25">
      <c r="A1173" s="10" t="str">
        <f>Raw_Data!A1173</f>
        <v>KENT 16088 Vogue Electric Kettle 1.8 Litre 1500 W | Stainless Steel body | Auto shut off over heating protection | 1 Year Warranty</v>
      </c>
      <c r="B1173" s="10" t="str">
        <f>IFERROR(TRIM(LEFT(Raw_Data!A1173,FIND(" ",Raw_Data!A1173)-1)),Raw_Data!A1173)</f>
        <v>KENT</v>
      </c>
      <c r="C1173" s="10" t="str">
        <f>IFERROR(LEFT(Raw_Data!B1173,FIND("|",Raw_Data!B1173)-1),Raw_Data!B1173)</f>
        <v>Home&amp;Kitchen</v>
      </c>
      <c r="D1173" s="11">
        <f>IFERROR(VALUE(SUBSTITUTE(SUBSTITUTE(TRIM(Raw_Data!C1173),"₹",""),",","")),"")</f>
        <v>999</v>
      </c>
      <c r="E1173" s="11">
        <f>IFERROR(VALUE(SUBSTITUTE(SUBSTITUTE(TRIM(Raw_Data!D1173),"₹",""),",","")),"")</f>
        <v>1950</v>
      </c>
      <c r="F1173" s="12">
        <f>IFERROR(VALUE(SUBSTITUTE(Raw_Data!E1173,"%",""))/100,"")</f>
        <v>0.49</v>
      </c>
      <c r="G1173" s="13">
        <f>IFERROR(VALUE(Raw_Data!F1173),"")</f>
        <v>3.8</v>
      </c>
      <c r="H1173" s="14">
        <f>IFERROR(VALUE(SUBSTITUTE(Raw_Data!G1173,",","")),"")</f>
        <v>305</v>
      </c>
      <c r="I1173" s="11">
        <f t="shared" si="72"/>
        <v>951</v>
      </c>
      <c r="J1173" s="11">
        <f t="shared" si="73"/>
        <v>304695</v>
      </c>
      <c r="K1173" s="1">
        <f t="shared" si="74"/>
        <v>305.0001173</v>
      </c>
      <c r="L1173" s="15">
        <f t="shared" si="75"/>
        <v>0.49011729999999998</v>
      </c>
    </row>
    <row r="1174" spans="1:12" ht="15" customHeight="1" x14ac:dyDescent="0.25">
      <c r="A1174" s="10" t="str">
        <f>Raw_Data!A1174</f>
        <v>Eureka Forbes Supervac 1600 Watts Powerful Suction,bagless Vacuum Cleaner with cyclonic Technology,7 Accessories,1 Year Warranty,Compact,Lightweight &amp; Easy to use (Red)</v>
      </c>
      <c r="B1174" s="10" t="str">
        <f>IFERROR(TRIM(LEFT(Raw_Data!A1174,FIND(" ",Raw_Data!A1174)-1)),Raw_Data!A1174)</f>
        <v>Eureka</v>
      </c>
      <c r="C1174" s="10" t="str">
        <f>IFERROR(LEFT(Raw_Data!B1174,FIND("|",Raw_Data!B1174)-1),Raw_Data!B1174)</f>
        <v>Home&amp;Kitchen</v>
      </c>
      <c r="D1174" s="11">
        <f>IFERROR(VALUE(SUBSTITUTE(SUBSTITUTE(TRIM(Raw_Data!C1174),"₹",""),",","")),"")</f>
        <v>5999</v>
      </c>
      <c r="E1174" s="11">
        <f>IFERROR(VALUE(SUBSTITUTE(SUBSTITUTE(TRIM(Raw_Data!D1174),"₹",""),",","")),"")</f>
        <v>9999</v>
      </c>
      <c r="F1174" s="12">
        <f>IFERROR(VALUE(SUBSTITUTE(Raw_Data!E1174,"%",""))/100,"")</f>
        <v>0.4</v>
      </c>
      <c r="G1174" s="13">
        <f>IFERROR(VALUE(Raw_Data!F1174),"")</f>
        <v>4.2</v>
      </c>
      <c r="H1174" s="14">
        <f>IFERROR(VALUE(SUBSTITUTE(Raw_Data!G1174,",","")),"")</f>
        <v>1191</v>
      </c>
      <c r="I1174" s="11">
        <f t="shared" si="72"/>
        <v>4000</v>
      </c>
      <c r="J1174" s="11">
        <f t="shared" si="73"/>
        <v>7144809</v>
      </c>
      <c r="K1174" s="1">
        <f t="shared" si="74"/>
        <v>1191.0001173999999</v>
      </c>
      <c r="L1174" s="15">
        <f t="shared" si="75"/>
        <v>0.40011740000000001</v>
      </c>
    </row>
    <row r="1175" spans="1:12" ht="15" customHeight="1" x14ac:dyDescent="0.25">
      <c r="A1175" s="10" t="str">
        <f>Raw_Data!A1175</f>
        <v>Mi Air Purifier 3 with True HEPA Filter, removes air pollutants, smoke, odor, bacteria &amp; viruses with 99.97% efficiency, coverage area up to 484 sq. ft., Wi-Fi &amp; Voice control - Alexa/GA (white)</v>
      </c>
      <c r="B1175" s="10" t="str">
        <f>IFERROR(TRIM(LEFT(Raw_Data!A1175,FIND(" ",Raw_Data!A1175)-1)),Raw_Data!A1175)</f>
        <v>Mi</v>
      </c>
      <c r="C1175" s="10" t="str">
        <f>IFERROR(LEFT(Raw_Data!B1175,FIND("|",Raw_Data!B1175)-1),Raw_Data!B1175)</f>
        <v>Home&amp;Kitchen</v>
      </c>
      <c r="D1175" s="11">
        <f>IFERROR(VALUE(SUBSTITUTE(SUBSTITUTE(TRIM(Raw_Data!C1175),"₹",""),",","")),"")</f>
        <v>9970</v>
      </c>
      <c r="E1175" s="11">
        <f>IFERROR(VALUE(SUBSTITUTE(SUBSTITUTE(TRIM(Raw_Data!D1175),"₹",""),",","")),"")</f>
        <v>12999</v>
      </c>
      <c r="F1175" s="12">
        <f>IFERROR(VALUE(SUBSTITUTE(Raw_Data!E1175,"%",""))/100,"")</f>
        <v>0.23</v>
      </c>
      <c r="G1175" s="13">
        <f>IFERROR(VALUE(Raw_Data!F1175),"")</f>
        <v>4.3</v>
      </c>
      <c r="H1175" s="14">
        <f>IFERROR(VALUE(SUBSTITUTE(Raw_Data!G1175,",","")),"")</f>
        <v>4049</v>
      </c>
      <c r="I1175" s="11">
        <f t="shared" si="72"/>
        <v>3029</v>
      </c>
      <c r="J1175" s="11">
        <f t="shared" si="73"/>
        <v>40368530</v>
      </c>
      <c r="K1175" s="1">
        <f t="shared" si="74"/>
        <v>4049.0001175000002</v>
      </c>
      <c r="L1175" s="15">
        <f t="shared" si="75"/>
        <v>0.2301175</v>
      </c>
    </row>
    <row r="1176" spans="1:12" ht="15" customHeight="1" x14ac:dyDescent="0.25">
      <c r="A1176" s="10" t="str">
        <f>Raw_Data!A1176</f>
        <v>Tata Swach Bulb 6000-Litre Cartridge, 1 Piece, White, Hollow Fiber Membrane</v>
      </c>
      <c r="B1176" s="10" t="str">
        <f>IFERROR(TRIM(LEFT(Raw_Data!A1176,FIND(" ",Raw_Data!A1176)-1)),Raw_Data!A1176)</f>
        <v>Tata</v>
      </c>
      <c r="C1176" s="10" t="str">
        <f>IFERROR(LEFT(Raw_Data!B1176,FIND("|",Raw_Data!B1176)-1),Raw_Data!B1176)</f>
        <v>Home&amp;Kitchen</v>
      </c>
      <c r="D1176" s="11">
        <f>IFERROR(VALUE(SUBSTITUTE(SUBSTITUTE(TRIM(Raw_Data!C1176),"₹",""),",","")),"")</f>
        <v>698</v>
      </c>
      <c r="E1176" s="11">
        <f>IFERROR(VALUE(SUBSTITUTE(SUBSTITUTE(TRIM(Raw_Data!D1176),"₹",""),",","")),"")</f>
        <v>699</v>
      </c>
      <c r="F1176" s="12">
        <f>IFERROR(VALUE(SUBSTITUTE(Raw_Data!E1176,"%",""))/100,"")</f>
        <v>0</v>
      </c>
      <c r="G1176" s="13">
        <f>IFERROR(VALUE(Raw_Data!F1176),"")</f>
        <v>4.2</v>
      </c>
      <c r="H1176" s="14">
        <f>IFERROR(VALUE(SUBSTITUTE(Raw_Data!G1176,",","")),"")</f>
        <v>3160</v>
      </c>
      <c r="I1176" s="11">
        <f t="shared" si="72"/>
        <v>1</v>
      </c>
      <c r="J1176" s="11">
        <f t="shared" si="73"/>
        <v>2205680</v>
      </c>
      <c r="K1176" s="1">
        <f t="shared" si="74"/>
        <v>3160.0001176000001</v>
      </c>
      <c r="L1176" s="15">
        <f t="shared" si="75"/>
        <v>1.176E-4</v>
      </c>
    </row>
    <row r="1177" spans="1:12" ht="15" customHeight="1" x14ac:dyDescent="0.25">
      <c r="A1177" s="10" t="str">
        <f>Raw_Data!A1177</f>
        <v>Havells Ambrose 1200mm Ceiling Fan (Gold Mist Wood)</v>
      </c>
      <c r="B1177" s="10" t="str">
        <f>IFERROR(TRIM(LEFT(Raw_Data!A1177,FIND(" ",Raw_Data!A1177)-1)),Raw_Data!A1177)</f>
        <v>Havells</v>
      </c>
      <c r="C1177" s="10" t="str">
        <f>IFERROR(LEFT(Raw_Data!B1177,FIND("|",Raw_Data!B1177)-1),Raw_Data!B1177)</f>
        <v>Home&amp;Kitchen</v>
      </c>
      <c r="D1177" s="11">
        <f>IFERROR(VALUE(SUBSTITUTE(SUBSTITUTE(TRIM(Raw_Data!C1177),"₹",""),",","")),"")</f>
        <v>2199</v>
      </c>
      <c r="E1177" s="11">
        <f>IFERROR(VALUE(SUBSTITUTE(SUBSTITUTE(TRIM(Raw_Data!D1177),"₹",""),",","")),"")</f>
        <v>3190</v>
      </c>
      <c r="F1177" s="12">
        <f>IFERROR(VALUE(SUBSTITUTE(Raw_Data!E1177,"%",""))/100,"")</f>
        <v>0.31</v>
      </c>
      <c r="G1177" s="13">
        <f>IFERROR(VALUE(Raw_Data!F1177),"")</f>
        <v>4.3</v>
      </c>
      <c r="H1177" s="14">
        <f>IFERROR(VALUE(SUBSTITUTE(Raw_Data!G1177,",","")),"")</f>
        <v>9650</v>
      </c>
      <c r="I1177" s="11">
        <f t="shared" si="72"/>
        <v>991</v>
      </c>
      <c r="J1177" s="11">
        <f t="shared" si="73"/>
        <v>21220350</v>
      </c>
      <c r="K1177" s="1">
        <f t="shared" si="74"/>
        <v>9650.0001176999995</v>
      </c>
      <c r="L1177" s="15">
        <f t="shared" si="75"/>
        <v>0.3101177</v>
      </c>
    </row>
    <row r="1178" spans="1:12" ht="15" customHeight="1" x14ac:dyDescent="0.25">
      <c r="A1178" s="10" t="str">
        <f>Raw_Data!A1178</f>
        <v>PrettyKrafts Laundry Bag / Basket for Dirty Clothes, Folding Round Laundry Bag,Set of 2, Black Wave</v>
      </c>
      <c r="B1178" s="10" t="str">
        <f>IFERROR(TRIM(LEFT(Raw_Data!A1178,FIND(" ",Raw_Data!A1178)-1)),Raw_Data!A1178)</f>
        <v>PrettyKrafts</v>
      </c>
      <c r="C1178" s="10" t="str">
        <f>IFERROR(LEFT(Raw_Data!B1178,FIND("|",Raw_Data!B1178)-1),Raw_Data!B1178)</f>
        <v>Home&amp;Kitchen</v>
      </c>
      <c r="D1178" s="11">
        <f>IFERROR(VALUE(SUBSTITUTE(SUBSTITUTE(TRIM(Raw_Data!C1178),"₹",""),",","")),"")</f>
        <v>320</v>
      </c>
      <c r="E1178" s="11">
        <f>IFERROR(VALUE(SUBSTITUTE(SUBSTITUTE(TRIM(Raw_Data!D1178),"₹",""),",","")),"")</f>
        <v>799</v>
      </c>
      <c r="F1178" s="12">
        <f>IFERROR(VALUE(SUBSTITUTE(Raw_Data!E1178,"%",""))/100,"")</f>
        <v>0.6</v>
      </c>
      <c r="G1178" s="13">
        <f>IFERROR(VALUE(Raw_Data!F1178),"")</f>
        <v>4.2</v>
      </c>
      <c r="H1178" s="14">
        <f>IFERROR(VALUE(SUBSTITUTE(Raw_Data!G1178,",","")),"")</f>
        <v>3846</v>
      </c>
      <c r="I1178" s="11">
        <f t="shared" si="72"/>
        <v>479</v>
      </c>
      <c r="J1178" s="11">
        <f t="shared" si="73"/>
        <v>1230720</v>
      </c>
      <c r="K1178" s="1">
        <f t="shared" si="74"/>
        <v>3846.0001178000002</v>
      </c>
      <c r="L1178" s="15">
        <f t="shared" si="75"/>
        <v>0.60011779999999992</v>
      </c>
    </row>
    <row r="1179" spans="1:12" ht="15" customHeight="1" x14ac:dyDescent="0.25">
      <c r="A1179" s="10" t="str">
        <f>Raw_Data!A1179</f>
        <v>FABWARE Lint Remover for Clothes - Sticky Lint Roller for Clothes, Furniture, Wool, Coat, Car Seats, Carpet, Fabric, Dust Cleaner, Pet Hair Remover with 1 Handle &amp; 1 Refill Total 60 Sheets &amp; 1 Cover</v>
      </c>
      <c r="B1179" s="10" t="str">
        <f>IFERROR(TRIM(LEFT(Raw_Data!A1179,FIND(" ",Raw_Data!A1179)-1)),Raw_Data!A1179)</f>
        <v>FABWARE</v>
      </c>
      <c r="C1179" s="10" t="str">
        <f>IFERROR(LEFT(Raw_Data!B1179,FIND("|",Raw_Data!B1179)-1),Raw_Data!B1179)</f>
        <v>Home&amp;Kitchen</v>
      </c>
      <c r="D1179" s="11">
        <f>IFERROR(VALUE(SUBSTITUTE(SUBSTITUTE(TRIM(Raw_Data!C1179),"₹",""),",","")),"")</f>
        <v>298</v>
      </c>
      <c r="E1179" s="11">
        <f>IFERROR(VALUE(SUBSTITUTE(SUBSTITUTE(TRIM(Raw_Data!D1179),"₹",""),",","")),"")</f>
        <v>499</v>
      </c>
      <c r="F1179" s="12">
        <f>IFERROR(VALUE(SUBSTITUTE(Raw_Data!E1179,"%",""))/100,"")</f>
        <v>0.4</v>
      </c>
      <c r="G1179" s="13">
        <f>IFERROR(VALUE(Raw_Data!F1179),"")</f>
        <v>4.4000000000000004</v>
      </c>
      <c r="H1179" s="14">
        <f>IFERROR(VALUE(SUBSTITUTE(Raw_Data!G1179,",","")),"")</f>
        <v>290</v>
      </c>
      <c r="I1179" s="11">
        <f t="shared" si="72"/>
        <v>201</v>
      </c>
      <c r="J1179" s="11">
        <f t="shared" si="73"/>
        <v>86420</v>
      </c>
      <c r="K1179" s="1">
        <f t="shared" si="74"/>
        <v>290.00011790000002</v>
      </c>
      <c r="L1179" s="15">
        <f t="shared" si="75"/>
        <v>0.40011790000000003</v>
      </c>
    </row>
    <row r="1180" spans="1:12" ht="15" customHeight="1" x14ac:dyDescent="0.25">
      <c r="A1180" s="10" t="str">
        <f>Raw_Data!A1180</f>
        <v>Brayden Fito Atom Rechargeable Smoothie Blender with 2000 mAh Battery and 3.7V Motor with 400ml Tritan Jar (Blue)</v>
      </c>
      <c r="B1180" s="10" t="str">
        <f>IFERROR(TRIM(LEFT(Raw_Data!A1180,FIND(" ",Raw_Data!A1180)-1)),Raw_Data!A1180)</f>
        <v>Brayden</v>
      </c>
      <c r="C1180" s="10" t="str">
        <f>IFERROR(LEFT(Raw_Data!B1180,FIND("|",Raw_Data!B1180)-1),Raw_Data!B1180)</f>
        <v>Home&amp;Kitchen</v>
      </c>
      <c r="D1180" s="11">
        <f>IFERROR(VALUE(SUBSTITUTE(SUBSTITUTE(TRIM(Raw_Data!C1180),"₹",""),",","")),"")</f>
        <v>1199</v>
      </c>
      <c r="E1180" s="11">
        <f>IFERROR(VALUE(SUBSTITUTE(SUBSTITUTE(TRIM(Raw_Data!D1180),"₹",""),",","")),"")</f>
        <v>1499</v>
      </c>
      <c r="F1180" s="12">
        <f>IFERROR(VALUE(SUBSTITUTE(Raw_Data!E1180,"%",""))/100,"")</f>
        <v>0.2</v>
      </c>
      <c r="G1180" s="13">
        <f>IFERROR(VALUE(Raw_Data!F1180),"")</f>
        <v>3.8</v>
      </c>
      <c r="H1180" s="14">
        <f>IFERROR(VALUE(SUBSTITUTE(Raw_Data!G1180,",","")),"")</f>
        <v>2206</v>
      </c>
      <c r="I1180" s="11">
        <f t="shared" si="72"/>
        <v>300</v>
      </c>
      <c r="J1180" s="11">
        <f t="shared" si="73"/>
        <v>2644994</v>
      </c>
      <c r="K1180" s="1">
        <f t="shared" si="74"/>
        <v>2206.0001179999999</v>
      </c>
      <c r="L1180" s="15">
        <f t="shared" si="75"/>
        <v>0.20011800000000002</v>
      </c>
    </row>
    <row r="1181" spans="1:12" ht="15" customHeight="1" x14ac:dyDescent="0.25">
      <c r="A1181" s="10" t="str">
        <f>Raw_Data!A1181</f>
        <v>Bajaj Frore 1200 mm Ceiling Fan (Brown)</v>
      </c>
      <c r="B1181" s="10" t="str">
        <f>IFERROR(TRIM(LEFT(Raw_Data!A1181,FIND(" ",Raw_Data!A1181)-1)),Raw_Data!A1181)</f>
        <v>Bajaj</v>
      </c>
      <c r="C1181" s="10" t="str">
        <f>IFERROR(LEFT(Raw_Data!B1181,FIND("|",Raw_Data!B1181)-1),Raw_Data!B1181)</f>
        <v>Home&amp;Kitchen</v>
      </c>
      <c r="D1181" s="11">
        <f>IFERROR(VALUE(SUBSTITUTE(SUBSTITUTE(TRIM(Raw_Data!C1181),"₹",""),",","")),"")</f>
        <v>1399</v>
      </c>
      <c r="E1181" s="11">
        <f>IFERROR(VALUE(SUBSTITUTE(SUBSTITUTE(TRIM(Raw_Data!D1181),"₹",""),",","")),"")</f>
        <v>2660</v>
      </c>
      <c r="F1181" s="12">
        <f>IFERROR(VALUE(SUBSTITUTE(Raw_Data!E1181,"%",""))/100,"")</f>
        <v>0.47</v>
      </c>
      <c r="G1181" s="13">
        <f>IFERROR(VALUE(Raw_Data!F1181),"")</f>
        <v>4.0999999999999996</v>
      </c>
      <c r="H1181" s="14">
        <f>IFERROR(VALUE(SUBSTITUTE(Raw_Data!G1181,",","")),"")</f>
        <v>9349</v>
      </c>
      <c r="I1181" s="11">
        <f t="shared" si="72"/>
        <v>1261</v>
      </c>
      <c r="J1181" s="11">
        <f t="shared" si="73"/>
        <v>13079251</v>
      </c>
      <c r="K1181" s="1">
        <f t="shared" si="74"/>
        <v>9349.0001181000007</v>
      </c>
      <c r="L1181" s="15">
        <f t="shared" si="75"/>
        <v>0.47011809999999998</v>
      </c>
    </row>
    <row r="1182" spans="1:12" ht="15" customHeight="1" x14ac:dyDescent="0.25">
      <c r="A1182" s="10" t="str">
        <f>Raw_Data!A1182</f>
        <v>Venus Digital Kitchen Weighing Scale &amp; Food Weight Machine for Health, Fitness, Home Baking &amp; Cooking Scale, 2 Year Warranty &amp; Battery Included (Weighing Scale Without Bowl) Capacity 10 Kg, 1 Gm</v>
      </c>
      <c r="B1182" s="10" t="str">
        <f>IFERROR(TRIM(LEFT(Raw_Data!A1182,FIND(" ",Raw_Data!A1182)-1)),Raw_Data!A1182)</f>
        <v>Venus</v>
      </c>
      <c r="C1182" s="10" t="str">
        <f>IFERROR(LEFT(Raw_Data!B1182,FIND("|",Raw_Data!B1182)-1),Raw_Data!B1182)</f>
        <v>Home&amp;Kitchen</v>
      </c>
      <c r="D1182" s="11">
        <f>IFERROR(VALUE(SUBSTITUTE(SUBSTITUTE(TRIM(Raw_Data!C1182),"₹",""),",","")),"")</f>
        <v>599</v>
      </c>
      <c r="E1182" s="11">
        <f>IFERROR(VALUE(SUBSTITUTE(SUBSTITUTE(TRIM(Raw_Data!D1182),"₹",""),",","")),"")</f>
        <v>2799</v>
      </c>
      <c r="F1182" s="12">
        <f>IFERROR(VALUE(SUBSTITUTE(Raw_Data!E1182,"%",""))/100,"")</f>
        <v>0.79</v>
      </c>
      <c r="G1182" s="13">
        <f>IFERROR(VALUE(Raw_Data!F1182),"")</f>
        <v>3.9</v>
      </c>
      <c r="H1182" s="14">
        <f>IFERROR(VALUE(SUBSTITUTE(Raw_Data!G1182,",","")),"")</f>
        <v>578</v>
      </c>
      <c r="I1182" s="11">
        <f t="shared" si="72"/>
        <v>2200</v>
      </c>
      <c r="J1182" s="11">
        <f t="shared" si="73"/>
        <v>346222</v>
      </c>
      <c r="K1182" s="1">
        <f t="shared" si="74"/>
        <v>578.00011819999997</v>
      </c>
      <c r="L1182" s="15">
        <f t="shared" si="75"/>
        <v>0.79011819999999999</v>
      </c>
    </row>
    <row r="1183" spans="1:12" ht="15" customHeight="1" x14ac:dyDescent="0.25">
      <c r="A1183" s="10" t="str">
        <f>Raw_Data!A1183</f>
        <v>Bajaj ATX 4 750-Watt Pop-up Toaster (White)</v>
      </c>
      <c r="B1183" s="10" t="str">
        <f>IFERROR(TRIM(LEFT(Raw_Data!A1183,FIND(" ",Raw_Data!A1183)-1)),Raw_Data!A1183)</f>
        <v>Bajaj</v>
      </c>
      <c r="C1183" s="10" t="str">
        <f>IFERROR(LEFT(Raw_Data!B1183,FIND("|",Raw_Data!B1183)-1),Raw_Data!B1183)</f>
        <v>Home&amp;Kitchen</v>
      </c>
      <c r="D1183" s="11">
        <f>IFERROR(VALUE(SUBSTITUTE(SUBSTITUTE(TRIM(Raw_Data!C1183),"₹",""),",","")),"")</f>
        <v>1499</v>
      </c>
      <c r="E1183" s="11">
        <f>IFERROR(VALUE(SUBSTITUTE(SUBSTITUTE(TRIM(Raw_Data!D1183),"₹",""),",","")),"")</f>
        <v>1499</v>
      </c>
      <c r="F1183" s="12">
        <f>IFERROR(VALUE(SUBSTITUTE(Raw_Data!E1183,"%",""))/100,"")</f>
        <v>0</v>
      </c>
      <c r="G1183" s="13">
        <f>IFERROR(VALUE(Raw_Data!F1183),"")</f>
        <v>4.3</v>
      </c>
      <c r="H1183" s="14">
        <f>IFERROR(VALUE(SUBSTITUTE(Raw_Data!G1183,",","")),"")</f>
        <v>9331</v>
      </c>
      <c r="I1183" s="11">
        <f t="shared" si="72"/>
        <v>0</v>
      </c>
      <c r="J1183" s="11">
        <f t="shared" si="73"/>
        <v>13987169</v>
      </c>
      <c r="K1183" s="1">
        <f t="shared" si="74"/>
        <v>9331.0001183000004</v>
      </c>
      <c r="L1183" s="15">
        <f t="shared" si="75"/>
        <v>1.183E-4</v>
      </c>
    </row>
    <row r="1184" spans="1:12" ht="15" customHeight="1" x14ac:dyDescent="0.25">
      <c r="A1184" s="10" t="str">
        <f>Raw_Data!A1184</f>
        <v>Coway Professional Air Purifier for Home, Longest Filter Life 8500 Hrs, Green True HEPA Filter, Traps 99.99% Virus &amp; PM 0.1 Particles, Warranty 7 Years (AirMega 150 (AP-1019C))</v>
      </c>
      <c r="B1184" s="10" t="str">
        <f>IFERROR(TRIM(LEFT(Raw_Data!A1184,FIND(" ",Raw_Data!A1184)-1)),Raw_Data!A1184)</f>
        <v>Coway</v>
      </c>
      <c r="C1184" s="10" t="str">
        <f>IFERROR(LEFT(Raw_Data!B1184,FIND("|",Raw_Data!B1184)-1),Raw_Data!B1184)</f>
        <v>Home&amp;Kitchen</v>
      </c>
      <c r="D1184" s="11">
        <f>IFERROR(VALUE(SUBSTITUTE(SUBSTITUTE(TRIM(Raw_Data!C1184),"₹",""),",","")),"")</f>
        <v>14400</v>
      </c>
      <c r="E1184" s="11">
        <f>IFERROR(VALUE(SUBSTITUTE(SUBSTITUTE(TRIM(Raw_Data!D1184),"₹",""),",","")),"")</f>
        <v>59900</v>
      </c>
      <c r="F1184" s="12">
        <f>IFERROR(VALUE(SUBSTITUTE(Raw_Data!E1184,"%",""))/100,"")</f>
        <v>0.76</v>
      </c>
      <c r="G1184" s="13">
        <f>IFERROR(VALUE(Raw_Data!F1184),"")</f>
        <v>4.4000000000000004</v>
      </c>
      <c r="H1184" s="14">
        <f>IFERROR(VALUE(SUBSTITUTE(Raw_Data!G1184,",","")),"")</f>
        <v>3837</v>
      </c>
      <c r="I1184" s="11">
        <f t="shared" si="72"/>
        <v>45500</v>
      </c>
      <c r="J1184" s="11">
        <f t="shared" si="73"/>
        <v>55252800</v>
      </c>
      <c r="K1184" s="1">
        <f t="shared" si="74"/>
        <v>3837.0001183999998</v>
      </c>
      <c r="L1184" s="15">
        <f t="shared" si="75"/>
        <v>0.76011839999999997</v>
      </c>
    </row>
    <row r="1185" spans="1:12" ht="15" customHeight="1" x14ac:dyDescent="0.25">
      <c r="A1185" s="10" t="str">
        <f>Raw_Data!A1185</f>
        <v>KENT Gold Optima Gravity Water Purifier (11016) | UF Technology Based | Non-Electric &amp; Chemical Free | Counter Top | 10L Storage | White</v>
      </c>
      <c r="B1185" s="10" t="str">
        <f>IFERROR(TRIM(LEFT(Raw_Data!A1185,FIND(" ",Raw_Data!A1185)-1)),Raw_Data!A1185)</f>
        <v>KENT</v>
      </c>
      <c r="C1185" s="10" t="str">
        <f>IFERROR(LEFT(Raw_Data!B1185,FIND("|",Raw_Data!B1185)-1),Raw_Data!B1185)</f>
        <v>Home&amp;Kitchen</v>
      </c>
      <c r="D1185" s="11">
        <f>IFERROR(VALUE(SUBSTITUTE(SUBSTITUTE(TRIM(Raw_Data!C1185),"₹",""),",","")),"")</f>
        <v>1699</v>
      </c>
      <c r="E1185" s="11">
        <f>IFERROR(VALUE(SUBSTITUTE(SUBSTITUTE(TRIM(Raw_Data!D1185),"₹",""),",","")),"")</f>
        <v>1900</v>
      </c>
      <c r="F1185" s="12">
        <f>IFERROR(VALUE(SUBSTITUTE(Raw_Data!E1185,"%",""))/100,"")</f>
        <v>0.11</v>
      </c>
      <c r="G1185" s="13">
        <f>IFERROR(VALUE(Raw_Data!F1185),"")</f>
        <v>3.6</v>
      </c>
      <c r="H1185" s="14">
        <f>IFERROR(VALUE(SUBSTITUTE(Raw_Data!G1185,",","")),"")</f>
        <v>11456</v>
      </c>
      <c r="I1185" s="11">
        <f t="shared" si="72"/>
        <v>201</v>
      </c>
      <c r="J1185" s="11">
        <f t="shared" si="73"/>
        <v>19463744</v>
      </c>
      <c r="K1185" s="1">
        <f t="shared" si="74"/>
        <v>11456.0001185</v>
      </c>
      <c r="L1185" s="15">
        <f t="shared" si="75"/>
        <v>0.11011849999999999</v>
      </c>
    </row>
    <row r="1186" spans="1:12" ht="15" customHeight="1" x14ac:dyDescent="0.25">
      <c r="A1186" s="10" t="str">
        <f>Raw_Data!A1186</f>
        <v>HOMEPACK 750W Radiant Room Home Office Heaters For Winter</v>
      </c>
      <c r="B1186" s="10" t="str">
        <f>IFERROR(TRIM(LEFT(Raw_Data!A1186,FIND(" ",Raw_Data!A1186)-1)),Raw_Data!A1186)</f>
        <v>HOMEPACK</v>
      </c>
      <c r="C1186" s="10" t="str">
        <f>IFERROR(LEFT(Raw_Data!B1186,FIND("|",Raw_Data!B1186)-1),Raw_Data!B1186)</f>
        <v>Home&amp;Kitchen</v>
      </c>
      <c r="D1186" s="11">
        <f>IFERROR(VALUE(SUBSTITUTE(SUBSTITUTE(TRIM(Raw_Data!C1186),"₹",""),",","")),"")</f>
        <v>649</v>
      </c>
      <c r="E1186" s="11">
        <f>IFERROR(VALUE(SUBSTITUTE(SUBSTITUTE(TRIM(Raw_Data!D1186),"₹",""),",","")),"")</f>
        <v>999</v>
      </c>
      <c r="F1186" s="12">
        <f>IFERROR(VALUE(SUBSTITUTE(Raw_Data!E1186,"%",""))/100,"")</f>
        <v>0.35</v>
      </c>
      <c r="G1186" s="13">
        <f>IFERROR(VALUE(Raw_Data!F1186),"")</f>
        <v>3.8</v>
      </c>
      <c r="H1186" s="14">
        <f>IFERROR(VALUE(SUBSTITUTE(Raw_Data!G1186,",","")),"")</f>
        <v>49</v>
      </c>
      <c r="I1186" s="11">
        <f t="shared" si="72"/>
        <v>350</v>
      </c>
      <c r="J1186" s="11">
        <f t="shared" si="73"/>
        <v>31801</v>
      </c>
      <c r="K1186" s="1">
        <f t="shared" si="74"/>
        <v>49.0001186</v>
      </c>
      <c r="L1186" s="15">
        <f t="shared" si="75"/>
        <v>0.3501186</v>
      </c>
    </row>
    <row r="1187" spans="1:12" ht="15" customHeight="1" x14ac:dyDescent="0.25">
      <c r="A1187" s="10" t="str">
        <f>Raw_Data!A1187</f>
        <v>Bajaj Rex 750W Mixer Grinder with Nutri Pro Feature, 4 Jars, White</v>
      </c>
      <c r="B1187" s="10" t="str">
        <f>IFERROR(TRIM(LEFT(Raw_Data!A1187,FIND(" ",Raw_Data!A1187)-1)),Raw_Data!A1187)</f>
        <v>Bajaj</v>
      </c>
      <c r="C1187" s="10" t="str">
        <f>IFERROR(LEFT(Raw_Data!B1187,FIND("|",Raw_Data!B1187)-1),Raw_Data!B1187)</f>
        <v>Home&amp;Kitchen</v>
      </c>
      <c r="D1187" s="11">
        <f>IFERROR(VALUE(SUBSTITUTE(SUBSTITUTE(TRIM(Raw_Data!C1187),"₹",""),",","")),"")</f>
        <v>3249</v>
      </c>
      <c r="E1187" s="11">
        <f>IFERROR(VALUE(SUBSTITUTE(SUBSTITUTE(TRIM(Raw_Data!D1187),"₹",""),",","")),"")</f>
        <v>6375</v>
      </c>
      <c r="F1187" s="12">
        <f>IFERROR(VALUE(SUBSTITUTE(Raw_Data!E1187,"%",""))/100,"")</f>
        <v>0.49</v>
      </c>
      <c r="G1187" s="13">
        <f>IFERROR(VALUE(Raw_Data!F1187),"")</f>
        <v>4</v>
      </c>
      <c r="H1187" s="14">
        <f>IFERROR(VALUE(SUBSTITUTE(Raw_Data!G1187,",","")),"")</f>
        <v>4978</v>
      </c>
      <c r="I1187" s="11">
        <f t="shared" si="72"/>
        <v>3126</v>
      </c>
      <c r="J1187" s="11">
        <f t="shared" si="73"/>
        <v>16173522</v>
      </c>
      <c r="K1187" s="1">
        <f t="shared" si="74"/>
        <v>4978.0001186999998</v>
      </c>
      <c r="L1187" s="15">
        <f t="shared" si="75"/>
        <v>0.49011870000000002</v>
      </c>
    </row>
    <row r="1188" spans="1:12" ht="15" customHeight="1" x14ac:dyDescent="0.25">
      <c r="A1188" s="10" t="str">
        <f>Raw_Data!A1188</f>
        <v>Heart Home Waterproof Round Non Wovan Laundry Bag/Hamper|Metalic Printed With Handles|Foldable Bin &amp; 45 Liter Capicity|Size 37 x 37 x 49, Pack of 1 (Grey &amp; Black)-HEARTXY11447</v>
      </c>
      <c r="B1188" s="10" t="str">
        <f>IFERROR(TRIM(LEFT(Raw_Data!A1188,FIND(" ",Raw_Data!A1188)-1)),Raw_Data!A1188)</f>
        <v>Heart</v>
      </c>
      <c r="C1188" s="10" t="str">
        <f>IFERROR(LEFT(Raw_Data!B1188,FIND("|",Raw_Data!B1188)-1),Raw_Data!B1188)</f>
        <v>Home&amp;Kitchen</v>
      </c>
      <c r="D1188" s="11">
        <f>IFERROR(VALUE(SUBSTITUTE(SUBSTITUTE(TRIM(Raw_Data!C1188),"₹",""),",","")),"")</f>
        <v>199</v>
      </c>
      <c r="E1188" s="11">
        <f>IFERROR(VALUE(SUBSTITUTE(SUBSTITUTE(TRIM(Raw_Data!D1188),"₹",""),",","")),"")</f>
        <v>499</v>
      </c>
      <c r="F1188" s="12">
        <f>IFERROR(VALUE(SUBSTITUTE(Raw_Data!E1188,"%",""))/100,"")</f>
        <v>0.6</v>
      </c>
      <c r="G1188" s="13">
        <f>IFERROR(VALUE(Raw_Data!F1188),"")</f>
        <v>4.0999999999999996</v>
      </c>
      <c r="H1188" s="14">
        <f>IFERROR(VALUE(SUBSTITUTE(Raw_Data!G1188,",","")),"")</f>
        <v>1996</v>
      </c>
      <c r="I1188" s="11">
        <f t="shared" si="72"/>
        <v>300</v>
      </c>
      <c r="J1188" s="11">
        <f t="shared" si="73"/>
        <v>397204</v>
      </c>
      <c r="K1188" s="1">
        <f t="shared" si="74"/>
        <v>1996.0001188000001</v>
      </c>
      <c r="L1188" s="15">
        <f t="shared" si="75"/>
        <v>0.60011879999999995</v>
      </c>
    </row>
    <row r="1189" spans="1:12" ht="15" customHeight="1" x14ac:dyDescent="0.25">
      <c r="A1189" s="10" t="str">
        <f>Raw_Data!A1189</f>
        <v>MILTON Smart Egg Boiler 360-Watts (Transparent and Silver Grey), Boil Up to 7 Eggs</v>
      </c>
      <c r="B1189" s="10" t="str">
        <f>IFERROR(TRIM(LEFT(Raw_Data!A1189,FIND(" ",Raw_Data!A1189)-1)),Raw_Data!A1189)</f>
        <v>MILTON</v>
      </c>
      <c r="C1189" s="10" t="str">
        <f>IFERROR(LEFT(Raw_Data!B1189,FIND("|",Raw_Data!B1189)-1),Raw_Data!B1189)</f>
        <v>Home&amp;Kitchen</v>
      </c>
      <c r="D1189" s="11">
        <f>IFERROR(VALUE(SUBSTITUTE(SUBSTITUTE(TRIM(Raw_Data!C1189),"₹",""),",","")),"")</f>
        <v>1099</v>
      </c>
      <c r="E1189" s="11">
        <f>IFERROR(VALUE(SUBSTITUTE(SUBSTITUTE(TRIM(Raw_Data!D1189),"₹",""),",","")),"")</f>
        <v>1899</v>
      </c>
      <c r="F1189" s="12">
        <f>IFERROR(VALUE(SUBSTITUTE(Raw_Data!E1189,"%",""))/100,"")</f>
        <v>0.42</v>
      </c>
      <c r="G1189" s="13">
        <f>IFERROR(VALUE(Raw_Data!F1189),"")</f>
        <v>4.3</v>
      </c>
      <c r="H1189" s="14">
        <f>IFERROR(VALUE(SUBSTITUTE(Raw_Data!G1189,",","")),"")</f>
        <v>1811</v>
      </c>
      <c r="I1189" s="11">
        <f t="shared" si="72"/>
        <v>800</v>
      </c>
      <c r="J1189" s="11">
        <f t="shared" si="73"/>
        <v>1990289</v>
      </c>
      <c r="K1189" s="1">
        <f t="shared" si="74"/>
        <v>1811.0001189</v>
      </c>
      <c r="L1189" s="15">
        <f t="shared" si="75"/>
        <v>0.42011889999999996</v>
      </c>
    </row>
    <row r="1190" spans="1:12" ht="15" customHeight="1" x14ac:dyDescent="0.25">
      <c r="A1190" s="10" t="str">
        <f>Raw_Data!A1190</f>
        <v>iBELL SEK15L Premium 1.5 Litre Stainless Steel Electric Kettle,1500W Auto Cut-Off Feature,Silver with Black</v>
      </c>
      <c r="B1190" s="10" t="str">
        <f>IFERROR(TRIM(LEFT(Raw_Data!A1190,FIND(" ",Raw_Data!A1190)-1)),Raw_Data!A1190)</f>
        <v>iBELL</v>
      </c>
      <c r="C1190" s="10" t="str">
        <f>IFERROR(LEFT(Raw_Data!B1190,FIND("|",Raw_Data!B1190)-1),Raw_Data!B1190)</f>
        <v>Home&amp;Kitchen</v>
      </c>
      <c r="D1190" s="11">
        <f>IFERROR(VALUE(SUBSTITUTE(SUBSTITUTE(TRIM(Raw_Data!C1190),"₹",""),",","")),"")</f>
        <v>664</v>
      </c>
      <c r="E1190" s="11">
        <f>IFERROR(VALUE(SUBSTITUTE(SUBSTITUTE(TRIM(Raw_Data!D1190),"₹",""),",","")),"")</f>
        <v>1490</v>
      </c>
      <c r="F1190" s="12">
        <f>IFERROR(VALUE(SUBSTITUTE(Raw_Data!E1190,"%",""))/100,"")</f>
        <v>0.55000000000000004</v>
      </c>
      <c r="G1190" s="13">
        <f>IFERROR(VALUE(Raw_Data!F1190),"")</f>
        <v>4</v>
      </c>
      <c r="H1190" s="14">
        <f>IFERROR(VALUE(SUBSTITUTE(Raw_Data!G1190,",","")),"")</f>
        <v>2198</v>
      </c>
      <c r="I1190" s="11">
        <f t="shared" si="72"/>
        <v>826</v>
      </c>
      <c r="J1190" s="11">
        <f t="shared" si="73"/>
        <v>1459472</v>
      </c>
      <c r="K1190" s="1">
        <f t="shared" si="74"/>
        <v>2198.0001189999998</v>
      </c>
      <c r="L1190" s="15">
        <f t="shared" si="75"/>
        <v>0.55011900000000002</v>
      </c>
    </row>
    <row r="1191" spans="1:12" ht="15" customHeight="1" x14ac:dyDescent="0.25">
      <c r="A1191" s="10" t="str">
        <f>Raw_Data!A1191</f>
        <v>Tosaa T2STSR Sandwich Gas Toaster Regular (Black)</v>
      </c>
      <c r="B1191" s="10" t="str">
        <f>IFERROR(TRIM(LEFT(Raw_Data!A1191,FIND(" ",Raw_Data!A1191)-1)),Raw_Data!A1191)</f>
        <v>Tosaa</v>
      </c>
      <c r="C1191" s="10" t="str">
        <f>IFERROR(LEFT(Raw_Data!B1191,FIND("|",Raw_Data!B1191)-1),Raw_Data!B1191)</f>
        <v>Home&amp;Kitchen</v>
      </c>
      <c r="D1191" s="11">
        <f>IFERROR(VALUE(SUBSTITUTE(SUBSTITUTE(TRIM(Raw_Data!C1191),"₹",""),",","")),"")</f>
        <v>260</v>
      </c>
      <c r="E1191" s="11">
        <f>IFERROR(VALUE(SUBSTITUTE(SUBSTITUTE(TRIM(Raw_Data!D1191),"₹",""),",","")),"")</f>
        <v>350</v>
      </c>
      <c r="F1191" s="12">
        <f>IFERROR(VALUE(SUBSTITUTE(Raw_Data!E1191,"%",""))/100,"")</f>
        <v>0.26</v>
      </c>
      <c r="G1191" s="13">
        <f>IFERROR(VALUE(Raw_Data!F1191),"")</f>
        <v>3.9</v>
      </c>
      <c r="H1191" s="14">
        <f>IFERROR(VALUE(SUBSTITUTE(Raw_Data!G1191,",","")),"")</f>
        <v>13127</v>
      </c>
      <c r="I1191" s="11">
        <f t="shared" si="72"/>
        <v>90</v>
      </c>
      <c r="J1191" s="11">
        <f t="shared" si="73"/>
        <v>3413020</v>
      </c>
      <c r="K1191" s="1">
        <f t="shared" si="74"/>
        <v>13127.000119099999</v>
      </c>
      <c r="L1191" s="15">
        <f t="shared" si="75"/>
        <v>0.26011909999999999</v>
      </c>
    </row>
    <row r="1192" spans="1:12" ht="15" customHeight="1" x14ac:dyDescent="0.25">
      <c r="A1192" s="10" t="str">
        <f>Raw_Data!A1192</f>
        <v>V-Guard Divino 5 Star Rated 15 Litre Storage Water Heater (Geyser) with Advanced Safety Features, White</v>
      </c>
      <c r="B1192" s="10" t="str">
        <f>IFERROR(TRIM(LEFT(Raw_Data!A1192,FIND(" ",Raw_Data!A1192)-1)),Raw_Data!A1192)</f>
        <v>V-Guard</v>
      </c>
      <c r="C1192" s="10" t="str">
        <f>IFERROR(LEFT(Raw_Data!B1192,FIND("|",Raw_Data!B1192)-1),Raw_Data!B1192)</f>
        <v>Home&amp;Kitchen</v>
      </c>
      <c r="D1192" s="11">
        <f>IFERROR(VALUE(SUBSTITUTE(SUBSTITUTE(TRIM(Raw_Data!C1192),"₹",""),",","")),"")</f>
        <v>6499</v>
      </c>
      <c r="E1192" s="11">
        <f>IFERROR(VALUE(SUBSTITUTE(SUBSTITUTE(TRIM(Raw_Data!D1192),"₹",""),",","")),"")</f>
        <v>8500</v>
      </c>
      <c r="F1192" s="12">
        <f>IFERROR(VALUE(SUBSTITUTE(Raw_Data!E1192,"%",""))/100,"")</f>
        <v>0.24</v>
      </c>
      <c r="G1192" s="13">
        <f>IFERROR(VALUE(Raw_Data!F1192),"")</f>
        <v>4.4000000000000004</v>
      </c>
      <c r="H1192" s="14">
        <f>IFERROR(VALUE(SUBSTITUTE(Raw_Data!G1192,",","")),"")</f>
        <v>5865</v>
      </c>
      <c r="I1192" s="11">
        <f t="shared" si="72"/>
        <v>2001</v>
      </c>
      <c r="J1192" s="11">
        <f t="shared" si="73"/>
        <v>38116635</v>
      </c>
      <c r="K1192" s="1">
        <f t="shared" si="74"/>
        <v>5865.0001192</v>
      </c>
      <c r="L1192" s="15">
        <f t="shared" si="75"/>
        <v>0.2401192</v>
      </c>
    </row>
    <row r="1193" spans="1:12" ht="15" customHeight="1" x14ac:dyDescent="0.25">
      <c r="A1193" s="10" t="str">
        <f>Raw_Data!A1193</f>
        <v>Akiara® - Makes life easy Mini Sewing Machine with Table Set | Tailoring Machine | Hand Sewing Machine with extension table, foot pedal, adapter</v>
      </c>
      <c r="B1193" s="10" t="str">
        <f>IFERROR(TRIM(LEFT(Raw_Data!A1193,FIND(" ",Raw_Data!A1193)-1)),Raw_Data!A1193)</f>
        <v>Akiara®</v>
      </c>
      <c r="C1193" s="10" t="str">
        <f>IFERROR(LEFT(Raw_Data!B1193,FIND("|",Raw_Data!B1193)-1),Raw_Data!B1193)</f>
        <v>Home&amp;Kitchen</v>
      </c>
      <c r="D1193" s="11">
        <f>IFERROR(VALUE(SUBSTITUTE(SUBSTITUTE(TRIM(Raw_Data!C1193),"₹",""),",","")),"")</f>
        <v>1484</v>
      </c>
      <c r="E1193" s="11">
        <f>IFERROR(VALUE(SUBSTITUTE(SUBSTITUTE(TRIM(Raw_Data!D1193),"₹",""),",","")),"")</f>
        <v>2499</v>
      </c>
      <c r="F1193" s="12">
        <f>IFERROR(VALUE(SUBSTITUTE(Raw_Data!E1193,"%",""))/100,"")</f>
        <v>0.41</v>
      </c>
      <c r="G1193" s="13">
        <f>IFERROR(VALUE(Raw_Data!F1193),"")</f>
        <v>3.7</v>
      </c>
      <c r="H1193" s="14">
        <f>IFERROR(VALUE(SUBSTITUTE(Raw_Data!G1193,",","")),"")</f>
        <v>1067</v>
      </c>
      <c r="I1193" s="11">
        <f t="shared" si="72"/>
        <v>1015</v>
      </c>
      <c r="J1193" s="11">
        <f t="shared" si="73"/>
        <v>1583428</v>
      </c>
      <c r="K1193" s="1">
        <f t="shared" si="74"/>
        <v>1067.0001193000001</v>
      </c>
      <c r="L1193" s="15">
        <f t="shared" si="75"/>
        <v>0.41011929999999996</v>
      </c>
    </row>
    <row r="1194" spans="1:12" ht="15" customHeight="1" x14ac:dyDescent="0.25">
      <c r="A1194" s="10" t="str">
        <f>Raw_Data!A1194</f>
        <v>Usha Steam Pro SI 3713, 1300 W Steam Iron, Powerful steam Output up to 18 g/min, Non-Stick Soleplate (White &amp; Blue)</v>
      </c>
      <c r="B1194" s="10" t="str">
        <f>IFERROR(TRIM(LEFT(Raw_Data!A1194,FIND(" ",Raw_Data!A1194)-1)),Raw_Data!A1194)</f>
        <v>Usha</v>
      </c>
      <c r="C1194" s="10" t="str">
        <f>IFERROR(LEFT(Raw_Data!B1194,FIND("|",Raw_Data!B1194)-1),Raw_Data!B1194)</f>
        <v>Home&amp;Kitchen</v>
      </c>
      <c r="D1194" s="11">
        <f>IFERROR(VALUE(SUBSTITUTE(SUBSTITUTE(TRIM(Raw_Data!C1194),"₹",""),",","")),"")</f>
        <v>999</v>
      </c>
      <c r="E1194" s="11">
        <f>IFERROR(VALUE(SUBSTITUTE(SUBSTITUTE(TRIM(Raw_Data!D1194),"₹",""),",","")),"")</f>
        <v>1560</v>
      </c>
      <c r="F1194" s="12">
        <f>IFERROR(VALUE(SUBSTITUTE(Raw_Data!E1194,"%",""))/100,"")</f>
        <v>0.36</v>
      </c>
      <c r="G1194" s="13">
        <f>IFERROR(VALUE(Raw_Data!F1194),"")</f>
        <v>3.6</v>
      </c>
      <c r="H1194" s="14">
        <f>IFERROR(VALUE(SUBSTITUTE(Raw_Data!G1194,",","")),"")</f>
        <v>4881</v>
      </c>
      <c r="I1194" s="11">
        <f t="shared" si="72"/>
        <v>561</v>
      </c>
      <c r="J1194" s="11">
        <f t="shared" si="73"/>
        <v>4876119</v>
      </c>
      <c r="K1194" s="1">
        <f t="shared" si="74"/>
        <v>4881.0001193999997</v>
      </c>
      <c r="L1194" s="15">
        <f t="shared" si="75"/>
        <v>0.36011939999999998</v>
      </c>
    </row>
    <row r="1195" spans="1:12" ht="15" customHeight="1" x14ac:dyDescent="0.25">
      <c r="A1195" s="10" t="str">
        <f>Raw_Data!A1195</f>
        <v>Wonderchef Nutri-blend Complete Kitchen Machine | 22000 RPM Mixer Grinder, Blender, Chopper, Juicer | 400W Powerful motor | SS Blades | 4 Unbreakable Jars | 2 Years Warranty | Online Recipe Book By Chef Sanjeev Kapoor | Black</v>
      </c>
      <c r="B1195" s="10" t="str">
        <f>IFERROR(TRIM(LEFT(Raw_Data!A1195,FIND(" ",Raw_Data!A1195)-1)),Raw_Data!A1195)</f>
        <v>Wonderchef</v>
      </c>
      <c r="C1195" s="10" t="str">
        <f>IFERROR(LEFT(Raw_Data!B1195,FIND("|",Raw_Data!B1195)-1),Raw_Data!B1195)</f>
        <v>Home&amp;Kitchen</v>
      </c>
      <c r="D1195" s="11">
        <f>IFERROR(VALUE(SUBSTITUTE(SUBSTITUTE(TRIM(Raw_Data!C1195),"₹",""),",","")),"")</f>
        <v>3299</v>
      </c>
      <c r="E1195" s="11">
        <f>IFERROR(VALUE(SUBSTITUTE(SUBSTITUTE(TRIM(Raw_Data!D1195),"₹",""),",","")),"")</f>
        <v>6500</v>
      </c>
      <c r="F1195" s="12">
        <f>IFERROR(VALUE(SUBSTITUTE(Raw_Data!E1195,"%",""))/100,"")</f>
        <v>0.49</v>
      </c>
      <c r="G1195" s="13">
        <f>IFERROR(VALUE(Raw_Data!F1195),"")</f>
        <v>3.7</v>
      </c>
      <c r="H1195" s="14">
        <f>IFERROR(VALUE(SUBSTITUTE(Raw_Data!G1195,",","")),"")</f>
        <v>11217</v>
      </c>
      <c r="I1195" s="11">
        <f t="shared" si="72"/>
        <v>3201</v>
      </c>
      <c r="J1195" s="11">
        <f t="shared" si="73"/>
        <v>37004883</v>
      </c>
      <c r="K1195" s="1">
        <f t="shared" si="74"/>
        <v>11217.0001195</v>
      </c>
      <c r="L1195" s="15">
        <f t="shared" si="75"/>
        <v>0.49011949999999999</v>
      </c>
    </row>
    <row r="1196" spans="1:12" ht="15" customHeight="1" x14ac:dyDescent="0.25">
      <c r="A1196" s="10" t="str">
        <f>Raw_Data!A1196</f>
        <v>WIDEWINGS Electric Handheld Milk Wand Mixer Frother for Latte Coffee Hot Milk, Milk Frother for Coffee, Egg Beater, Hand Blender, Coffee Beater with Stand</v>
      </c>
      <c r="B1196" s="10" t="str">
        <f>IFERROR(TRIM(LEFT(Raw_Data!A1196,FIND(" ",Raw_Data!A1196)-1)),Raw_Data!A1196)</f>
        <v>WIDEWINGS</v>
      </c>
      <c r="C1196" s="10" t="str">
        <f>IFERROR(LEFT(Raw_Data!B1196,FIND("|",Raw_Data!B1196)-1),Raw_Data!B1196)</f>
        <v>Home&amp;Kitchen</v>
      </c>
      <c r="D1196" s="11">
        <f>IFERROR(VALUE(SUBSTITUTE(SUBSTITUTE(TRIM(Raw_Data!C1196),"₹",""),",","")),"")</f>
        <v>259</v>
      </c>
      <c r="E1196" s="11">
        <f>IFERROR(VALUE(SUBSTITUTE(SUBSTITUTE(TRIM(Raw_Data!D1196),"₹",""),",","")),"")</f>
        <v>999</v>
      </c>
      <c r="F1196" s="12">
        <f>IFERROR(VALUE(SUBSTITUTE(Raw_Data!E1196,"%",""))/100,"")</f>
        <v>0.74</v>
      </c>
      <c r="G1196" s="13">
        <f>IFERROR(VALUE(Raw_Data!F1196),"")</f>
        <v>4</v>
      </c>
      <c r="H1196" s="14">
        <f>IFERROR(VALUE(SUBSTITUTE(Raw_Data!G1196,",","")),"")</f>
        <v>43</v>
      </c>
      <c r="I1196" s="11">
        <f t="shared" si="72"/>
        <v>740</v>
      </c>
      <c r="J1196" s="11">
        <f t="shared" si="73"/>
        <v>11137</v>
      </c>
      <c r="K1196" s="1">
        <f t="shared" si="74"/>
        <v>43.000119599999998</v>
      </c>
      <c r="L1196" s="15">
        <f t="shared" si="75"/>
        <v>0.74011959999999999</v>
      </c>
    </row>
    <row r="1197" spans="1:12" ht="15" customHeight="1" x14ac:dyDescent="0.25">
      <c r="A1197" s="10" t="str">
        <f>Raw_Data!A1197</f>
        <v>Morphy Richards Icon Superb 750W Mixer Grinder, 4 Jars, Silver and Black</v>
      </c>
      <c r="B1197" s="10" t="str">
        <f>IFERROR(TRIM(LEFT(Raw_Data!A1197,FIND(" ",Raw_Data!A1197)-1)),Raw_Data!A1197)</f>
        <v>Morphy</v>
      </c>
      <c r="C1197" s="10" t="str">
        <f>IFERROR(LEFT(Raw_Data!B1197,FIND("|",Raw_Data!B1197)-1),Raw_Data!B1197)</f>
        <v>Home&amp;Kitchen</v>
      </c>
      <c r="D1197" s="11">
        <f>IFERROR(VALUE(SUBSTITUTE(SUBSTITUTE(TRIM(Raw_Data!C1197),"₹",""),",","")),"")</f>
        <v>3249</v>
      </c>
      <c r="E1197" s="11">
        <f>IFERROR(VALUE(SUBSTITUTE(SUBSTITUTE(TRIM(Raw_Data!D1197),"₹",""),",","")),"")</f>
        <v>7795</v>
      </c>
      <c r="F1197" s="12">
        <f>IFERROR(VALUE(SUBSTITUTE(Raw_Data!E1197,"%",""))/100,"")</f>
        <v>0.57999999999999996</v>
      </c>
      <c r="G1197" s="13">
        <f>IFERROR(VALUE(Raw_Data!F1197),"")</f>
        <v>4.2</v>
      </c>
      <c r="H1197" s="14">
        <f>IFERROR(VALUE(SUBSTITUTE(Raw_Data!G1197,",","")),"")</f>
        <v>4664</v>
      </c>
      <c r="I1197" s="11">
        <f t="shared" si="72"/>
        <v>4546</v>
      </c>
      <c r="J1197" s="11">
        <f t="shared" si="73"/>
        <v>15153336</v>
      </c>
      <c r="K1197" s="1">
        <f t="shared" si="74"/>
        <v>4664.0001197000001</v>
      </c>
      <c r="L1197" s="15">
        <f t="shared" si="75"/>
        <v>0.5801196999999999</v>
      </c>
    </row>
    <row r="1198" spans="1:12" ht="15" customHeight="1" x14ac:dyDescent="0.25">
      <c r="A1198" s="10" t="str">
        <f>Raw_Data!A1198</f>
        <v>Philips Handheld Garment Steamer GC360/30 - Vertical &amp; Horizontal Steaming, 1200 Watt, up to 22g/min</v>
      </c>
      <c r="B1198" s="10" t="str">
        <f>IFERROR(TRIM(LEFT(Raw_Data!A1198,FIND(" ",Raw_Data!A1198)-1)),Raw_Data!A1198)</f>
        <v>Philips</v>
      </c>
      <c r="C1198" s="10" t="str">
        <f>IFERROR(LEFT(Raw_Data!B1198,FIND("|",Raw_Data!B1198)-1),Raw_Data!B1198)</f>
        <v>Home&amp;Kitchen</v>
      </c>
      <c r="D1198" s="11">
        <f>IFERROR(VALUE(SUBSTITUTE(SUBSTITUTE(TRIM(Raw_Data!C1198),"₹",""),",","")),"")</f>
        <v>4280</v>
      </c>
      <c r="E1198" s="11">
        <f>IFERROR(VALUE(SUBSTITUTE(SUBSTITUTE(TRIM(Raw_Data!D1198),"₹",""),",","")),"")</f>
        <v>5995</v>
      </c>
      <c r="F1198" s="12">
        <f>IFERROR(VALUE(SUBSTITUTE(Raw_Data!E1198,"%",""))/100,"")</f>
        <v>0.28999999999999998</v>
      </c>
      <c r="G1198" s="13">
        <f>IFERROR(VALUE(Raw_Data!F1198),"")</f>
        <v>3.8</v>
      </c>
      <c r="H1198" s="14">
        <f>IFERROR(VALUE(SUBSTITUTE(Raw_Data!G1198,",","")),"")</f>
        <v>2112</v>
      </c>
      <c r="I1198" s="11">
        <f t="shared" si="72"/>
        <v>1715</v>
      </c>
      <c r="J1198" s="11">
        <f t="shared" si="73"/>
        <v>9039360</v>
      </c>
      <c r="K1198" s="1">
        <f t="shared" si="74"/>
        <v>2112.0001198</v>
      </c>
      <c r="L1198" s="15">
        <f t="shared" si="75"/>
        <v>0.29011979999999998</v>
      </c>
    </row>
    <row r="1199" spans="1:12" ht="15" customHeight="1" x14ac:dyDescent="0.25">
      <c r="A1199" s="10" t="str">
        <f>Raw_Data!A1199</f>
        <v>Vedini Transparent Empty Refillable Reusable Fine Mist Spray Bottle for Perfume, Travel with DIY Sticker Set ( 100ml, Pack of 4)</v>
      </c>
      <c r="B1199" s="10" t="str">
        <f>IFERROR(TRIM(LEFT(Raw_Data!A1199,FIND(" ",Raw_Data!A1199)-1)),Raw_Data!A1199)</f>
        <v>Vedini</v>
      </c>
      <c r="C1199" s="10" t="str">
        <f>IFERROR(LEFT(Raw_Data!B1199,FIND("|",Raw_Data!B1199)-1),Raw_Data!B1199)</f>
        <v>Home&amp;Kitchen</v>
      </c>
      <c r="D1199" s="11">
        <f>IFERROR(VALUE(SUBSTITUTE(SUBSTITUTE(TRIM(Raw_Data!C1199),"₹",""),",","")),"")</f>
        <v>189</v>
      </c>
      <c r="E1199" s="11">
        <f>IFERROR(VALUE(SUBSTITUTE(SUBSTITUTE(TRIM(Raw_Data!D1199),"₹",""),",","")),"")</f>
        <v>299</v>
      </c>
      <c r="F1199" s="12">
        <f>IFERROR(VALUE(SUBSTITUTE(Raw_Data!E1199,"%",""))/100,"")</f>
        <v>0.37</v>
      </c>
      <c r="G1199" s="13">
        <f>IFERROR(VALUE(Raw_Data!F1199),"")</f>
        <v>4.2</v>
      </c>
      <c r="H1199" s="14">
        <f>IFERROR(VALUE(SUBSTITUTE(Raw_Data!G1199,",","")),"")</f>
        <v>2737</v>
      </c>
      <c r="I1199" s="11">
        <f t="shared" si="72"/>
        <v>110</v>
      </c>
      <c r="J1199" s="11">
        <f t="shared" si="73"/>
        <v>517293</v>
      </c>
      <c r="K1199" s="1">
        <f t="shared" si="74"/>
        <v>2737.0001198999998</v>
      </c>
      <c r="L1199" s="15">
        <f t="shared" si="75"/>
        <v>0.3701199</v>
      </c>
    </row>
    <row r="1200" spans="1:12" ht="15" customHeight="1" x14ac:dyDescent="0.25">
      <c r="A1200" s="10" t="str">
        <f>Raw_Data!A1200</f>
        <v>Crompton Sea Sapphira 1200 mm Ultra High Speed 3 Blade Ceiling Fan (Lustre Brown, Pack of 1)</v>
      </c>
      <c r="B1200" s="10" t="str">
        <f>IFERROR(TRIM(LEFT(Raw_Data!A1200,FIND(" ",Raw_Data!A1200)-1)),Raw_Data!A1200)</f>
        <v>Crompton</v>
      </c>
      <c r="C1200" s="10" t="str">
        <f>IFERROR(LEFT(Raw_Data!B1200,FIND("|",Raw_Data!B1200)-1),Raw_Data!B1200)</f>
        <v>Home&amp;Kitchen</v>
      </c>
      <c r="D1200" s="11">
        <f>IFERROR(VALUE(SUBSTITUTE(SUBSTITUTE(TRIM(Raw_Data!C1200),"₹",""),",","")),"")</f>
        <v>1449</v>
      </c>
      <c r="E1200" s="11">
        <f>IFERROR(VALUE(SUBSTITUTE(SUBSTITUTE(TRIM(Raw_Data!D1200),"₹",""),",","")),"")</f>
        <v>2349</v>
      </c>
      <c r="F1200" s="12">
        <f>IFERROR(VALUE(SUBSTITUTE(Raw_Data!E1200,"%",""))/100,"")</f>
        <v>0.38</v>
      </c>
      <c r="G1200" s="13">
        <f>IFERROR(VALUE(Raw_Data!F1200),"")</f>
        <v>3.9</v>
      </c>
      <c r="H1200" s="14">
        <f>IFERROR(VALUE(SUBSTITUTE(Raw_Data!G1200,",","")),"")</f>
        <v>9019</v>
      </c>
      <c r="I1200" s="11">
        <f t="shared" si="72"/>
        <v>900</v>
      </c>
      <c r="J1200" s="11">
        <f t="shared" si="73"/>
        <v>13068531</v>
      </c>
      <c r="K1200" s="1">
        <f t="shared" si="74"/>
        <v>9019.0001200000006</v>
      </c>
      <c r="L1200" s="15">
        <f t="shared" si="75"/>
        <v>0.38012000000000001</v>
      </c>
    </row>
    <row r="1201" spans="1:12" ht="15" customHeight="1" x14ac:dyDescent="0.25">
      <c r="A1201" s="10" t="str">
        <f>Raw_Data!A1201</f>
        <v>Kuber Industries Waterproof Canvas Laundry Bag/Hamper|Metalic Printed With Handles|Foldable Bin &amp; 45 Liter Capicity|Size 37 x 37 x 46, Pack of 1 (Brown)</v>
      </c>
      <c r="B1201" s="10" t="str">
        <f>IFERROR(TRIM(LEFT(Raw_Data!A1201,FIND(" ",Raw_Data!A1201)-1)),Raw_Data!A1201)</f>
        <v>Kuber</v>
      </c>
      <c r="C1201" s="10" t="str">
        <f>IFERROR(LEFT(Raw_Data!B1201,FIND("|",Raw_Data!B1201)-1),Raw_Data!B1201)</f>
        <v>Home&amp;Kitchen</v>
      </c>
      <c r="D1201" s="11">
        <f>IFERROR(VALUE(SUBSTITUTE(SUBSTITUTE(TRIM(Raw_Data!C1201),"₹",""),",","")),"")</f>
        <v>199</v>
      </c>
      <c r="E1201" s="11">
        <f>IFERROR(VALUE(SUBSTITUTE(SUBSTITUTE(TRIM(Raw_Data!D1201),"₹",""),",","")),"")</f>
        <v>499</v>
      </c>
      <c r="F1201" s="12">
        <f>IFERROR(VALUE(SUBSTITUTE(Raw_Data!E1201,"%",""))/100,"")</f>
        <v>0.6</v>
      </c>
      <c r="G1201" s="13">
        <f>IFERROR(VALUE(Raw_Data!F1201),"")</f>
        <v>4</v>
      </c>
      <c r="H1201" s="14">
        <f>IFERROR(VALUE(SUBSTITUTE(Raw_Data!G1201,",","")),"")</f>
        <v>10234</v>
      </c>
      <c r="I1201" s="11">
        <f t="shared" si="72"/>
        <v>300</v>
      </c>
      <c r="J1201" s="11">
        <f t="shared" si="73"/>
        <v>2036566</v>
      </c>
      <c r="K1201" s="1">
        <f t="shared" si="74"/>
        <v>10234.0001201</v>
      </c>
      <c r="L1201" s="15">
        <f t="shared" si="75"/>
        <v>0.60012009999999993</v>
      </c>
    </row>
    <row r="1202" spans="1:12" ht="15" customHeight="1" x14ac:dyDescent="0.25">
      <c r="A1202" s="10" t="str">
        <f>Raw_Data!A1202</f>
        <v>JM SELLER 180 W 2021 Edition Electric Beater High Speed Hand Mixer Egg Beater for Cake Making and Whipping Cream with 7 Speed Control (White) with Free Spatula and Oil Brush</v>
      </c>
      <c r="B1202" s="10" t="str">
        <f>IFERROR(TRIM(LEFT(Raw_Data!A1202,FIND(" ",Raw_Data!A1202)-1)),Raw_Data!A1202)</f>
        <v>JM</v>
      </c>
      <c r="C1202" s="10" t="str">
        <f>IFERROR(LEFT(Raw_Data!B1202,FIND("|",Raw_Data!B1202)-1),Raw_Data!B1202)</f>
        <v>Home&amp;Kitchen</v>
      </c>
      <c r="D1202" s="11">
        <f>IFERROR(VALUE(SUBSTITUTE(SUBSTITUTE(TRIM(Raw_Data!C1202),"₹",""),",","")),"")</f>
        <v>474</v>
      </c>
      <c r="E1202" s="11">
        <f>IFERROR(VALUE(SUBSTITUTE(SUBSTITUTE(TRIM(Raw_Data!D1202),"₹",""),",","")),"")</f>
        <v>1299</v>
      </c>
      <c r="F1202" s="12">
        <f>IFERROR(VALUE(SUBSTITUTE(Raw_Data!E1202,"%",""))/100,"")</f>
        <v>0.64</v>
      </c>
      <c r="G1202" s="13">
        <f>IFERROR(VALUE(Raw_Data!F1202),"")</f>
        <v>4.0999999999999996</v>
      </c>
      <c r="H1202" s="14">
        <f>IFERROR(VALUE(SUBSTITUTE(Raw_Data!G1202,",","")),"")</f>
        <v>550</v>
      </c>
      <c r="I1202" s="11">
        <f t="shared" si="72"/>
        <v>825</v>
      </c>
      <c r="J1202" s="11">
        <f t="shared" si="73"/>
        <v>260700</v>
      </c>
      <c r="K1202" s="1">
        <f t="shared" si="74"/>
        <v>550.00012019999997</v>
      </c>
      <c r="L1202" s="15">
        <f t="shared" si="75"/>
        <v>0.64012020000000003</v>
      </c>
    </row>
    <row r="1203" spans="1:12" ht="15" customHeight="1" x14ac:dyDescent="0.25">
      <c r="A1203" s="10" t="str">
        <f>Raw_Data!A1203</f>
        <v>Oratech Coffee Frother electric, milk frother electric, coffee beater, cappuccino maker, Coffee Foamer, Mocktail Mixer, Coffee Foam Maker, coffee whisker electric, Froth Maker, coffee stirrers electric, coffee frothers, Coffee Blender, (6 Month Warranty) (Multicolour)</v>
      </c>
      <c r="B1203" s="10" t="str">
        <f>IFERROR(TRIM(LEFT(Raw_Data!A1203,FIND(" ",Raw_Data!A1203)-1)),Raw_Data!A1203)</f>
        <v>Oratech</v>
      </c>
      <c r="C1203" s="10" t="str">
        <f>IFERROR(LEFT(Raw_Data!B1203,FIND("|",Raw_Data!B1203)-1),Raw_Data!B1203)</f>
        <v>Home&amp;Kitchen</v>
      </c>
      <c r="D1203" s="11">
        <f>IFERROR(VALUE(SUBSTITUTE(SUBSTITUTE(TRIM(Raw_Data!C1203),"₹",""),",","")),"")</f>
        <v>279</v>
      </c>
      <c r="E1203" s="11">
        <f>IFERROR(VALUE(SUBSTITUTE(SUBSTITUTE(TRIM(Raw_Data!D1203),"₹",""),",","")),"")</f>
        <v>499</v>
      </c>
      <c r="F1203" s="12">
        <f>IFERROR(VALUE(SUBSTITUTE(Raw_Data!E1203,"%",""))/100,"")</f>
        <v>0.44</v>
      </c>
      <c r="G1203" s="13">
        <f>IFERROR(VALUE(Raw_Data!F1203),"")</f>
        <v>4.8</v>
      </c>
      <c r="H1203" s="14">
        <f>IFERROR(VALUE(SUBSTITUTE(Raw_Data!G1203,",","")),"")</f>
        <v>28</v>
      </c>
      <c r="I1203" s="11">
        <f t="shared" si="72"/>
        <v>220</v>
      </c>
      <c r="J1203" s="11">
        <f t="shared" si="73"/>
        <v>7812</v>
      </c>
      <c r="K1203" s="1">
        <f t="shared" si="74"/>
        <v>28.000120299999999</v>
      </c>
      <c r="L1203" s="15">
        <f t="shared" si="75"/>
        <v>0.44012030000000002</v>
      </c>
    </row>
    <row r="1204" spans="1:12" ht="15" customHeight="1" x14ac:dyDescent="0.25">
      <c r="A1204" s="10" t="str">
        <f>Raw_Data!A1204</f>
        <v>Havells Glaze 74W Pearl Ivory Gold Ceiling Fan, Sweep: 1200 Mm</v>
      </c>
      <c r="B1204" s="10" t="str">
        <f>IFERROR(TRIM(LEFT(Raw_Data!A1204,FIND(" ",Raw_Data!A1204)-1)),Raw_Data!A1204)</f>
        <v>Havells</v>
      </c>
      <c r="C1204" s="10" t="str">
        <f>IFERROR(LEFT(Raw_Data!B1204,FIND("|",Raw_Data!B1204)-1),Raw_Data!B1204)</f>
        <v>Home&amp;Kitchen</v>
      </c>
      <c r="D1204" s="11">
        <f>IFERROR(VALUE(SUBSTITUTE(SUBSTITUTE(TRIM(Raw_Data!C1204),"₹",""),",","")),"")</f>
        <v>1999</v>
      </c>
      <c r="E1204" s="11">
        <f>IFERROR(VALUE(SUBSTITUTE(SUBSTITUTE(TRIM(Raw_Data!D1204),"₹",""),",","")),"")</f>
        <v>4775</v>
      </c>
      <c r="F1204" s="12">
        <f>IFERROR(VALUE(SUBSTITUTE(Raw_Data!E1204,"%",""))/100,"")</f>
        <v>0.57999999999999996</v>
      </c>
      <c r="G1204" s="13">
        <f>IFERROR(VALUE(Raw_Data!F1204),"")</f>
        <v>4.2</v>
      </c>
      <c r="H1204" s="14">
        <f>IFERROR(VALUE(SUBSTITUTE(Raw_Data!G1204,",","")),"")</f>
        <v>1353</v>
      </c>
      <c r="I1204" s="11">
        <f t="shared" si="72"/>
        <v>2776</v>
      </c>
      <c r="J1204" s="11">
        <f t="shared" si="73"/>
        <v>2704647</v>
      </c>
      <c r="K1204" s="1">
        <f t="shared" si="74"/>
        <v>1353.0001204</v>
      </c>
      <c r="L1204" s="15">
        <f t="shared" si="75"/>
        <v>0.58012039999999998</v>
      </c>
    </row>
    <row r="1205" spans="1:12" ht="15" customHeight="1" x14ac:dyDescent="0.25">
      <c r="A1205" s="10" t="str">
        <f>Raw_Data!A1205</f>
        <v>Pick Ur Needs® Lint Remover for Clothes High Range Rechargeable Lint Shaver for All Types of Clothes, Fabrics, Blanket with 1 Extra Blade Multicolor (Rechargeable)</v>
      </c>
      <c r="B1205" s="10" t="str">
        <f>IFERROR(TRIM(LEFT(Raw_Data!A1205,FIND(" ",Raw_Data!A1205)-1)),Raw_Data!A1205)</f>
        <v>Pick</v>
      </c>
      <c r="C1205" s="10" t="str">
        <f>IFERROR(LEFT(Raw_Data!B1205,FIND("|",Raw_Data!B1205)-1),Raw_Data!B1205)</f>
        <v>Home&amp;Kitchen</v>
      </c>
      <c r="D1205" s="11">
        <f>IFERROR(VALUE(SUBSTITUTE(SUBSTITUTE(TRIM(Raw_Data!C1205),"₹",""),",","")),"")</f>
        <v>799</v>
      </c>
      <c r="E1205" s="11">
        <f>IFERROR(VALUE(SUBSTITUTE(SUBSTITUTE(TRIM(Raw_Data!D1205),"₹",""),",","")),"")</f>
        <v>1230</v>
      </c>
      <c r="F1205" s="12">
        <f>IFERROR(VALUE(SUBSTITUTE(Raw_Data!E1205,"%",""))/100,"")</f>
        <v>0.35</v>
      </c>
      <c r="G1205" s="13">
        <f>IFERROR(VALUE(Raw_Data!F1205),"")</f>
        <v>4.0999999999999996</v>
      </c>
      <c r="H1205" s="14">
        <f>IFERROR(VALUE(SUBSTITUTE(Raw_Data!G1205,",","")),"")</f>
        <v>2138</v>
      </c>
      <c r="I1205" s="11">
        <f t="shared" si="72"/>
        <v>431</v>
      </c>
      <c r="J1205" s="11">
        <f t="shared" si="73"/>
        <v>1708262</v>
      </c>
      <c r="K1205" s="1">
        <f t="shared" si="74"/>
        <v>2138.0001204999999</v>
      </c>
      <c r="L1205" s="15">
        <f t="shared" si="75"/>
        <v>0.3501205</v>
      </c>
    </row>
    <row r="1206" spans="1:12" ht="15" customHeight="1" x14ac:dyDescent="0.25">
      <c r="A1206" s="10" t="str">
        <f>Raw_Data!A1206</f>
        <v>Rico Japanese Technology Rechargeable Wireless Electric Chopper with Replacement Warranty - Stainless Steel Blades, One Touch Operation, 10 Seconds Chopping, Mincing Vegetable, Meat - 250 ML, 30 Watts</v>
      </c>
      <c r="B1206" s="10" t="str">
        <f>IFERROR(TRIM(LEFT(Raw_Data!A1206,FIND(" ",Raw_Data!A1206)-1)),Raw_Data!A1206)</f>
        <v>Rico</v>
      </c>
      <c r="C1206" s="10" t="str">
        <f>IFERROR(LEFT(Raw_Data!B1206,FIND("|",Raw_Data!B1206)-1),Raw_Data!B1206)</f>
        <v>Home&amp;Kitchen</v>
      </c>
      <c r="D1206" s="11">
        <f>IFERROR(VALUE(SUBSTITUTE(SUBSTITUTE(TRIM(Raw_Data!C1206),"₹",""),",","")),"")</f>
        <v>949</v>
      </c>
      <c r="E1206" s="11">
        <f>IFERROR(VALUE(SUBSTITUTE(SUBSTITUTE(TRIM(Raw_Data!D1206),"₹",""),",","")),"")</f>
        <v>1999</v>
      </c>
      <c r="F1206" s="12">
        <f>IFERROR(VALUE(SUBSTITUTE(Raw_Data!E1206,"%",""))/100,"")</f>
        <v>0.53</v>
      </c>
      <c r="G1206" s="13">
        <f>IFERROR(VALUE(Raw_Data!F1206),"")</f>
        <v>4</v>
      </c>
      <c r="H1206" s="14">
        <f>IFERROR(VALUE(SUBSTITUTE(Raw_Data!G1206,",","")),"")</f>
        <v>1679</v>
      </c>
      <c r="I1206" s="11">
        <f t="shared" si="72"/>
        <v>1050</v>
      </c>
      <c r="J1206" s="11">
        <f t="shared" si="73"/>
        <v>1593371</v>
      </c>
      <c r="K1206" s="1">
        <f t="shared" si="74"/>
        <v>1679.0001205999999</v>
      </c>
      <c r="L1206" s="15">
        <f t="shared" si="75"/>
        <v>0.53012060000000005</v>
      </c>
    </row>
    <row r="1207" spans="1:12" ht="15" customHeight="1" x14ac:dyDescent="0.25">
      <c r="A1207" s="10" t="str">
        <f>Raw_Data!A1207</f>
        <v>Butterfly Smart Wet Grinder, 2L (White) with Coconut Scrapper Attachment, Output - 150 W, Input 260 W</v>
      </c>
      <c r="B1207" s="10" t="str">
        <f>IFERROR(TRIM(LEFT(Raw_Data!A1207,FIND(" ",Raw_Data!A1207)-1)),Raw_Data!A1207)</f>
        <v>Butterfly</v>
      </c>
      <c r="C1207" s="10" t="str">
        <f>IFERROR(LEFT(Raw_Data!B1207,FIND("|",Raw_Data!B1207)-1),Raw_Data!B1207)</f>
        <v>Home&amp;Kitchen</v>
      </c>
      <c r="D1207" s="11">
        <f>IFERROR(VALUE(SUBSTITUTE(SUBSTITUTE(TRIM(Raw_Data!C1207),"₹",""),",","")),"")</f>
        <v>3657.66</v>
      </c>
      <c r="E1207" s="11">
        <f>IFERROR(VALUE(SUBSTITUTE(SUBSTITUTE(TRIM(Raw_Data!D1207),"₹",""),",","")),"")</f>
        <v>5156</v>
      </c>
      <c r="F1207" s="12">
        <f>IFERROR(VALUE(SUBSTITUTE(Raw_Data!E1207,"%",""))/100,"")</f>
        <v>0.28999999999999998</v>
      </c>
      <c r="G1207" s="13">
        <f>IFERROR(VALUE(Raw_Data!F1207),"")</f>
        <v>3.9</v>
      </c>
      <c r="H1207" s="14">
        <f>IFERROR(VALUE(SUBSTITUTE(Raw_Data!G1207,",","")),"")</f>
        <v>12837</v>
      </c>
      <c r="I1207" s="11">
        <f t="shared" si="72"/>
        <v>1498.3400000000001</v>
      </c>
      <c r="J1207" s="11">
        <f t="shared" si="73"/>
        <v>46953381.420000002</v>
      </c>
      <c r="K1207" s="1">
        <f t="shared" si="74"/>
        <v>12837.0001207</v>
      </c>
      <c r="L1207" s="15">
        <f t="shared" si="75"/>
        <v>0.29012069999999995</v>
      </c>
    </row>
    <row r="1208" spans="1:12" ht="15" customHeight="1" x14ac:dyDescent="0.25">
      <c r="A1208" s="10" t="str">
        <f>Raw_Data!A1208</f>
        <v>AGARO Marvel 9 Liters Oven Toaster Griller, Cake Baking OTG (Black)</v>
      </c>
      <c r="B1208" s="10" t="str">
        <f>IFERROR(TRIM(LEFT(Raw_Data!A1208,FIND(" ",Raw_Data!A1208)-1)),Raw_Data!A1208)</f>
        <v>AGARO</v>
      </c>
      <c r="C1208" s="10" t="str">
        <f>IFERROR(LEFT(Raw_Data!B1208,FIND("|",Raw_Data!B1208)-1),Raw_Data!B1208)</f>
        <v>Home&amp;Kitchen</v>
      </c>
      <c r="D1208" s="11">
        <f>IFERROR(VALUE(SUBSTITUTE(SUBSTITUTE(TRIM(Raw_Data!C1208),"₹",""),",","")),"")</f>
        <v>1699</v>
      </c>
      <c r="E1208" s="11">
        <f>IFERROR(VALUE(SUBSTITUTE(SUBSTITUTE(TRIM(Raw_Data!D1208),"₹",""),",","")),"")</f>
        <v>1999</v>
      </c>
      <c r="F1208" s="12">
        <f>IFERROR(VALUE(SUBSTITUTE(Raw_Data!E1208,"%",""))/100,"")</f>
        <v>0.15</v>
      </c>
      <c r="G1208" s="13">
        <f>IFERROR(VALUE(Raw_Data!F1208),"")</f>
        <v>4.0999999999999996</v>
      </c>
      <c r="H1208" s="14">
        <f>IFERROR(VALUE(SUBSTITUTE(Raw_Data!G1208,",","")),"")</f>
        <v>8873</v>
      </c>
      <c r="I1208" s="11">
        <f t="shared" si="72"/>
        <v>300</v>
      </c>
      <c r="J1208" s="11">
        <f t="shared" si="73"/>
        <v>15075227</v>
      </c>
      <c r="K1208" s="1">
        <f t="shared" si="74"/>
        <v>8873.0001207999994</v>
      </c>
      <c r="L1208" s="15">
        <f t="shared" si="75"/>
        <v>0.1501208</v>
      </c>
    </row>
    <row r="1209" spans="1:12" ht="15" customHeight="1" x14ac:dyDescent="0.25">
      <c r="A1209" s="10" t="str">
        <f>Raw_Data!A1209</f>
        <v>Philips GC1920/28 1440-Watt Non-Stick Soleplate Steam Iron</v>
      </c>
      <c r="B1209" s="10" t="str">
        <f>IFERROR(TRIM(LEFT(Raw_Data!A1209,FIND(" ",Raw_Data!A1209)-1)),Raw_Data!A1209)</f>
        <v>Philips</v>
      </c>
      <c r="C1209" s="10" t="str">
        <f>IFERROR(LEFT(Raw_Data!B1209,FIND("|",Raw_Data!B1209)-1),Raw_Data!B1209)</f>
        <v>Home&amp;Kitchen</v>
      </c>
      <c r="D1209" s="11">
        <f>IFERROR(VALUE(SUBSTITUTE(SUBSTITUTE(TRIM(Raw_Data!C1209),"₹",""),",","")),"")</f>
        <v>1849</v>
      </c>
      <c r="E1209" s="11">
        <f>IFERROR(VALUE(SUBSTITUTE(SUBSTITUTE(TRIM(Raw_Data!D1209),"₹",""),",","")),"")</f>
        <v>2095</v>
      </c>
      <c r="F1209" s="12">
        <f>IFERROR(VALUE(SUBSTITUTE(Raw_Data!E1209,"%",""))/100,"")</f>
        <v>0.12</v>
      </c>
      <c r="G1209" s="13">
        <f>IFERROR(VALUE(Raw_Data!F1209),"")</f>
        <v>4.3</v>
      </c>
      <c r="H1209" s="14">
        <f>IFERROR(VALUE(SUBSTITUTE(Raw_Data!G1209,",","")),"")</f>
        <v>7681</v>
      </c>
      <c r="I1209" s="11">
        <f t="shared" si="72"/>
        <v>246</v>
      </c>
      <c r="J1209" s="11">
        <f t="shared" si="73"/>
        <v>14202169</v>
      </c>
      <c r="K1209" s="1">
        <f t="shared" si="74"/>
        <v>7681.0001209000002</v>
      </c>
      <c r="L1209" s="15">
        <f t="shared" si="75"/>
        <v>0.12012089999999999</v>
      </c>
    </row>
    <row r="1210" spans="1:12" ht="15" customHeight="1" x14ac:dyDescent="0.25">
      <c r="A1210" s="10" t="str">
        <f>Raw_Data!A1210</f>
        <v>Havells OFR 13 Wave Fin with PTC Fan Heater 2900 Watts (Black)</v>
      </c>
      <c r="B1210" s="10" t="str">
        <f>IFERROR(TRIM(LEFT(Raw_Data!A1210,FIND(" ",Raw_Data!A1210)-1)),Raw_Data!A1210)</f>
        <v>Havells</v>
      </c>
      <c r="C1210" s="10" t="str">
        <f>IFERROR(LEFT(Raw_Data!B1210,FIND("|",Raw_Data!B1210)-1),Raw_Data!B1210)</f>
        <v>Home&amp;Kitchen</v>
      </c>
      <c r="D1210" s="11">
        <f>IFERROR(VALUE(SUBSTITUTE(SUBSTITUTE(TRIM(Raw_Data!C1210),"₹",""),",","")),"")</f>
        <v>12499</v>
      </c>
      <c r="E1210" s="11">
        <f>IFERROR(VALUE(SUBSTITUTE(SUBSTITUTE(TRIM(Raw_Data!D1210),"₹",""),",","")),"")</f>
        <v>19825</v>
      </c>
      <c r="F1210" s="12">
        <f>IFERROR(VALUE(SUBSTITUTE(Raw_Data!E1210,"%",""))/100,"")</f>
        <v>0.37</v>
      </c>
      <c r="G1210" s="13">
        <f>IFERROR(VALUE(Raw_Data!F1210),"")</f>
        <v>4.0999999999999996</v>
      </c>
      <c r="H1210" s="14">
        <f>IFERROR(VALUE(SUBSTITUTE(Raw_Data!G1210,",","")),"")</f>
        <v>322</v>
      </c>
      <c r="I1210" s="11">
        <f t="shared" si="72"/>
        <v>7326</v>
      </c>
      <c r="J1210" s="11">
        <f t="shared" si="73"/>
        <v>4024678</v>
      </c>
      <c r="K1210" s="1">
        <f t="shared" si="74"/>
        <v>322.00012099999998</v>
      </c>
      <c r="L1210" s="15">
        <f t="shared" si="75"/>
        <v>0.37012099999999998</v>
      </c>
    </row>
    <row r="1211" spans="1:12" ht="15" customHeight="1" x14ac:dyDescent="0.25">
      <c r="A1211" s="10" t="str">
        <f>Raw_Data!A1211</f>
        <v>Bajaj DHX-9 1000W Heavy Weight Dry Iron with Advance Soleplate and Anti-Bacterial German Coating Technology, Ivory</v>
      </c>
      <c r="B1211" s="10" t="str">
        <f>IFERROR(TRIM(LEFT(Raw_Data!A1211,FIND(" ",Raw_Data!A1211)-1)),Raw_Data!A1211)</f>
        <v>Bajaj</v>
      </c>
      <c r="C1211" s="10" t="str">
        <f>IFERROR(LEFT(Raw_Data!B1211,FIND("|",Raw_Data!B1211)-1),Raw_Data!B1211)</f>
        <v>Home&amp;Kitchen</v>
      </c>
      <c r="D1211" s="11">
        <f>IFERROR(VALUE(SUBSTITUTE(SUBSTITUTE(TRIM(Raw_Data!C1211),"₹",""),",","")),"")</f>
        <v>1099</v>
      </c>
      <c r="E1211" s="11">
        <f>IFERROR(VALUE(SUBSTITUTE(SUBSTITUTE(TRIM(Raw_Data!D1211),"₹",""),",","")),"")</f>
        <v>1920</v>
      </c>
      <c r="F1211" s="12">
        <f>IFERROR(VALUE(SUBSTITUTE(Raw_Data!E1211,"%",""))/100,"")</f>
        <v>0.43</v>
      </c>
      <c r="G1211" s="13">
        <f>IFERROR(VALUE(Raw_Data!F1211),"")</f>
        <v>4.2</v>
      </c>
      <c r="H1211" s="14">
        <f>IFERROR(VALUE(SUBSTITUTE(Raw_Data!G1211,",","")),"")</f>
        <v>9772</v>
      </c>
      <c r="I1211" s="11">
        <f t="shared" si="72"/>
        <v>821</v>
      </c>
      <c r="J1211" s="11">
        <f t="shared" si="73"/>
        <v>10739428</v>
      </c>
      <c r="K1211" s="1">
        <f t="shared" si="74"/>
        <v>9772.0001210999999</v>
      </c>
      <c r="L1211" s="15">
        <f t="shared" si="75"/>
        <v>0.43012109999999998</v>
      </c>
    </row>
    <row r="1212" spans="1:12" ht="15" customHeight="1" x14ac:dyDescent="0.25">
      <c r="A1212" s="10" t="str">
        <f>Raw_Data!A1212</f>
        <v>Aquasure From Aquaguard Amaze RO+UV+MTDS,7L storage water purifier,suitable for borewell,tanker,municipal water (Grey) from Eureka Forbes</v>
      </c>
      <c r="B1212" s="10" t="str">
        <f>IFERROR(TRIM(LEFT(Raw_Data!A1212,FIND(" ",Raw_Data!A1212)-1)),Raw_Data!A1212)</f>
        <v>Aquasure</v>
      </c>
      <c r="C1212" s="10" t="str">
        <f>IFERROR(LEFT(Raw_Data!B1212,FIND("|",Raw_Data!B1212)-1),Raw_Data!B1212)</f>
        <v>Home&amp;Kitchen</v>
      </c>
      <c r="D1212" s="11">
        <f>IFERROR(VALUE(SUBSTITUTE(SUBSTITUTE(TRIM(Raw_Data!C1212),"₹",""),",","")),"")</f>
        <v>8199</v>
      </c>
      <c r="E1212" s="11">
        <f>IFERROR(VALUE(SUBSTITUTE(SUBSTITUTE(TRIM(Raw_Data!D1212),"₹",""),",","")),"")</f>
        <v>16000</v>
      </c>
      <c r="F1212" s="12">
        <f>IFERROR(VALUE(SUBSTITUTE(Raw_Data!E1212,"%",""))/100,"")</f>
        <v>0.49</v>
      </c>
      <c r="G1212" s="13">
        <f>IFERROR(VALUE(Raw_Data!F1212),"")</f>
        <v>3.9</v>
      </c>
      <c r="H1212" s="14">
        <f>IFERROR(VALUE(SUBSTITUTE(Raw_Data!G1212,",","")),"")</f>
        <v>18497</v>
      </c>
      <c r="I1212" s="11">
        <f t="shared" si="72"/>
        <v>7801</v>
      </c>
      <c r="J1212" s="11">
        <f t="shared" si="73"/>
        <v>151656903</v>
      </c>
      <c r="K1212" s="1">
        <f t="shared" si="74"/>
        <v>18497.000121199999</v>
      </c>
      <c r="L1212" s="15">
        <f t="shared" si="75"/>
        <v>0.49012119999999998</v>
      </c>
    </row>
    <row r="1213" spans="1:12" ht="15" customHeight="1" x14ac:dyDescent="0.25">
      <c r="A1213" s="10" t="str">
        <f>Raw_Data!A1213</f>
        <v>ROYAL STEP Portable Electric USB Juice Maker Juicer Bottle Blender Grinder Mixer,6 Blades Rechargeable Bottle with (MULTII) (MULTI COLOUR 6 BLED JUICER MIXER)</v>
      </c>
      <c r="B1213" s="10" t="str">
        <f>IFERROR(TRIM(LEFT(Raw_Data!A1213,FIND(" ",Raw_Data!A1213)-1)),Raw_Data!A1213)</f>
        <v>ROYAL</v>
      </c>
      <c r="C1213" s="10" t="str">
        <f>IFERROR(LEFT(Raw_Data!B1213,FIND("|",Raw_Data!B1213)-1),Raw_Data!B1213)</f>
        <v>Home&amp;Kitchen</v>
      </c>
      <c r="D1213" s="11">
        <f>IFERROR(VALUE(SUBSTITUTE(SUBSTITUTE(TRIM(Raw_Data!C1213),"₹",""),",","")),"")</f>
        <v>499</v>
      </c>
      <c r="E1213" s="11">
        <f>IFERROR(VALUE(SUBSTITUTE(SUBSTITUTE(TRIM(Raw_Data!D1213),"₹",""),",","")),"")</f>
        <v>2199</v>
      </c>
      <c r="F1213" s="12">
        <f>IFERROR(VALUE(SUBSTITUTE(Raw_Data!E1213,"%",""))/100,"")</f>
        <v>0.77</v>
      </c>
      <c r="G1213" s="13">
        <f>IFERROR(VALUE(Raw_Data!F1213),"")</f>
        <v>3.7</v>
      </c>
      <c r="H1213" s="14">
        <f>IFERROR(VALUE(SUBSTITUTE(Raw_Data!G1213,",","")),"")</f>
        <v>53</v>
      </c>
      <c r="I1213" s="11">
        <f t="shared" si="72"/>
        <v>1700</v>
      </c>
      <c r="J1213" s="11">
        <f t="shared" si="73"/>
        <v>26447</v>
      </c>
      <c r="K1213" s="1">
        <f t="shared" si="74"/>
        <v>53.000121300000004</v>
      </c>
      <c r="L1213" s="15">
        <f t="shared" si="75"/>
        <v>0.77012130000000001</v>
      </c>
    </row>
    <row r="1214" spans="1:12" ht="15" customHeight="1" x14ac:dyDescent="0.25">
      <c r="A1214" s="10" t="str">
        <f>Raw_Data!A1214</f>
        <v>KENT 16068 Zoom Vacuum Cleaner for Home and Car 130 W | Cordless, Hoseless, Rechargeable HEPA Filters Vacuum Cleaner with Cyclonic Technology | Bagless Design and Multi Nozzle Operation | Blue</v>
      </c>
      <c r="B1214" s="10" t="str">
        <f>IFERROR(TRIM(LEFT(Raw_Data!A1214,FIND(" ",Raw_Data!A1214)-1)),Raw_Data!A1214)</f>
        <v>KENT</v>
      </c>
      <c r="C1214" s="10" t="str">
        <f>IFERROR(LEFT(Raw_Data!B1214,FIND("|",Raw_Data!B1214)-1),Raw_Data!B1214)</f>
        <v>Home&amp;Kitchen</v>
      </c>
      <c r="D1214" s="11">
        <f>IFERROR(VALUE(SUBSTITUTE(SUBSTITUTE(TRIM(Raw_Data!C1214),"₹",""),",","")),"")</f>
        <v>6999</v>
      </c>
      <c r="E1214" s="11">
        <f>IFERROR(VALUE(SUBSTITUTE(SUBSTITUTE(TRIM(Raw_Data!D1214),"₹",""),",","")),"")</f>
        <v>14999</v>
      </c>
      <c r="F1214" s="12">
        <f>IFERROR(VALUE(SUBSTITUTE(Raw_Data!E1214,"%",""))/100,"")</f>
        <v>0.53</v>
      </c>
      <c r="G1214" s="13">
        <f>IFERROR(VALUE(Raw_Data!F1214),"")</f>
        <v>4.0999999999999996</v>
      </c>
      <c r="H1214" s="14">
        <f>IFERROR(VALUE(SUBSTITUTE(Raw_Data!G1214,",","")),"")</f>
        <v>1728</v>
      </c>
      <c r="I1214" s="11">
        <f t="shared" si="72"/>
        <v>8000</v>
      </c>
      <c r="J1214" s="11">
        <f t="shared" si="73"/>
        <v>12094272</v>
      </c>
      <c r="K1214" s="1">
        <f t="shared" si="74"/>
        <v>1728.0001213999999</v>
      </c>
      <c r="L1214" s="15">
        <f t="shared" si="75"/>
        <v>0.53012140000000008</v>
      </c>
    </row>
    <row r="1215" spans="1:12" ht="15" customHeight="1" x14ac:dyDescent="0.25">
      <c r="A1215" s="10" t="str">
        <f>Raw_Data!A1215</f>
        <v>ENEM Sealing Machine | 12 Inch (300 mm) | 1 Year Warranty | Full Customer Support | Beep Sound Function | Plastic Packing Machine | Plastic Bag Sealing Machine | Heat Sealer Machine | Plastic Sealing Machine | Blue | Made in India</v>
      </c>
      <c r="B1215" s="10" t="str">
        <f>IFERROR(TRIM(LEFT(Raw_Data!A1215,FIND(" ",Raw_Data!A1215)-1)),Raw_Data!A1215)</f>
        <v>ENEM</v>
      </c>
      <c r="C1215" s="10" t="str">
        <f>IFERROR(LEFT(Raw_Data!B1215,FIND("|",Raw_Data!B1215)-1),Raw_Data!B1215)</f>
        <v>Home&amp;Kitchen</v>
      </c>
      <c r="D1215" s="11">
        <f>IFERROR(VALUE(SUBSTITUTE(SUBSTITUTE(TRIM(Raw_Data!C1215),"₹",""),",","")),"")</f>
        <v>1595</v>
      </c>
      <c r="E1215" s="11">
        <f>IFERROR(VALUE(SUBSTITUTE(SUBSTITUTE(TRIM(Raw_Data!D1215),"₹",""),",","")),"")</f>
        <v>1799</v>
      </c>
      <c r="F1215" s="12">
        <f>IFERROR(VALUE(SUBSTITUTE(Raw_Data!E1215,"%",""))/100,"")</f>
        <v>0.11</v>
      </c>
      <c r="G1215" s="13">
        <f>IFERROR(VALUE(Raw_Data!F1215),"")</f>
        <v>4</v>
      </c>
      <c r="H1215" s="14">
        <f>IFERROR(VALUE(SUBSTITUTE(Raw_Data!G1215,",","")),"")</f>
        <v>2877</v>
      </c>
      <c r="I1215" s="11">
        <f t="shared" si="72"/>
        <v>204</v>
      </c>
      <c r="J1215" s="11">
        <f t="shared" si="73"/>
        <v>4588815</v>
      </c>
      <c r="K1215" s="1">
        <f t="shared" si="74"/>
        <v>2877.0001215000002</v>
      </c>
      <c r="L1215" s="15">
        <f t="shared" si="75"/>
        <v>0.1101215</v>
      </c>
    </row>
    <row r="1216" spans="1:12" ht="15" customHeight="1" x14ac:dyDescent="0.25">
      <c r="A1216" s="10" t="str">
        <f>Raw_Data!A1216</f>
        <v>Wipro Vesta 1200 Watt GD203 Heavyweight Automatic Dry Iron| Quick Heat Up| Anti bacterial German Weilburger Double Coated Black Soleplate |2 Years Warranty</v>
      </c>
      <c r="B1216" s="10" t="str">
        <f>IFERROR(TRIM(LEFT(Raw_Data!A1216,FIND(" ",Raw_Data!A1216)-1)),Raw_Data!A1216)</f>
        <v>Wipro</v>
      </c>
      <c r="C1216" s="10" t="str">
        <f>IFERROR(LEFT(Raw_Data!B1216,FIND("|",Raw_Data!B1216)-1),Raw_Data!B1216)</f>
        <v>Home&amp;Kitchen</v>
      </c>
      <c r="D1216" s="11">
        <f>IFERROR(VALUE(SUBSTITUTE(SUBSTITUTE(TRIM(Raw_Data!C1216),"₹",""),",","")),"")</f>
        <v>1049</v>
      </c>
      <c r="E1216" s="11">
        <f>IFERROR(VALUE(SUBSTITUTE(SUBSTITUTE(TRIM(Raw_Data!D1216),"₹",""),",","")),"")</f>
        <v>1950</v>
      </c>
      <c r="F1216" s="12">
        <f>IFERROR(VALUE(SUBSTITUTE(Raw_Data!E1216,"%",""))/100,"")</f>
        <v>0.46</v>
      </c>
      <c r="G1216" s="13">
        <f>IFERROR(VALUE(Raw_Data!F1216),"")</f>
        <v>3.8</v>
      </c>
      <c r="H1216" s="14">
        <f>IFERROR(VALUE(SUBSTITUTE(Raw_Data!G1216,",","")),"")</f>
        <v>250</v>
      </c>
      <c r="I1216" s="11">
        <f t="shared" si="72"/>
        <v>901</v>
      </c>
      <c r="J1216" s="11">
        <f t="shared" si="73"/>
        <v>262250</v>
      </c>
      <c r="K1216" s="1">
        <f t="shared" si="74"/>
        <v>250.0001216</v>
      </c>
      <c r="L1216" s="15">
        <f t="shared" si="75"/>
        <v>0.46012160000000002</v>
      </c>
    </row>
    <row r="1217" spans="1:12" ht="15" customHeight="1" x14ac:dyDescent="0.25">
      <c r="A1217" s="10" t="str">
        <f>Raw_Data!A1217</f>
        <v>Inalsa Electric Kettle Prism Inox - 1350 W with LED Illumination &amp; Boro-Silicate Body, 1.8 L Capacity along with Cordless Base, 2 Year Warranty (Black)</v>
      </c>
      <c r="B1217" s="10" t="str">
        <f>IFERROR(TRIM(LEFT(Raw_Data!A1217,FIND(" ",Raw_Data!A1217)-1)),Raw_Data!A1217)</f>
        <v>Inalsa</v>
      </c>
      <c r="C1217" s="10" t="str">
        <f>IFERROR(LEFT(Raw_Data!B1217,FIND("|",Raw_Data!B1217)-1),Raw_Data!B1217)</f>
        <v>Home&amp;Kitchen</v>
      </c>
      <c r="D1217" s="11">
        <f>IFERROR(VALUE(SUBSTITUTE(SUBSTITUTE(TRIM(Raw_Data!C1217),"₹",""),",","")),"")</f>
        <v>1182</v>
      </c>
      <c r="E1217" s="11">
        <f>IFERROR(VALUE(SUBSTITUTE(SUBSTITUTE(TRIM(Raw_Data!D1217),"₹",""),",","")),"")</f>
        <v>2995</v>
      </c>
      <c r="F1217" s="12">
        <f>IFERROR(VALUE(SUBSTITUTE(Raw_Data!E1217,"%",""))/100,"")</f>
        <v>0.61</v>
      </c>
      <c r="G1217" s="13">
        <f>IFERROR(VALUE(Raw_Data!F1217),"")</f>
        <v>4.2</v>
      </c>
      <c r="H1217" s="14">
        <f>IFERROR(VALUE(SUBSTITUTE(Raw_Data!G1217,",","")),"")</f>
        <v>5178</v>
      </c>
      <c r="I1217" s="11">
        <f t="shared" si="72"/>
        <v>1813</v>
      </c>
      <c r="J1217" s="11">
        <f t="shared" si="73"/>
        <v>6120396</v>
      </c>
      <c r="K1217" s="1">
        <f t="shared" si="74"/>
        <v>5178.0001216999999</v>
      </c>
      <c r="L1217" s="15">
        <f t="shared" si="75"/>
        <v>0.61012169999999999</v>
      </c>
    </row>
    <row r="1218" spans="1:12" ht="15" customHeight="1" x14ac:dyDescent="0.25">
      <c r="A1218" s="10" t="str">
        <f>Raw_Data!A1218</f>
        <v>VRPRIME Lint Roller Lint Remover for Clothes, Pet | 360 Sheets Reusable Sticky Easy-Tear Sheet Brush for Clothes, Furniture, Carpet, Dog Fur, Sweater, Dust &amp; Dirt (4 Rolls - 90 Sheet Each Roll)</v>
      </c>
      <c r="B1218" s="10" t="str">
        <f>IFERROR(TRIM(LEFT(Raw_Data!A1218,FIND(" ",Raw_Data!A1218)-1)),Raw_Data!A1218)</f>
        <v>VRPRIME</v>
      </c>
      <c r="C1218" s="10" t="str">
        <f>IFERROR(LEFT(Raw_Data!B1218,FIND("|",Raw_Data!B1218)-1),Raw_Data!B1218)</f>
        <v>Home&amp;Kitchen</v>
      </c>
      <c r="D1218" s="11">
        <f>IFERROR(VALUE(SUBSTITUTE(SUBSTITUTE(TRIM(Raw_Data!C1218),"₹",""),",","")),"")</f>
        <v>499</v>
      </c>
      <c r="E1218" s="11">
        <f>IFERROR(VALUE(SUBSTITUTE(SUBSTITUTE(TRIM(Raw_Data!D1218),"₹",""),",","")),"")</f>
        <v>999</v>
      </c>
      <c r="F1218" s="12">
        <f>IFERROR(VALUE(SUBSTITUTE(Raw_Data!E1218,"%",""))/100,"")</f>
        <v>0.5</v>
      </c>
      <c r="G1218" s="13">
        <f>IFERROR(VALUE(Raw_Data!F1218),"")</f>
        <v>4.5999999999999996</v>
      </c>
      <c r="H1218" s="14">
        <f>IFERROR(VALUE(SUBSTITUTE(Raw_Data!G1218,",","")),"")</f>
        <v>79</v>
      </c>
      <c r="I1218" s="11">
        <f t="shared" ref="I1218:I1281" si="76">IFERROR(E1218-D1218,"")</f>
        <v>500</v>
      </c>
      <c r="J1218" s="11">
        <f t="shared" ref="J1218:J1281" si="77">IFERROR(D1218*H1218,"")</f>
        <v>39421</v>
      </c>
      <c r="K1218" s="1">
        <f t="shared" ref="K1218:K1281" si="78">IF(ISNUMBER(H1218),H1218+ROW()/10000000,"")</f>
        <v>79.000121800000002</v>
      </c>
      <c r="L1218" s="15">
        <f t="shared" ref="L1218:L1281" si="79">IF(ISNUMBER(F1218),F1218+ROW()/10000000,"")</f>
        <v>0.50012179999999995</v>
      </c>
    </row>
    <row r="1219" spans="1:12" ht="15" customHeight="1" x14ac:dyDescent="0.25">
      <c r="A1219" s="10" t="str">
        <f>Raw_Data!A1219</f>
        <v>Philips AC1215/20 Air purifier, removes 99.97% airborne pollutants, 4-stage filtration with True HEPA filter (white)</v>
      </c>
      <c r="B1219" s="10" t="str">
        <f>IFERROR(TRIM(LEFT(Raw_Data!A1219,FIND(" ",Raw_Data!A1219)-1)),Raw_Data!A1219)</f>
        <v>Philips</v>
      </c>
      <c r="C1219" s="10" t="str">
        <f>IFERROR(LEFT(Raw_Data!B1219,FIND("|",Raw_Data!B1219)-1),Raw_Data!B1219)</f>
        <v>Home&amp;Kitchen</v>
      </c>
      <c r="D1219" s="11">
        <f>IFERROR(VALUE(SUBSTITUTE(SUBSTITUTE(TRIM(Raw_Data!C1219),"₹",""),",","")),"")</f>
        <v>8799</v>
      </c>
      <c r="E1219" s="11">
        <f>IFERROR(VALUE(SUBSTITUTE(SUBSTITUTE(TRIM(Raw_Data!D1219),"₹",""),",","")),"")</f>
        <v>11995</v>
      </c>
      <c r="F1219" s="12">
        <f>IFERROR(VALUE(SUBSTITUTE(Raw_Data!E1219,"%",""))/100,"")</f>
        <v>0.27</v>
      </c>
      <c r="G1219" s="13">
        <f>IFERROR(VALUE(Raw_Data!F1219),"")</f>
        <v>4.0999999999999996</v>
      </c>
      <c r="H1219" s="14">
        <f>IFERROR(VALUE(SUBSTITUTE(Raw_Data!G1219,",","")),"")</f>
        <v>4157</v>
      </c>
      <c r="I1219" s="11">
        <f t="shared" si="76"/>
        <v>3196</v>
      </c>
      <c r="J1219" s="11">
        <f t="shared" si="77"/>
        <v>36577443</v>
      </c>
      <c r="K1219" s="1">
        <f t="shared" si="78"/>
        <v>4157.0001218999996</v>
      </c>
      <c r="L1219" s="15">
        <f t="shared" si="79"/>
        <v>0.27012190000000003</v>
      </c>
    </row>
    <row r="1220" spans="1:12" ht="15" customHeight="1" x14ac:dyDescent="0.25">
      <c r="A1220" s="10" t="str">
        <f>Raw_Data!A1220</f>
        <v>Eopora PTC Ceramic Fast Heating Room Heater for Bedroom, 1500/1000 Watts Room Heater for Home, Electric Heater, Electric Fan Heater for Home Office Bedroom (White)</v>
      </c>
      <c r="B1220" s="10" t="str">
        <f>IFERROR(TRIM(LEFT(Raw_Data!A1220,FIND(" ",Raw_Data!A1220)-1)),Raw_Data!A1220)</f>
        <v>Eopora</v>
      </c>
      <c r="C1220" s="10" t="str">
        <f>IFERROR(LEFT(Raw_Data!B1220,FIND("|",Raw_Data!B1220)-1),Raw_Data!B1220)</f>
        <v>Home&amp;Kitchen</v>
      </c>
      <c r="D1220" s="11">
        <f>IFERROR(VALUE(SUBSTITUTE(SUBSTITUTE(TRIM(Raw_Data!C1220),"₹",""),",","")),"")</f>
        <v>1529</v>
      </c>
      <c r="E1220" s="11">
        <f>IFERROR(VALUE(SUBSTITUTE(SUBSTITUTE(TRIM(Raw_Data!D1220),"₹",""),",","")),"")</f>
        <v>2999</v>
      </c>
      <c r="F1220" s="12">
        <f>IFERROR(VALUE(SUBSTITUTE(Raw_Data!E1220,"%",""))/100,"")</f>
        <v>0.49</v>
      </c>
      <c r="G1220" s="13">
        <f>IFERROR(VALUE(Raw_Data!F1220),"")</f>
        <v>3.3</v>
      </c>
      <c r="H1220" s="14">
        <f>IFERROR(VALUE(SUBSTITUTE(Raw_Data!G1220,",","")),"")</f>
        <v>29</v>
      </c>
      <c r="I1220" s="11">
        <f t="shared" si="76"/>
        <v>1470</v>
      </c>
      <c r="J1220" s="11">
        <f t="shared" si="77"/>
        <v>44341</v>
      </c>
      <c r="K1220" s="1">
        <f t="shared" si="78"/>
        <v>29.000122000000001</v>
      </c>
      <c r="L1220" s="15">
        <f t="shared" si="79"/>
        <v>0.490122</v>
      </c>
    </row>
    <row r="1221" spans="1:12" ht="15" customHeight="1" x14ac:dyDescent="0.25">
      <c r="A1221" s="10" t="str">
        <f>Raw_Data!A1221</f>
        <v>Usha Goliath GO1200WG Heavy Weight 1200-Watt Dry Iron, 1.8 Kg(Red)</v>
      </c>
      <c r="B1221" s="10" t="str">
        <f>IFERROR(TRIM(LEFT(Raw_Data!A1221,FIND(" ",Raw_Data!A1221)-1)),Raw_Data!A1221)</f>
        <v>Usha</v>
      </c>
      <c r="C1221" s="10" t="str">
        <f>IFERROR(LEFT(Raw_Data!B1221,FIND("|",Raw_Data!B1221)-1),Raw_Data!B1221)</f>
        <v>Home&amp;Kitchen</v>
      </c>
      <c r="D1221" s="11">
        <f>IFERROR(VALUE(SUBSTITUTE(SUBSTITUTE(TRIM(Raw_Data!C1221),"₹",""),",","")),"")</f>
        <v>1199</v>
      </c>
      <c r="E1221" s="11">
        <f>IFERROR(VALUE(SUBSTITUTE(SUBSTITUTE(TRIM(Raw_Data!D1221),"₹",""),",","")),"")</f>
        <v>1690</v>
      </c>
      <c r="F1221" s="12">
        <f>IFERROR(VALUE(SUBSTITUTE(Raw_Data!E1221,"%",""))/100,"")</f>
        <v>0.28999999999999998</v>
      </c>
      <c r="G1221" s="13">
        <f>IFERROR(VALUE(Raw_Data!F1221),"")</f>
        <v>4.2</v>
      </c>
      <c r="H1221" s="14">
        <f>IFERROR(VALUE(SUBSTITUTE(Raw_Data!G1221,",","")),"")</f>
        <v>4580</v>
      </c>
      <c r="I1221" s="11">
        <f t="shared" si="76"/>
        <v>491</v>
      </c>
      <c r="J1221" s="11">
        <f t="shared" si="77"/>
        <v>5491420</v>
      </c>
      <c r="K1221" s="1">
        <f t="shared" si="78"/>
        <v>4580.0001221000002</v>
      </c>
      <c r="L1221" s="15">
        <f t="shared" si="79"/>
        <v>0.29012209999999999</v>
      </c>
    </row>
    <row r="1222" spans="1:12" ht="15" customHeight="1" x14ac:dyDescent="0.25">
      <c r="A1222" s="10" t="str">
        <f>Raw_Data!A1222</f>
        <v>Wipro Vesta Electric Egg Boiler, 360 Watts, 3 Boiling Modes, Stainless Steel Body and Heating Plate, Boils up to 7 Eggs at a time, Automatic Shut Down, White, Standard (VB021070)</v>
      </c>
      <c r="B1222" s="10" t="str">
        <f>IFERROR(TRIM(LEFT(Raw_Data!A1222,FIND(" ",Raw_Data!A1222)-1)),Raw_Data!A1222)</f>
        <v>Wipro</v>
      </c>
      <c r="C1222" s="10" t="str">
        <f>IFERROR(LEFT(Raw_Data!B1222,FIND("|",Raw_Data!B1222)-1),Raw_Data!B1222)</f>
        <v>Home&amp;Kitchen</v>
      </c>
      <c r="D1222" s="11">
        <f>IFERROR(VALUE(SUBSTITUTE(SUBSTITUTE(TRIM(Raw_Data!C1222),"₹",""),",","")),"")</f>
        <v>1052</v>
      </c>
      <c r="E1222" s="11">
        <f>IFERROR(VALUE(SUBSTITUTE(SUBSTITUTE(TRIM(Raw_Data!D1222),"₹",""),",","")),"")</f>
        <v>1790</v>
      </c>
      <c r="F1222" s="12">
        <f>IFERROR(VALUE(SUBSTITUTE(Raw_Data!E1222,"%",""))/100,"")</f>
        <v>0.41</v>
      </c>
      <c r="G1222" s="13">
        <f>IFERROR(VALUE(Raw_Data!F1222),"")</f>
        <v>4.3</v>
      </c>
      <c r="H1222" s="14">
        <f>IFERROR(VALUE(SUBSTITUTE(Raw_Data!G1222,",","")),"")</f>
        <v>1404</v>
      </c>
      <c r="I1222" s="11">
        <f t="shared" si="76"/>
        <v>738</v>
      </c>
      <c r="J1222" s="11">
        <f t="shared" si="77"/>
        <v>1477008</v>
      </c>
      <c r="K1222" s="1">
        <f t="shared" si="78"/>
        <v>1404.0001222000001</v>
      </c>
      <c r="L1222" s="15">
        <f t="shared" si="79"/>
        <v>0.41012219999999999</v>
      </c>
    </row>
    <row r="1223" spans="1:12" ht="15" customHeight="1" x14ac:dyDescent="0.25">
      <c r="A1223" s="10" t="str">
        <f>Raw_Data!A1223</f>
        <v>Philips Viva Collection HR1832/00 1.5-Litre400-Watt Juicer (Ink Black)</v>
      </c>
      <c r="B1223" s="10" t="str">
        <f>IFERROR(TRIM(LEFT(Raw_Data!A1223,FIND(" ",Raw_Data!A1223)-1)),Raw_Data!A1223)</f>
        <v>Philips</v>
      </c>
      <c r="C1223" s="10" t="str">
        <f>IFERROR(LEFT(Raw_Data!B1223,FIND("|",Raw_Data!B1223)-1),Raw_Data!B1223)</f>
        <v>Home&amp;Kitchen</v>
      </c>
      <c r="D1223" s="11">
        <f>IFERROR(VALUE(SUBSTITUTE(SUBSTITUTE(TRIM(Raw_Data!C1223),"₹",""),",","")),"")</f>
        <v>6499</v>
      </c>
      <c r="E1223" s="11">
        <f>IFERROR(VALUE(SUBSTITUTE(SUBSTITUTE(TRIM(Raw_Data!D1223),"₹",""),",","")),"")</f>
        <v>8995</v>
      </c>
      <c r="F1223" s="12">
        <f>IFERROR(VALUE(SUBSTITUTE(Raw_Data!E1223,"%",""))/100,"")</f>
        <v>0.28000000000000003</v>
      </c>
      <c r="G1223" s="13">
        <f>IFERROR(VALUE(Raw_Data!F1223),"")</f>
        <v>4.3</v>
      </c>
      <c r="H1223" s="14">
        <f>IFERROR(VALUE(SUBSTITUTE(Raw_Data!G1223,",","")),"")</f>
        <v>2810</v>
      </c>
      <c r="I1223" s="11">
        <f t="shared" si="76"/>
        <v>2496</v>
      </c>
      <c r="J1223" s="11">
        <f t="shared" si="77"/>
        <v>18262190</v>
      </c>
      <c r="K1223" s="1">
        <f t="shared" si="78"/>
        <v>2810.0001222999999</v>
      </c>
      <c r="L1223" s="15">
        <f t="shared" si="79"/>
        <v>0.28012230000000005</v>
      </c>
    </row>
    <row r="1224" spans="1:12" ht="15" customHeight="1" x14ac:dyDescent="0.25">
      <c r="A1224" s="10" t="str">
        <f>Raw_Data!A1224</f>
        <v>Kitchenwell Multipurpose Portable Electronic Digital Weighing Scale Weight Machine | Weight Machine | 10 Kg</v>
      </c>
      <c r="B1224" s="10" t="str">
        <f>IFERROR(TRIM(LEFT(Raw_Data!A1224,FIND(" ",Raw_Data!A1224)-1)),Raw_Data!A1224)</f>
        <v>Kitchenwell</v>
      </c>
      <c r="C1224" s="10" t="str">
        <f>IFERROR(LEFT(Raw_Data!B1224,FIND("|",Raw_Data!B1224)-1),Raw_Data!B1224)</f>
        <v>Home&amp;Kitchen</v>
      </c>
      <c r="D1224" s="11">
        <f>IFERROR(VALUE(SUBSTITUTE(SUBSTITUTE(TRIM(Raw_Data!C1224),"₹",""),",","")),"")</f>
        <v>239</v>
      </c>
      <c r="E1224" s="11">
        <f>IFERROR(VALUE(SUBSTITUTE(SUBSTITUTE(TRIM(Raw_Data!D1224),"₹",""),",","")),"")</f>
        <v>239</v>
      </c>
      <c r="F1224" s="12">
        <f>IFERROR(VALUE(SUBSTITUTE(Raw_Data!E1224,"%",""))/100,"")</f>
        <v>0</v>
      </c>
      <c r="G1224" s="13">
        <f>IFERROR(VALUE(Raw_Data!F1224),"")</f>
        <v>4.3</v>
      </c>
      <c r="H1224" s="14">
        <f>IFERROR(VALUE(SUBSTITUTE(Raw_Data!G1224,",","")),"")</f>
        <v>7</v>
      </c>
      <c r="I1224" s="11">
        <f t="shared" si="76"/>
        <v>0</v>
      </c>
      <c r="J1224" s="11">
        <f t="shared" si="77"/>
        <v>1673</v>
      </c>
      <c r="K1224" s="1">
        <f t="shared" si="78"/>
        <v>7.0001224000000004</v>
      </c>
      <c r="L1224" s="15">
        <f t="shared" si="79"/>
        <v>1.2239999999999999E-4</v>
      </c>
    </row>
    <row r="1225" spans="1:12" ht="15" customHeight="1" x14ac:dyDescent="0.25">
      <c r="A1225" s="10" t="str">
        <f>Raw_Data!A1225</f>
        <v>FIGMENT Handheld Milk Frother Rechargeable, 3-Speed Electric Frother for Coffee with 2 Whisks and Coffee Decoration Tool, Coffee Frother Mixer, CRESCENT ENTERPRISES VRW0.50BK (A1)</v>
      </c>
      <c r="B1225" s="10" t="str">
        <f>IFERROR(TRIM(LEFT(Raw_Data!A1225,FIND(" ",Raw_Data!A1225)-1)),Raw_Data!A1225)</f>
        <v>FIGMENT</v>
      </c>
      <c r="C1225" s="10" t="str">
        <f>IFERROR(LEFT(Raw_Data!B1225,FIND("|",Raw_Data!B1225)-1),Raw_Data!B1225)</f>
        <v>Home&amp;Kitchen</v>
      </c>
      <c r="D1225" s="11">
        <f>IFERROR(VALUE(SUBSTITUTE(SUBSTITUTE(TRIM(Raw_Data!C1225),"₹",""),",","")),"")</f>
        <v>699</v>
      </c>
      <c r="E1225" s="11">
        <f>IFERROR(VALUE(SUBSTITUTE(SUBSTITUTE(TRIM(Raw_Data!D1225),"₹",""),",","")),"")</f>
        <v>1599</v>
      </c>
      <c r="F1225" s="12">
        <f>IFERROR(VALUE(SUBSTITUTE(Raw_Data!E1225,"%",""))/100,"")</f>
        <v>0.56000000000000005</v>
      </c>
      <c r="G1225" s="13">
        <f>IFERROR(VALUE(Raw_Data!F1225),"")</f>
        <v>4.7</v>
      </c>
      <c r="H1225" s="14">
        <f>IFERROR(VALUE(SUBSTITUTE(Raw_Data!G1225,",","")),"")</f>
        <v>1729</v>
      </c>
      <c r="I1225" s="11">
        <f t="shared" si="76"/>
        <v>900</v>
      </c>
      <c r="J1225" s="11">
        <f t="shared" si="77"/>
        <v>1208571</v>
      </c>
      <c r="K1225" s="1">
        <f t="shared" si="78"/>
        <v>1729.0001225000001</v>
      </c>
      <c r="L1225" s="15">
        <f t="shared" si="79"/>
        <v>0.56012250000000008</v>
      </c>
    </row>
    <row r="1226" spans="1:12" ht="15" customHeight="1" x14ac:dyDescent="0.25">
      <c r="A1226" s="10" t="str">
        <f>Raw_Data!A1226</f>
        <v>Balzano High Speed Nutri Blender/Mixer/Smoothie Maker - 500 Watt - Silver, 2 Jar</v>
      </c>
      <c r="B1226" s="10" t="str">
        <f>IFERROR(TRIM(LEFT(Raw_Data!A1226,FIND(" ",Raw_Data!A1226)-1)),Raw_Data!A1226)</f>
        <v>Balzano</v>
      </c>
      <c r="C1226" s="10" t="str">
        <f>IFERROR(LEFT(Raw_Data!B1226,FIND("|",Raw_Data!B1226)-1),Raw_Data!B1226)</f>
        <v>Home&amp;Kitchen</v>
      </c>
      <c r="D1226" s="11">
        <f>IFERROR(VALUE(SUBSTITUTE(SUBSTITUTE(TRIM(Raw_Data!C1226),"₹",""),",","")),"")</f>
        <v>2599</v>
      </c>
      <c r="E1226" s="11">
        <f>IFERROR(VALUE(SUBSTITUTE(SUBSTITUTE(TRIM(Raw_Data!D1226),"₹",""),",","")),"")</f>
        <v>4290</v>
      </c>
      <c r="F1226" s="12">
        <f>IFERROR(VALUE(SUBSTITUTE(Raw_Data!E1226,"%",""))/100,"")</f>
        <v>0.39</v>
      </c>
      <c r="G1226" s="13">
        <f>IFERROR(VALUE(Raw_Data!F1226),"")</f>
        <v>4.4000000000000004</v>
      </c>
      <c r="H1226" s="14">
        <f>IFERROR(VALUE(SUBSTITUTE(Raw_Data!G1226,",","")),"")</f>
        <v>2116</v>
      </c>
      <c r="I1226" s="11">
        <f t="shared" si="76"/>
        <v>1691</v>
      </c>
      <c r="J1226" s="11">
        <f t="shared" si="77"/>
        <v>5499484</v>
      </c>
      <c r="K1226" s="1">
        <f t="shared" si="78"/>
        <v>2116.0001225999999</v>
      </c>
      <c r="L1226" s="15">
        <f t="shared" si="79"/>
        <v>0.39012259999999999</v>
      </c>
    </row>
    <row r="1227" spans="1:12" ht="15" customHeight="1" x14ac:dyDescent="0.25">
      <c r="A1227" s="10" t="str">
        <f>Raw_Data!A1227</f>
        <v>Swiss Military VC03 Wireless Car Vacuum Cleaner | Wireless Vacuum Cleaner for Home, Car, Living Room | Wireless Vacuum Cleaner Dust Collection/Lighting Car Pet Hair Vacuum with Powerful Motor</v>
      </c>
      <c r="B1227" s="10" t="str">
        <f>IFERROR(TRIM(LEFT(Raw_Data!A1227,FIND(" ",Raw_Data!A1227)-1)),Raw_Data!A1227)</f>
        <v>Swiss</v>
      </c>
      <c r="C1227" s="10" t="str">
        <f>IFERROR(LEFT(Raw_Data!B1227,FIND("|",Raw_Data!B1227)-1),Raw_Data!B1227)</f>
        <v>Home&amp;Kitchen</v>
      </c>
      <c r="D1227" s="11">
        <f>IFERROR(VALUE(SUBSTITUTE(SUBSTITUTE(TRIM(Raw_Data!C1227),"₹",""),",","")),"")</f>
        <v>1547</v>
      </c>
      <c r="E1227" s="11">
        <f>IFERROR(VALUE(SUBSTITUTE(SUBSTITUTE(TRIM(Raw_Data!D1227),"₹",""),",","")),"")</f>
        <v>2890</v>
      </c>
      <c r="F1227" s="12">
        <f>IFERROR(VALUE(SUBSTITUTE(Raw_Data!E1227,"%",""))/100,"")</f>
        <v>0.46</v>
      </c>
      <c r="G1227" s="13">
        <f>IFERROR(VALUE(Raw_Data!F1227),"")</f>
        <v>3.9</v>
      </c>
      <c r="H1227" s="14">
        <f>IFERROR(VALUE(SUBSTITUTE(Raw_Data!G1227,",","")),"")</f>
        <v>463</v>
      </c>
      <c r="I1227" s="11">
        <f t="shared" si="76"/>
        <v>1343</v>
      </c>
      <c r="J1227" s="11">
        <f t="shared" si="77"/>
        <v>716261</v>
      </c>
      <c r="K1227" s="1">
        <f t="shared" si="78"/>
        <v>463.00012270000002</v>
      </c>
      <c r="L1227" s="15">
        <f t="shared" si="79"/>
        <v>0.4601227</v>
      </c>
    </row>
    <row r="1228" spans="1:12" ht="15" customHeight="1" x14ac:dyDescent="0.25">
      <c r="A1228" s="10" t="str">
        <f>Raw_Data!A1228</f>
        <v>Zuvexa USB Rechargeable Electric Foam Maker - Handheld Milk Wand Mixer Frother for Hot Milk, Hand Blender Coffee, Egg Beater (Black)</v>
      </c>
      <c r="B1228" s="10" t="str">
        <f>IFERROR(TRIM(LEFT(Raw_Data!A1228,FIND(" ",Raw_Data!A1228)-1)),Raw_Data!A1228)</f>
        <v>Zuvexa</v>
      </c>
      <c r="C1228" s="10" t="str">
        <f>IFERROR(LEFT(Raw_Data!B1228,FIND("|",Raw_Data!B1228)-1),Raw_Data!B1228)</f>
        <v>Home&amp;Kitchen</v>
      </c>
      <c r="D1228" s="11">
        <f>IFERROR(VALUE(SUBSTITUTE(SUBSTITUTE(TRIM(Raw_Data!C1228),"₹",""),",","")),"")</f>
        <v>499</v>
      </c>
      <c r="E1228" s="11">
        <f>IFERROR(VALUE(SUBSTITUTE(SUBSTITUTE(TRIM(Raw_Data!D1228),"₹",""),",","")),"")</f>
        <v>1299</v>
      </c>
      <c r="F1228" s="12">
        <f>IFERROR(VALUE(SUBSTITUTE(Raw_Data!E1228,"%",""))/100,"")</f>
        <v>0.62</v>
      </c>
      <c r="G1228" s="13">
        <f>IFERROR(VALUE(Raw_Data!F1228),"")</f>
        <v>4.7</v>
      </c>
      <c r="H1228" s="14">
        <f>IFERROR(VALUE(SUBSTITUTE(Raw_Data!G1228,",","")),"")</f>
        <v>54</v>
      </c>
      <c r="I1228" s="11">
        <f t="shared" si="76"/>
        <v>800</v>
      </c>
      <c r="J1228" s="11">
        <f t="shared" si="77"/>
        <v>26946</v>
      </c>
      <c r="K1228" s="1">
        <f t="shared" si="78"/>
        <v>54.0001228</v>
      </c>
      <c r="L1228" s="15">
        <f t="shared" si="79"/>
        <v>0.62012279999999997</v>
      </c>
    </row>
    <row r="1229" spans="1:12" ht="15" customHeight="1" x14ac:dyDescent="0.25">
      <c r="A1229" s="10" t="str">
        <f>Raw_Data!A1229</f>
        <v>Usha IH2415 1500-Watt Immersion Heater (Silver)</v>
      </c>
      <c r="B1229" s="10" t="str">
        <f>IFERROR(TRIM(LEFT(Raw_Data!A1229,FIND(" ",Raw_Data!A1229)-1)),Raw_Data!A1229)</f>
        <v>Usha</v>
      </c>
      <c r="C1229" s="10" t="str">
        <f>IFERROR(LEFT(Raw_Data!B1229,FIND("|",Raw_Data!B1229)-1),Raw_Data!B1229)</f>
        <v>Home&amp;Kitchen</v>
      </c>
      <c r="D1229" s="11">
        <f>IFERROR(VALUE(SUBSTITUTE(SUBSTITUTE(TRIM(Raw_Data!C1229),"₹",""),",","")),"")</f>
        <v>510</v>
      </c>
      <c r="E1229" s="11">
        <f>IFERROR(VALUE(SUBSTITUTE(SUBSTITUTE(TRIM(Raw_Data!D1229),"₹",""),",","")),"")</f>
        <v>640</v>
      </c>
      <c r="F1229" s="12">
        <f>IFERROR(VALUE(SUBSTITUTE(Raw_Data!E1229,"%",""))/100,"")</f>
        <v>0.2</v>
      </c>
      <c r="G1229" s="13">
        <f>IFERROR(VALUE(Raw_Data!F1229),"")</f>
        <v>4.0999999999999996</v>
      </c>
      <c r="H1229" s="14">
        <f>IFERROR(VALUE(SUBSTITUTE(Raw_Data!G1229,",","")),"")</f>
        <v>7229</v>
      </c>
      <c r="I1229" s="11">
        <f t="shared" si="76"/>
        <v>130</v>
      </c>
      <c r="J1229" s="11">
        <f t="shared" si="77"/>
        <v>3686790</v>
      </c>
      <c r="K1229" s="1">
        <f t="shared" si="78"/>
        <v>7229.0001229</v>
      </c>
      <c r="L1229" s="15">
        <f t="shared" si="79"/>
        <v>0.20012290000000002</v>
      </c>
    </row>
    <row r="1230" spans="1:12" ht="15" customHeight="1" x14ac:dyDescent="0.25">
      <c r="A1230" s="10" t="str">
        <f>Raw_Data!A1230</f>
        <v>ACTIVA Instant 3 LTR 3 KVA SPECIAL Anti Rust Coated Tank Geyser with Full ABS Body with 5 Year Warranty Premium (White)</v>
      </c>
      <c r="B1230" s="10" t="str">
        <f>IFERROR(TRIM(LEFT(Raw_Data!A1230,FIND(" ",Raw_Data!A1230)-1)),Raw_Data!A1230)</f>
        <v>ACTIVA</v>
      </c>
      <c r="C1230" s="10" t="str">
        <f>IFERROR(LEFT(Raw_Data!B1230,FIND("|",Raw_Data!B1230)-1),Raw_Data!B1230)</f>
        <v>Home&amp;Kitchen</v>
      </c>
      <c r="D1230" s="11">
        <f>IFERROR(VALUE(SUBSTITUTE(SUBSTITUTE(TRIM(Raw_Data!C1230),"₹",""),",","")),"")</f>
        <v>1899</v>
      </c>
      <c r="E1230" s="11">
        <f>IFERROR(VALUE(SUBSTITUTE(SUBSTITUTE(TRIM(Raw_Data!D1230),"₹",""),",","")),"")</f>
        <v>3790</v>
      </c>
      <c r="F1230" s="12">
        <f>IFERROR(VALUE(SUBSTITUTE(Raw_Data!E1230,"%",""))/100,"")</f>
        <v>0.5</v>
      </c>
      <c r="G1230" s="13">
        <f>IFERROR(VALUE(Raw_Data!F1230),"")</f>
        <v>3.8</v>
      </c>
      <c r="H1230" s="14">
        <f>IFERROR(VALUE(SUBSTITUTE(Raw_Data!G1230,",","")),"")</f>
        <v>3842</v>
      </c>
      <c r="I1230" s="11">
        <f t="shared" si="76"/>
        <v>1891</v>
      </c>
      <c r="J1230" s="11">
        <f t="shared" si="77"/>
        <v>7295958</v>
      </c>
      <c r="K1230" s="1">
        <f t="shared" si="78"/>
        <v>3842.0001229999998</v>
      </c>
      <c r="L1230" s="15">
        <f t="shared" si="79"/>
        <v>0.50012299999999998</v>
      </c>
    </row>
    <row r="1231" spans="1:12" ht="15" customHeight="1" x14ac:dyDescent="0.25">
      <c r="A1231" s="10" t="str">
        <f>Raw_Data!A1231</f>
        <v>Havells Instanio 1-Litre 3KW Instant Water Heater (Geyser), White Blue</v>
      </c>
      <c r="B1231" s="10" t="str">
        <f>IFERROR(TRIM(LEFT(Raw_Data!A1231,FIND(" ",Raw_Data!A1231)-1)),Raw_Data!A1231)</f>
        <v>Havells</v>
      </c>
      <c r="C1231" s="10" t="str">
        <f>IFERROR(LEFT(Raw_Data!B1231,FIND("|",Raw_Data!B1231)-1),Raw_Data!B1231)</f>
        <v>Home&amp;Kitchen</v>
      </c>
      <c r="D1231" s="11">
        <f>IFERROR(VALUE(SUBSTITUTE(SUBSTITUTE(TRIM(Raw_Data!C1231),"₹",""),",","")),"")</f>
        <v>2599</v>
      </c>
      <c r="E1231" s="11">
        <f>IFERROR(VALUE(SUBSTITUTE(SUBSTITUTE(TRIM(Raw_Data!D1231),"₹",""),",","")),"")</f>
        <v>4560</v>
      </c>
      <c r="F1231" s="12">
        <f>IFERROR(VALUE(SUBSTITUTE(Raw_Data!E1231,"%",""))/100,"")</f>
        <v>0.43</v>
      </c>
      <c r="G1231" s="13">
        <f>IFERROR(VALUE(Raw_Data!F1231),"")</f>
        <v>4.4000000000000004</v>
      </c>
      <c r="H1231" s="14">
        <f>IFERROR(VALUE(SUBSTITUTE(Raw_Data!G1231,",","")),"")</f>
        <v>646</v>
      </c>
      <c r="I1231" s="11">
        <f t="shared" si="76"/>
        <v>1961</v>
      </c>
      <c r="J1231" s="11">
        <f t="shared" si="77"/>
        <v>1678954</v>
      </c>
      <c r="K1231" s="1">
        <f t="shared" si="78"/>
        <v>646.0001231</v>
      </c>
      <c r="L1231" s="15">
        <f t="shared" si="79"/>
        <v>0.43012309999999998</v>
      </c>
    </row>
    <row r="1232" spans="1:12" ht="15" customHeight="1" x14ac:dyDescent="0.25">
      <c r="A1232" s="10" t="str">
        <f>Raw_Data!A1232</f>
        <v>Lifelong 2-in1 Egg Boiler and Poacher 500-Watt (Transparent and Silver Grey), Boil 8 eggs, Poach 4 eggs, Easy to clean| 3 Boiling Modes, Stainless Steel Body and Heating Plate, Automatic Turn-Off</v>
      </c>
      <c r="B1232" s="10" t="str">
        <f>IFERROR(TRIM(LEFT(Raw_Data!A1232,FIND(" ",Raw_Data!A1232)-1)),Raw_Data!A1232)</f>
        <v>Lifelong</v>
      </c>
      <c r="C1232" s="10" t="str">
        <f>IFERROR(LEFT(Raw_Data!B1232,FIND("|",Raw_Data!B1232)-1),Raw_Data!B1232)</f>
        <v>Home&amp;Kitchen</v>
      </c>
      <c r="D1232" s="11">
        <f>IFERROR(VALUE(SUBSTITUTE(SUBSTITUTE(TRIM(Raw_Data!C1232),"₹",""),",","")),"")</f>
        <v>1199</v>
      </c>
      <c r="E1232" s="11">
        <f>IFERROR(VALUE(SUBSTITUTE(SUBSTITUTE(TRIM(Raw_Data!D1232),"₹",""),",","")),"")</f>
        <v>3500</v>
      </c>
      <c r="F1232" s="12">
        <f>IFERROR(VALUE(SUBSTITUTE(Raw_Data!E1232,"%",""))/100,"")</f>
        <v>0.66</v>
      </c>
      <c r="G1232" s="13">
        <f>IFERROR(VALUE(Raw_Data!F1232),"")</f>
        <v>4.3</v>
      </c>
      <c r="H1232" s="14">
        <f>IFERROR(VALUE(SUBSTITUTE(Raw_Data!G1232,",","")),"")</f>
        <v>1802</v>
      </c>
      <c r="I1232" s="11">
        <f t="shared" si="76"/>
        <v>2301</v>
      </c>
      <c r="J1232" s="11">
        <f t="shared" si="77"/>
        <v>2160598</v>
      </c>
      <c r="K1232" s="1">
        <f t="shared" si="78"/>
        <v>1802.0001232</v>
      </c>
      <c r="L1232" s="15">
        <f t="shared" si="79"/>
        <v>0.66012320000000002</v>
      </c>
    </row>
    <row r="1233" spans="1:12" ht="15" customHeight="1" x14ac:dyDescent="0.25">
      <c r="A1233" s="10" t="str">
        <f>Raw_Data!A1233</f>
        <v>INDIAS®™ Electro-Instant Water Geyser A.B.S. Body Shock Proof Can be Used in Bathroom, Kitchen, wash Area, Hotels, Hospital etc.</v>
      </c>
      <c r="B1233" s="10" t="str">
        <f>IFERROR(TRIM(LEFT(Raw_Data!A1233,FIND(" ",Raw_Data!A1233)-1)),Raw_Data!A1233)</f>
        <v>INDIAS®™</v>
      </c>
      <c r="C1233" s="10" t="str">
        <f>IFERROR(LEFT(Raw_Data!B1233,FIND("|",Raw_Data!B1233)-1),Raw_Data!B1233)</f>
        <v>Home&amp;Kitchen</v>
      </c>
      <c r="D1233" s="11">
        <f>IFERROR(VALUE(SUBSTITUTE(SUBSTITUTE(TRIM(Raw_Data!C1233),"₹",""),",","")),"")</f>
        <v>999</v>
      </c>
      <c r="E1233" s="11">
        <f>IFERROR(VALUE(SUBSTITUTE(SUBSTITUTE(TRIM(Raw_Data!D1233),"₹",""),",","")),"")</f>
        <v>2600</v>
      </c>
      <c r="F1233" s="12">
        <f>IFERROR(VALUE(SUBSTITUTE(Raw_Data!E1233,"%",""))/100,"")</f>
        <v>0.62</v>
      </c>
      <c r="G1233" s="13">
        <f>IFERROR(VALUE(Raw_Data!F1233),"")</f>
        <v>3.4</v>
      </c>
      <c r="H1233" s="14">
        <f>IFERROR(VALUE(SUBSTITUTE(Raw_Data!G1233,",","")),"")</f>
        <v>252</v>
      </c>
      <c r="I1233" s="11">
        <f t="shared" si="76"/>
        <v>1601</v>
      </c>
      <c r="J1233" s="11">
        <f t="shared" si="77"/>
        <v>251748</v>
      </c>
      <c r="K1233" s="1">
        <f t="shared" si="78"/>
        <v>252.00012330000001</v>
      </c>
      <c r="L1233" s="15">
        <f t="shared" si="79"/>
        <v>0.62012330000000004</v>
      </c>
    </row>
    <row r="1234" spans="1:12" ht="15" customHeight="1" x14ac:dyDescent="0.25">
      <c r="A1234" s="10" t="str">
        <f>Raw_Data!A1234</f>
        <v>AmazonBasics Induction Cooktop 1600 Watt (Black)</v>
      </c>
      <c r="B1234" s="10" t="str">
        <f>IFERROR(TRIM(LEFT(Raw_Data!A1234,FIND(" ",Raw_Data!A1234)-1)),Raw_Data!A1234)</f>
        <v>AmazonBasics</v>
      </c>
      <c r="C1234" s="10" t="str">
        <f>IFERROR(LEFT(Raw_Data!B1234,FIND("|",Raw_Data!B1234)-1),Raw_Data!B1234)</f>
        <v>Home&amp;Kitchen</v>
      </c>
      <c r="D1234" s="11">
        <f>IFERROR(VALUE(SUBSTITUTE(SUBSTITUTE(TRIM(Raw_Data!C1234),"₹",""),",","")),"")</f>
        <v>1999</v>
      </c>
      <c r="E1234" s="11">
        <f>IFERROR(VALUE(SUBSTITUTE(SUBSTITUTE(TRIM(Raw_Data!D1234),"₹",""),",","")),"")</f>
        <v>3300</v>
      </c>
      <c r="F1234" s="12">
        <f>IFERROR(VALUE(SUBSTITUTE(Raw_Data!E1234,"%",""))/100,"")</f>
        <v>0.39</v>
      </c>
      <c r="G1234" s="13">
        <f>IFERROR(VALUE(Raw_Data!F1234),"")</f>
        <v>4.2</v>
      </c>
      <c r="H1234" s="14">
        <f>IFERROR(VALUE(SUBSTITUTE(Raw_Data!G1234,",","")),"")</f>
        <v>780</v>
      </c>
      <c r="I1234" s="11">
        <f t="shared" si="76"/>
        <v>1301</v>
      </c>
      <c r="J1234" s="11">
        <f t="shared" si="77"/>
        <v>1559220</v>
      </c>
      <c r="K1234" s="1">
        <f t="shared" si="78"/>
        <v>780.00012340000001</v>
      </c>
      <c r="L1234" s="15">
        <f t="shared" si="79"/>
        <v>0.39012340000000001</v>
      </c>
    </row>
    <row r="1235" spans="1:12" ht="15" customHeight="1" x14ac:dyDescent="0.25">
      <c r="A1235" s="10" t="str">
        <f>Raw_Data!A1235</f>
        <v>Sui Generis Electric Handheld Milk Wand Mixer Frother for Latte Coffee Hot Milk, Milk Frother, Electric Coffee Beater, Egg Beater, Latte Maker, Mini Hand Blender Cappuccino Maker (Multicolor)</v>
      </c>
      <c r="B1235" s="10" t="str">
        <f>IFERROR(TRIM(LEFT(Raw_Data!A1235,FIND(" ",Raw_Data!A1235)-1)),Raw_Data!A1235)</f>
        <v>Sui</v>
      </c>
      <c r="C1235" s="10" t="str">
        <f>IFERROR(LEFT(Raw_Data!B1235,FIND("|",Raw_Data!B1235)-1),Raw_Data!B1235)</f>
        <v>Home&amp;Kitchen</v>
      </c>
      <c r="D1235" s="11">
        <f>IFERROR(VALUE(SUBSTITUTE(SUBSTITUTE(TRIM(Raw_Data!C1235),"₹",""),",","")),"")</f>
        <v>210</v>
      </c>
      <c r="E1235" s="11">
        <f>IFERROR(VALUE(SUBSTITUTE(SUBSTITUTE(TRIM(Raw_Data!D1235),"₹",""),",","")),"")</f>
        <v>699</v>
      </c>
      <c r="F1235" s="12">
        <f>IFERROR(VALUE(SUBSTITUTE(Raw_Data!E1235,"%",""))/100,"")</f>
        <v>0.7</v>
      </c>
      <c r="G1235" s="13">
        <f>IFERROR(VALUE(Raw_Data!F1235),"")</f>
        <v>3.7</v>
      </c>
      <c r="H1235" s="14">
        <f>IFERROR(VALUE(SUBSTITUTE(Raw_Data!G1235,",","")),"")</f>
        <v>74</v>
      </c>
      <c r="I1235" s="11">
        <f t="shared" si="76"/>
        <v>489</v>
      </c>
      <c r="J1235" s="11">
        <f t="shared" si="77"/>
        <v>15540</v>
      </c>
      <c r="K1235" s="1">
        <f t="shared" si="78"/>
        <v>74.000123500000001</v>
      </c>
      <c r="L1235" s="15">
        <f t="shared" si="79"/>
        <v>0.70012350000000001</v>
      </c>
    </row>
    <row r="1236" spans="1:12" ht="15" customHeight="1" x14ac:dyDescent="0.25">
      <c r="A1236" s="10" t="str">
        <f>Raw_Data!A1236</f>
        <v>Philips Air Purifier Ac2887/20,Vitashield Intelligent Purification,Long Hepa Filter Life Upto 17000 Hours,Removes 99.9% Airborne Viruses &amp; Bacteria,99.97% Airborne Pollutants,Ideal For Master Bedroom</v>
      </c>
      <c r="B1236" s="10" t="str">
        <f>IFERROR(TRIM(LEFT(Raw_Data!A1236,FIND(" ",Raw_Data!A1236)-1)),Raw_Data!A1236)</f>
        <v>Philips</v>
      </c>
      <c r="C1236" s="10" t="str">
        <f>IFERROR(LEFT(Raw_Data!B1236,FIND("|",Raw_Data!B1236)-1),Raw_Data!B1236)</f>
        <v>Home&amp;Kitchen</v>
      </c>
      <c r="D1236" s="11">
        <f>IFERROR(VALUE(SUBSTITUTE(SUBSTITUTE(TRIM(Raw_Data!C1236),"₹",""),",","")),"")</f>
        <v>14499</v>
      </c>
      <c r="E1236" s="11">
        <f>IFERROR(VALUE(SUBSTITUTE(SUBSTITUTE(TRIM(Raw_Data!D1236),"₹",""),",","")),"")</f>
        <v>23559</v>
      </c>
      <c r="F1236" s="12">
        <f>IFERROR(VALUE(SUBSTITUTE(Raw_Data!E1236,"%",""))/100,"")</f>
        <v>0.38</v>
      </c>
      <c r="G1236" s="13">
        <f>IFERROR(VALUE(Raw_Data!F1236),"")</f>
        <v>4.3</v>
      </c>
      <c r="H1236" s="14">
        <f>IFERROR(VALUE(SUBSTITUTE(Raw_Data!G1236,",","")),"")</f>
        <v>2026</v>
      </c>
      <c r="I1236" s="11">
        <f t="shared" si="76"/>
        <v>9060</v>
      </c>
      <c r="J1236" s="11">
        <f t="shared" si="77"/>
        <v>29374974</v>
      </c>
      <c r="K1236" s="1">
        <f t="shared" si="78"/>
        <v>2026.0001236000001</v>
      </c>
      <c r="L1236" s="15">
        <f t="shared" si="79"/>
        <v>0.38012360000000001</v>
      </c>
    </row>
    <row r="1237" spans="1:12" ht="15" customHeight="1" x14ac:dyDescent="0.25">
      <c r="A1237" s="10" t="str">
        <f>Raw_Data!A1237</f>
        <v>Esquire Laundry Basket Brown, 50 Ltr Capacity(Plastic)</v>
      </c>
      <c r="B1237" s="10" t="str">
        <f>IFERROR(TRIM(LEFT(Raw_Data!A1237,FIND(" ",Raw_Data!A1237)-1)),Raw_Data!A1237)</f>
        <v>Esquire</v>
      </c>
      <c r="C1237" s="10" t="str">
        <f>IFERROR(LEFT(Raw_Data!B1237,FIND("|",Raw_Data!B1237)-1),Raw_Data!B1237)</f>
        <v>Home&amp;Kitchen</v>
      </c>
      <c r="D1237" s="11">
        <f>IFERROR(VALUE(SUBSTITUTE(SUBSTITUTE(TRIM(Raw_Data!C1237),"₹",""),",","")),"")</f>
        <v>950</v>
      </c>
      <c r="E1237" s="11">
        <f>IFERROR(VALUE(SUBSTITUTE(SUBSTITUTE(TRIM(Raw_Data!D1237),"₹",""),",","")),"")</f>
        <v>1599</v>
      </c>
      <c r="F1237" s="12">
        <f>IFERROR(VALUE(SUBSTITUTE(Raw_Data!E1237,"%",""))/100,"")</f>
        <v>0.41</v>
      </c>
      <c r="G1237" s="13">
        <f>IFERROR(VALUE(Raw_Data!F1237),"")</f>
        <v>4.3</v>
      </c>
      <c r="H1237" s="14">
        <f>IFERROR(VALUE(SUBSTITUTE(Raw_Data!G1237,",","")),"")</f>
        <v>5911</v>
      </c>
      <c r="I1237" s="11">
        <f t="shared" si="76"/>
        <v>649</v>
      </c>
      <c r="J1237" s="11">
        <f t="shared" si="77"/>
        <v>5615450</v>
      </c>
      <c r="K1237" s="1">
        <f t="shared" si="78"/>
        <v>5911.0001236999997</v>
      </c>
      <c r="L1237" s="15">
        <f t="shared" si="79"/>
        <v>0.41012369999999998</v>
      </c>
    </row>
    <row r="1238" spans="1:12" ht="15" customHeight="1" x14ac:dyDescent="0.25">
      <c r="A1238" s="10" t="str">
        <f>Raw_Data!A1238</f>
        <v>PHILIPS Air Fryer HD9200/90, uses up to 90% less fat, 1400W, 4.1 Liter, with Rapid Air Technology (Black), Large</v>
      </c>
      <c r="B1238" s="10" t="str">
        <f>IFERROR(TRIM(LEFT(Raw_Data!A1238,FIND(" ",Raw_Data!A1238)-1)),Raw_Data!A1238)</f>
        <v>PHILIPS</v>
      </c>
      <c r="C1238" s="10" t="str">
        <f>IFERROR(LEFT(Raw_Data!B1238,FIND("|",Raw_Data!B1238)-1),Raw_Data!B1238)</f>
        <v>Home&amp;Kitchen</v>
      </c>
      <c r="D1238" s="11">
        <f>IFERROR(VALUE(SUBSTITUTE(SUBSTITUTE(TRIM(Raw_Data!C1238),"₹",""),",","")),"")</f>
        <v>7199</v>
      </c>
      <c r="E1238" s="11">
        <f>IFERROR(VALUE(SUBSTITUTE(SUBSTITUTE(TRIM(Raw_Data!D1238),"₹",""),",","")),"")</f>
        <v>9995</v>
      </c>
      <c r="F1238" s="12">
        <f>IFERROR(VALUE(SUBSTITUTE(Raw_Data!E1238,"%",""))/100,"")</f>
        <v>0.28000000000000003</v>
      </c>
      <c r="G1238" s="13">
        <f>IFERROR(VALUE(Raw_Data!F1238),"")</f>
        <v>4.4000000000000004</v>
      </c>
      <c r="H1238" s="14">
        <f>IFERROR(VALUE(SUBSTITUTE(Raw_Data!G1238,",","")),"")</f>
        <v>1964</v>
      </c>
      <c r="I1238" s="11">
        <f t="shared" si="76"/>
        <v>2796</v>
      </c>
      <c r="J1238" s="11">
        <f t="shared" si="77"/>
        <v>14138836</v>
      </c>
      <c r="K1238" s="1">
        <f t="shared" si="78"/>
        <v>1964.0001238</v>
      </c>
      <c r="L1238" s="15">
        <f t="shared" si="79"/>
        <v>0.28012380000000003</v>
      </c>
    </row>
    <row r="1239" spans="1:12" ht="15" customHeight="1" x14ac:dyDescent="0.25">
      <c r="A1239" s="10" t="str">
        <f>Raw_Data!A1239</f>
        <v>Havells Bero Quartz Heater Black 800w 2 Heat Settings 2 Year Product Warranty</v>
      </c>
      <c r="B1239" s="10" t="str">
        <f>IFERROR(TRIM(LEFT(Raw_Data!A1239,FIND(" ",Raw_Data!A1239)-1)),Raw_Data!A1239)</f>
        <v>Havells</v>
      </c>
      <c r="C1239" s="10" t="str">
        <f>IFERROR(LEFT(Raw_Data!B1239,FIND("|",Raw_Data!B1239)-1),Raw_Data!B1239)</f>
        <v>Home&amp;Kitchen</v>
      </c>
      <c r="D1239" s="11">
        <f>IFERROR(VALUE(SUBSTITUTE(SUBSTITUTE(TRIM(Raw_Data!C1239),"₹",""),",","")),"")</f>
        <v>2439</v>
      </c>
      <c r="E1239" s="11">
        <f>IFERROR(VALUE(SUBSTITUTE(SUBSTITUTE(TRIM(Raw_Data!D1239),"₹",""),",","")),"")</f>
        <v>2545</v>
      </c>
      <c r="F1239" s="12">
        <f>IFERROR(VALUE(SUBSTITUTE(Raw_Data!E1239,"%",""))/100,"")</f>
        <v>0.04</v>
      </c>
      <c r="G1239" s="13">
        <f>IFERROR(VALUE(Raw_Data!F1239),"")</f>
        <v>4.0999999999999996</v>
      </c>
      <c r="H1239" s="14">
        <f>IFERROR(VALUE(SUBSTITUTE(Raw_Data!G1239,",","")),"")</f>
        <v>25</v>
      </c>
      <c r="I1239" s="11">
        <f t="shared" si="76"/>
        <v>106</v>
      </c>
      <c r="J1239" s="11">
        <f t="shared" si="77"/>
        <v>60975</v>
      </c>
      <c r="K1239" s="1">
        <f t="shared" si="78"/>
        <v>25.000123899999998</v>
      </c>
      <c r="L1239" s="15">
        <f t="shared" si="79"/>
        <v>4.0123900000000004E-2</v>
      </c>
    </row>
    <row r="1240" spans="1:12" ht="15" customHeight="1" x14ac:dyDescent="0.25">
      <c r="A1240" s="10" t="str">
        <f>Raw_Data!A1240</f>
        <v>Philips EasyTouch Plus Standing Garment Steamer GC523/60 - 1600 Watt, 5 Steam Settings, Up to 32 g/min steam, with Double Pole</v>
      </c>
      <c r="B1240" s="10" t="str">
        <f>IFERROR(TRIM(LEFT(Raw_Data!A1240,FIND(" ",Raw_Data!A1240)-1)),Raw_Data!A1240)</f>
        <v>Philips</v>
      </c>
      <c r="C1240" s="10" t="str">
        <f>IFERROR(LEFT(Raw_Data!B1240,FIND("|",Raw_Data!B1240)-1),Raw_Data!B1240)</f>
        <v>Home&amp;Kitchen</v>
      </c>
      <c r="D1240" s="11">
        <f>IFERROR(VALUE(SUBSTITUTE(SUBSTITUTE(TRIM(Raw_Data!C1240),"₹",""),",","")),"")</f>
        <v>7799</v>
      </c>
      <c r="E1240" s="11">
        <f>IFERROR(VALUE(SUBSTITUTE(SUBSTITUTE(TRIM(Raw_Data!D1240),"₹",""),",","")),"")</f>
        <v>8995</v>
      </c>
      <c r="F1240" s="12">
        <f>IFERROR(VALUE(SUBSTITUTE(Raw_Data!E1240,"%",""))/100,"")</f>
        <v>0.13</v>
      </c>
      <c r="G1240" s="13">
        <f>IFERROR(VALUE(Raw_Data!F1240),"")</f>
        <v>4</v>
      </c>
      <c r="H1240" s="14">
        <f>IFERROR(VALUE(SUBSTITUTE(Raw_Data!G1240,",","")),"")</f>
        <v>3160</v>
      </c>
      <c r="I1240" s="11">
        <f t="shared" si="76"/>
        <v>1196</v>
      </c>
      <c r="J1240" s="11">
        <f t="shared" si="77"/>
        <v>24644840</v>
      </c>
      <c r="K1240" s="1">
        <f t="shared" si="78"/>
        <v>3160.0001240000001</v>
      </c>
      <c r="L1240" s="15">
        <f t="shared" si="79"/>
        <v>0.13012400000000002</v>
      </c>
    </row>
    <row r="1241" spans="1:12" ht="15" customHeight="1" x14ac:dyDescent="0.25">
      <c r="A1241" s="10" t="str">
        <f>Raw_Data!A1241</f>
        <v>Brayden Chopro, Electric Vegetable Chopper for Kitchen with 500 ML Capacity, 400 Watts Copper Motor and 4 Bi-Level SS Blades (Black)</v>
      </c>
      <c r="B1241" s="10" t="str">
        <f>IFERROR(TRIM(LEFT(Raw_Data!A1241,FIND(" ",Raw_Data!A1241)-1)),Raw_Data!A1241)</f>
        <v>Brayden</v>
      </c>
      <c r="C1241" s="10" t="str">
        <f>IFERROR(LEFT(Raw_Data!B1241,FIND("|",Raw_Data!B1241)-1),Raw_Data!B1241)</f>
        <v>Home&amp;Kitchen</v>
      </c>
      <c r="D1241" s="11">
        <f>IFERROR(VALUE(SUBSTITUTE(SUBSTITUTE(TRIM(Raw_Data!C1241),"₹",""),",","")),"")</f>
        <v>1599</v>
      </c>
      <c r="E1241" s="11">
        <f>IFERROR(VALUE(SUBSTITUTE(SUBSTITUTE(TRIM(Raw_Data!D1241),"₹",""),",","")),"")</f>
        <v>1999</v>
      </c>
      <c r="F1241" s="12">
        <f>IFERROR(VALUE(SUBSTITUTE(Raw_Data!E1241,"%",""))/100,"")</f>
        <v>0.2</v>
      </c>
      <c r="G1241" s="13">
        <f>IFERROR(VALUE(Raw_Data!F1241),"")</f>
        <v>4.4000000000000004</v>
      </c>
      <c r="H1241" s="14">
        <f>IFERROR(VALUE(SUBSTITUTE(Raw_Data!G1241,",","")),"")</f>
        <v>1558</v>
      </c>
      <c r="I1241" s="11">
        <f t="shared" si="76"/>
        <v>400</v>
      </c>
      <c r="J1241" s="11">
        <f t="shared" si="77"/>
        <v>2491242</v>
      </c>
      <c r="K1241" s="1">
        <f t="shared" si="78"/>
        <v>1558.0001241</v>
      </c>
      <c r="L1241" s="15">
        <f t="shared" si="79"/>
        <v>0.2001241</v>
      </c>
    </row>
    <row r="1242" spans="1:12" ht="15" customHeight="1" x14ac:dyDescent="0.25">
      <c r="A1242" s="10" t="str">
        <f>Raw_Data!A1242</f>
        <v>Wonderchef Nutri-blend Mixer, Grinder &amp; Blender | Powerful 400W 22000 RPM motor | Stainless steel Blades | 3 unbreakable jars | 2 Years warranty | Online recipe book by Chef Sanjeev Kapoor | Black</v>
      </c>
      <c r="B1242" s="10" t="str">
        <f>IFERROR(TRIM(LEFT(Raw_Data!A1242,FIND(" ",Raw_Data!A1242)-1)),Raw_Data!A1242)</f>
        <v>Wonderchef</v>
      </c>
      <c r="C1242" s="10" t="str">
        <f>IFERROR(LEFT(Raw_Data!B1242,FIND("|",Raw_Data!B1242)-1),Raw_Data!B1242)</f>
        <v>Home&amp;Kitchen</v>
      </c>
      <c r="D1242" s="11">
        <f>IFERROR(VALUE(SUBSTITUTE(SUBSTITUTE(TRIM(Raw_Data!C1242),"₹",""),",","")),"")</f>
        <v>2899</v>
      </c>
      <c r="E1242" s="11">
        <f>IFERROR(VALUE(SUBSTITUTE(SUBSTITUTE(TRIM(Raw_Data!D1242),"₹",""),",","")),"")</f>
        <v>5500</v>
      </c>
      <c r="F1242" s="12">
        <f>IFERROR(VALUE(SUBSTITUTE(Raw_Data!E1242,"%",""))/100,"")</f>
        <v>0.47</v>
      </c>
      <c r="G1242" s="13">
        <f>IFERROR(VALUE(Raw_Data!F1242),"")</f>
        <v>3.8</v>
      </c>
      <c r="H1242" s="14">
        <f>IFERROR(VALUE(SUBSTITUTE(Raw_Data!G1242,",","")),"")</f>
        <v>8958</v>
      </c>
      <c r="I1242" s="11">
        <f t="shared" si="76"/>
        <v>2601</v>
      </c>
      <c r="J1242" s="11">
        <f t="shared" si="77"/>
        <v>25969242</v>
      </c>
      <c r="K1242" s="1">
        <f t="shared" si="78"/>
        <v>8958.0001241999998</v>
      </c>
      <c r="L1242" s="15">
        <f t="shared" si="79"/>
        <v>0.47012419999999999</v>
      </c>
    </row>
    <row r="1243" spans="1:12" ht="15" customHeight="1" x14ac:dyDescent="0.25">
      <c r="A1243" s="10" t="str">
        <f>Raw_Data!A1243</f>
        <v>Usha Janome Dream Stitch Automatic Zig-Zag Electric Sewing Machine with 14 Stitch Function (White and Blue) with Free Sewing KIT Worth RS 500</v>
      </c>
      <c r="B1243" s="10" t="str">
        <f>IFERROR(TRIM(LEFT(Raw_Data!A1243,FIND(" ",Raw_Data!A1243)-1)),Raw_Data!A1243)</f>
        <v>Usha</v>
      </c>
      <c r="C1243" s="10" t="str">
        <f>IFERROR(LEFT(Raw_Data!B1243,FIND("|",Raw_Data!B1243)-1),Raw_Data!B1243)</f>
        <v>Home&amp;Kitchen</v>
      </c>
      <c r="D1243" s="11">
        <f>IFERROR(VALUE(SUBSTITUTE(SUBSTITUTE(TRIM(Raw_Data!C1243),"₹",""),",","")),"")</f>
        <v>9799</v>
      </c>
      <c r="E1243" s="11">
        <f>IFERROR(VALUE(SUBSTITUTE(SUBSTITUTE(TRIM(Raw_Data!D1243),"₹",""),",","")),"")</f>
        <v>12150</v>
      </c>
      <c r="F1243" s="12">
        <f>IFERROR(VALUE(SUBSTITUTE(Raw_Data!E1243,"%",""))/100,"")</f>
        <v>0.19</v>
      </c>
      <c r="G1243" s="13">
        <f>IFERROR(VALUE(Raw_Data!F1243),"")</f>
        <v>4.3</v>
      </c>
      <c r="H1243" s="14">
        <f>IFERROR(VALUE(SUBSTITUTE(Raw_Data!G1243,",","")),"")</f>
        <v>13251</v>
      </c>
      <c r="I1243" s="11">
        <f t="shared" si="76"/>
        <v>2351</v>
      </c>
      <c r="J1243" s="11">
        <f t="shared" si="77"/>
        <v>129846549</v>
      </c>
      <c r="K1243" s="1">
        <f t="shared" si="78"/>
        <v>13251.000124300001</v>
      </c>
      <c r="L1243" s="15">
        <f t="shared" si="79"/>
        <v>0.1901243</v>
      </c>
    </row>
    <row r="1244" spans="1:12" ht="15" customHeight="1" x14ac:dyDescent="0.25">
      <c r="A1244" s="10" t="str">
        <f>Raw_Data!A1244</f>
        <v>Black+Decker Handheld Portable Garment Steamer 1500 Watts with Anti Calc (Violet)</v>
      </c>
      <c r="B1244" s="10" t="str">
        <f>IFERROR(TRIM(LEFT(Raw_Data!A1244,FIND(" ",Raw_Data!A1244)-1)),Raw_Data!A1244)</f>
        <v>Black+Decker</v>
      </c>
      <c r="C1244" s="10" t="str">
        <f>IFERROR(LEFT(Raw_Data!B1244,FIND("|",Raw_Data!B1244)-1),Raw_Data!B1244)</f>
        <v>Home&amp;Kitchen</v>
      </c>
      <c r="D1244" s="11">
        <f>IFERROR(VALUE(SUBSTITUTE(SUBSTITUTE(TRIM(Raw_Data!C1244),"₹",""),",","")),"")</f>
        <v>3299</v>
      </c>
      <c r="E1244" s="11">
        <f>IFERROR(VALUE(SUBSTITUTE(SUBSTITUTE(TRIM(Raw_Data!D1244),"₹",""),",","")),"")</f>
        <v>4995</v>
      </c>
      <c r="F1244" s="12">
        <f>IFERROR(VALUE(SUBSTITUTE(Raw_Data!E1244,"%",""))/100,"")</f>
        <v>0.34</v>
      </c>
      <c r="G1244" s="13">
        <f>IFERROR(VALUE(Raw_Data!F1244),"")</f>
        <v>3.8</v>
      </c>
      <c r="H1244" s="14">
        <f>IFERROR(VALUE(SUBSTITUTE(Raw_Data!G1244,",","")),"")</f>
        <v>1393</v>
      </c>
      <c r="I1244" s="11">
        <f t="shared" si="76"/>
        <v>1696</v>
      </c>
      <c r="J1244" s="11">
        <f t="shared" si="77"/>
        <v>4595507</v>
      </c>
      <c r="K1244" s="1">
        <f t="shared" si="78"/>
        <v>1393.0001244</v>
      </c>
      <c r="L1244" s="15">
        <f t="shared" si="79"/>
        <v>0.34012440000000005</v>
      </c>
    </row>
    <row r="1245" spans="1:12" ht="15" customHeight="1" x14ac:dyDescent="0.25">
      <c r="A1245" s="10" t="str">
        <f>Raw_Data!A1245</f>
        <v>Personal Size Blender, Portable Blender, Battery Powered USB Blender, with Four Blades, Mini Blender Travel Bottle for Juice, Shakes, and Smoothies (Pink)</v>
      </c>
      <c r="B1245" s="10" t="str">
        <f>IFERROR(TRIM(LEFT(Raw_Data!A1245,FIND(" ",Raw_Data!A1245)-1)),Raw_Data!A1245)</f>
        <v>Personal</v>
      </c>
      <c r="C1245" s="10" t="str">
        <f>IFERROR(LEFT(Raw_Data!B1245,FIND("|",Raw_Data!B1245)-1),Raw_Data!B1245)</f>
        <v>Home&amp;Kitchen</v>
      </c>
      <c r="D1245" s="11">
        <f>IFERROR(VALUE(SUBSTITUTE(SUBSTITUTE(TRIM(Raw_Data!C1245),"₹",""),",","")),"")</f>
        <v>669</v>
      </c>
      <c r="E1245" s="11">
        <f>IFERROR(VALUE(SUBSTITUTE(SUBSTITUTE(TRIM(Raw_Data!D1245),"₹",""),",","")),"")</f>
        <v>1499</v>
      </c>
      <c r="F1245" s="12">
        <f>IFERROR(VALUE(SUBSTITUTE(Raw_Data!E1245,"%",""))/100,"")</f>
        <v>0.55000000000000004</v>
      </c>
      <c r="G1245" s="13">
        <f>IFERROR(VALUE(Raw_Data!F1245),"")</f>
        <v>2.2999999999999998</v>
      </c>
      <c r="H1245" s="14">
        <f>IFERROR(VALUE(SUBSTITUTE(Raw_Data!G1245,",","")),"")</f>
        <v>13</v>
      </c>
      <c r="I1245" s="11">
        <f t="shared" si="76"/>
        <v>830</v>
      </c>
      <c r="J1245" s="11">
        <f t="shared" si="77"/>
        <v>8697</v>
      </c>
      <c r="K1245" s="1">
        <f t="shared" si="78"/>
        <v>13.0001245</v>
      </c>
      <c r="L1245" s="15">
        <f t="shared" si="79"/>
        <v>0.55012450000000002</v>
      </c>
    </row>
    <row r="1246" spans="1:12" ht="15" customHeight="1" x14ac:dyDescent="0.25">
      <c r="A1246" s="10" t="str">
        <f>Raw_Data!A1246</f>
        <v>Sujata Powermatic Plus 900 Watts Juicer Mixer Grinder</v>
      </c>
      <c r="B1246" s="10" t="str">
        <f>IFERROR(TRIM(LEFT(Raw_Data!A1246,FIND(" ",Raw_Data!A1246)-1)),Raw_Data!A1246)</f>
        <v>Sujata</v>
      </c>
      <c r="C1246" s="10" t="str">
        <f>IFERROR(LEFT(Raw_Data!B1246,FIND("|",Raw_Data!B1246)-1),Raw_Data!B1246)</f>
        <v>Home&amp;Kitchen</v>
      </c>
      <c r="D1246" s="11">
        <f>IFERROR(VALUE(SUBSTITUTE(SUBSTITUTE(TRIM(Raw_Data!C1246),"₹",""),",","")),"")</f>
        <v>5890</v>
      </c>
      <c r="E1246" s="11">
        <f>IFERROR(VALUE(SUBSTITUTE(SUBSTITUTE(TRIM(Raw_Data!D1246),"₹",""),",","")),"")</f>
        <v>7506</v>
      </c>
      <c r="F1246" s="12">
        <f>IFERROR(VALUE(SUBSTITUTE(Raw_Data!E1246,"%",""))/100,"")</f>
        <v>0.22</v>
      </c>
      <c r="G1246" s="13">
        <f>IFERROR(VALUE(Raw_Data!F1246),"")</f>
        <v>4.5</v>
      </c>
      <c r="H1246" s="14">
        <f>IFERROR(VALUE(SUBSTITUTE(Raw_Data!G1246,",","")),"")</f>
        <v>7241</v>
      </c>
      <c r="I1246" s="11">
        <f t="shared" si="76"/>
        <v>1616</v>
      </c>
      <c r="J1246" s="11">
        <f t="shared" si="77"/>
        <v>42649490</v>
      </c>
      <c r="K1246" s="1">
        <f t="shared" si="78"/>
        <v>7241.0001246000002</v>
      </c>
      <c r="L1246" s="15">
        <f t="shared" si="79"/>
        <v>0.2201246</v>
      </c>
    </row>
    <row r="1247" spans="1:12" ht="15" customHeight="1" x14ac:dyDescent="0.25">
      <c r="A1247" s="10" t="str">
        <f>Raw_Data!A1247</f>
        <v>Sure From Aquaguard Delight NXT RO+UV+UF+Taste Adjuster(MTDS),6L water purifier,8 stages purification,Suitable for borewell,tanker,municipal water(Black) from Eureka Forbes</v>
      </c>
      <c r="B1247" s="10" t="str">
        <f>IFERROR(TRIM(LEFT(Raw_Data!A1247,FIND(" ",Raw_Data!A1247)-1)),Raw_Data!A1247)</f>
        <v>Sure</v>
      </c>
      <c r="C1247" s="10" t="str">
        <f>IFERROR(LEFT(Raw_Data!B1247,FIND("|",Raw_Data!B1247)-1),Raw_Data!B1247)</f>
        <v>Home&amp;Kitchen</v>
      </c>
      <c r="D1247" s="11">
        <f>IFERROR(VALUE(SUBSTITUTE(SUBSTITUTE(TRIM(Raw_Data!C1247),"₹",""),",","")),"")</f>
        <v>9199</v>
      </c>
      <c r="E1247" s="11">
        <f>IFERROR(VALUE(SUBSTITUTE(SUBSTITUTE(TRIM(Raw_Data!D1247),"₹",""),",","")),"")</f>
        <v>18000</v>
      </c>
      <c r="F1247" s="12">
        <f>IFERROR(VALUE(SUBSTITUTE(Raw_Data!E1247,"%",""))/100,"")</f>
        <v>0.49</v>
      </c>
      <c r="G1247" s="13">
        <f>IFERROR(VALUE(Raw_Data!F1247),"")</f>
        <v>4</v>
      </c>
      <c r="H1247" s="14">
        <f>IFERROR(VALUE(SUBSTITUTE(Raw_Data!G1247,",","")),"")</f>
        <v>16020</v>
      </c>
      <c r="I1247" s="11">
        <f t="shared" si="76"/>
        <v>8801</v>
      </c>
      <c r="J1247" s="11">
        <f t="shared" si="77"/>
        <v>147367980</v>
      </c>
      <c r="K1247" s="1">
        <f t="shared" si="78"/>
        <v>16020.0001247</v>
      </c>
      <c r="L1247" s="15">
        <f t="shared" si="79"/>
        <v>0.49012469999999997</v>
      </c>
    </row>
    <row r="1248" spans="1:12" ht="15" customHeight="1" x14ac:dyDescent="0.25">
      <c r="A1248" s="10" t="str">
        <f>Raw_Data!A1248</f>
        <v>PrettyKrafts Laundry Basket for clothes with Lid &amp; Handles, Toys Organiser, 75 Ltr Grey</v>
      </c>
      <c r="B1248" s="10" t="str">
        <f>IFERROR(TRIM(LEFT(Raw_Data!A1248,FIND(" ",Raw_Data!A1248)-1)),Raw_Data!A1248)</f>
        <v>PrettyKrafts</v>
      </c>
      <c r="C1248" s="10" t="str">
        <f>IFERROR(LEFT(Raw_Data!B1248,FIND("|",Raw_Data!B1248)-1),Raw_Data!B1248)</f>
        <v>Home&amp;Kitchen</v>
      </c>
      <c r="D1248" s="11">
        <f>IFERROR(VALUE(SUBSTITUTE(SUBSTITUTE(TRIM(Raw_Data!C1248),"₹",""),",","")),"")</f>
        <v>351</v>
      </c>
      <c r="E1248" s="11">
        <f>IFERROR(VALUE(SUBSTITUTE(SUBSTITUTE(TRIM(Raw_Data!D1248),"₹",""),",","")),"")</f>
        <v>1099</v>
      </c>
      <c r="F1248" s="12">
        <f>IFERROR(VALUE(SUBSTITUTE(Raw_Data!E1248,"%",""))/100,"")</f>
        <v>0.68</v>
      </c>
      <c r="G1248" s="13">
        <f>IFERROR(VALUE(Raw_Data!F1248),"")</f>
        <v>3.7</v>
      </c>
      <c r="H1248" s="14">
        <f>IFERROR(VALUE(SUBSTITUTE(Raw_Data!G1248,",","")),"")</f>
        <v>1470</v>
      </c>
      <c r="I1248" s="11">
        <f t="shared" si="76"/>
        <v>748</v>
      </c>
      <c r="J1248" s="11">
        <f t="shared" si="77"/>
        <v>515970</v>
      </c>
      <c r="K1248" s="1">
        <f t="shared" si="78"/>
        <v>1470.0001248000001</v>
      </c>
      <c r="L1248" s="15">
        <f t="shared" si="79"/>
        <v>0.68012480000000008</v>
      </c>
    </row>
    <row r="1249" spans="1:12" ht="15" customHeight="1" x14ac:dyDescent="0.25">
      <c r="A1249" s="10" t="str">
        <f>Raw_Data!A1249</f>
        <v>Dr Trust Electronic Kitchen Digital Scale Weighing Machine (Blue)</v>
      </c>
      <c r="B1249" s="10" t="str">
        <f>IFERROR(TRIM(LEFT(Raw_Data!A1249,FIND(" ",Raw_Data!A1249)-1)),Raw_Data!A1249)</f>
        <v>Dr</v>
      </c>
      <c r="C1249" s="10" t="str">
        <f>IFERROR(LEFT(Raw_Data!B1249,FIND("|",Raw_Data!B1249)-1),Raw_Data!B1249)</f>
        <v>Health&amp;PersonalCare</v>
      </c>
      <c r="D1249" s="11">
        <f>IFERROR(VALUE(SUBSTITUTE(SUBSTITUTE(TRIM(Raw_Data!C1249),"₹",""),",","")),"")</f>
        <v>899</v>
      </c>
      <c r="E1249" s="11">
        <f>IFERROR(VALUE(SUBSTITUTE(SUBSTITUTE(TRIM(Raw_Data!D1249),"₹",""),",","")),"")</f>
        <v>1900</v>
      </c>
      <c r="F1249" s="12">
        <f>IFERROR(VALUE(SUBSTITUTE(Raw_Data!E1249,"%",""))/100,"")</f>
        <v>0.53</v>
      </c>
      <c r="G1249" s="13">
        <f>IFERROR(VALUE(Raw_Data!F1249),"")</f>
        <v>4</v>
      </c>
      <c r="H1249" s="14">
        <f>IFERROR(VALUE(SUBSTITUTE(Raw_Data!G1249,",","")),"")</f>
        <v>3663</v>
      </c>
      <c r="I1249" s="11">
        <f t="shared" si="76"/>
        <v>1001</v>
      </c>
      <c r="J1249" s="11">
        <f t="shared" si="77"/>
        <v>3293037</v>
      </c>
      <c r="K1249" s="1">
        <f t="shared" si="78"/>
        <v>3663.0001249000002</v>
      </c>
      <c r="L1249" s="15">
        <f t="shared" si="79"/>
        <v>0.53012490000000001</v>
      </c>
    </row>
    <row r="1250" spans="1:12" ht="15" customHeight="1" x14ac:dyDescent="0.25">
      <c r="A1250" s="10" t="str">
        <f>Raw_Data!A1250</f>
        <v>Tesora - Inspired by you Large Premium Electric Kettle 1.8L, Stainless Steel Inner Body - Auto Power Cut, Boil Dry Protection &amp; Cool Touch Double Wall, Portable | 1500 Watts |1 Year Warranty | (White)</v>
      </c>
      <c r="B1250" s="10" t="str">
        <f>IFERROR(TRIM(LEFT(Raw_Data!A1250,FIND(" ",Raw_Data!A1250)-1)),Raw_Data!A1250)</f>
        <v>Tesora</v>
      </c>
      <c r="C1250" s="10" t="str">
        <f>IFERROR(LEFT(Raw_Data!B1250,FIND("|",Raw_Data!B1250)-1),Raw_Data!B1250)</f>
        <v>Home&amp;Kitchen</v>
      </c>
      <c r="D1250" s="11">
        <f>IFERROR(VALUE(SUBSTITUTE(SUBSTITUTE(TRIM(Raw_Data!C1250),"₹",""),",","")),"")</f>
        <v>1349</v>
      </c>
      <c r="E1250" s="11">
        <f>IFERROR(VALUE(SUBSTITUTE(SUBSTITUTE(TRIM(Raw_Data!D1250),"₹",""),",","")),"")</f>
        <v>1850</v>
      </c>
      <c r="F1250" s="12">
        <f>IFERROR(VALUE(SUBSTITUTE(Raw_Data!E1250,"%",""))/100,"")</f>
        <v>0.27</v>
      </c>
      <c r="G1250" s="13">
        <f>IFERROR(VALUE(Raw_Data!F1250),"")</f>
        <v>4.4000000000000004</v>
      </c>
      <c r="H1250" s="14">
        <f>IFERROR(VALUE(SUBSTITUTE(Raw_Data!G1250,",","")),"")</f>
        <v>638</v>
      </c>
      <c r="I1250" s="11">
        <f t="shared" si="76"/>
        <v>501</v>
      </c>
      <c r="J1250" s="11">
        <f t="shared" si="77"/>
        <v>860662</v>
      </c>
      <c r="K1250" s="1">
        <f t="shared" si="78"/>
        <v>638.00012500000003</v>
      </c>
      <c r="L1250" s="15">
        <f t="shared" si="79"/>
        <v>0.270125</v>
      </c>
    </row>
    <row r="1251" spans="1:12" ht="15" customHeight="1" x14ac:dyDescent="0.25">
      <c r="A1251" s="10" t="str">
        <f>Raw_Data!A1251</f>
        <v>AGARO Ace 1600 Watts, 21.5 kPa Suction Power, 21 litres Wet &amp; Dry Stainless Steel Vacuum Cleaner with Blower Function and Washable Dust Bag</v>
      </c>
      <c r="B1251" s="10" t="str">
        <f>IFERROR(TRIM(LEFT(Raw_Data!A1251,FIND(" ",Raw_Data!A1251)-1)),Raw_Data!A1251)</f>
        <v>AGARO</v>
      </c>
      <c r="C1251" s="10" t="str">
        <f>IFERROR(LEFT(Raw_Data!B1251,FIND("|",Raw_Data!B1251)-1),Raw_Data!B1251)</f>
        <v>Home&amp;Kitchen</v>
      </c>
      <c r="D1251" s="11">
        <f>IFERROR(VALUE(SUBSTITUTE(SUBSTITUTE(TRIM(Raw_Data!C1251),"₹",""),",","")),"")</f>
        <v>6236</v>
      </c>
      <c r="E1251" s="11">
        <f>IFERROR(VALUE(SUBSTITUTE(SUBSTITUTE(TRIM(Raw_Data!D1251),"₹",""),",","")),"")</f>
        <v>9999</v>
      </c>
      <c r="F1251" s="12">
        <f>IFERROR(VALUE(SUBSTITUTE(Raw_Data!E1251,"%",""))/100,"")</f>
        <v>0.38</v>
      </c>
      <c r="G1251" s="13">
        <f>IFERROR(VALUE(Raw_Data!F1251),"")</f>
        <v>4.0999999999999996</v>
      </c>
      <c r="H1251" s="14">
        <f>IFERROR(VALUE(SUBSTITUTE(Raw_Data!G1251,",","")),"")</f>
        <v>3552</v>
      </c>
      <c r="I1251" s="11">
        <f t="shared" si="76"/>
        <v>3763</v>
      </c>
      <c r="J1251" s="11">
        <f t="shared" si="77"/>
        <v>22150272</v>
      </c>
      <c r="K1251" s="1">
        <f t="shared" si="78"/>
        <v>3552.0001250999999</v>
      </c>
      <c r="L1251" s="15">
        <f t="shared" si="79"/>
        <v>0.38012509999999999</v>
      </c>
    </row>
    <row r="1252" spans="1:12" ht="15" customHeight="1" x14ac:dyDescent="0.25">
      <c r="A1252" s="10" t="str">
        <f>Raw_Data!A1252</f>
        <v>INALSA Hand Blender 1000 Watt with Chopper, Whisker, 600 ml Multipurpose Jar|Variable Speed And Turbo Speed Function |100% Copper Motor |Low Noise |ANTI-SPLASH TECHNOLOGY|2 Year Warranty</v>
      </c>
      <c r="B1252" s="10" t="str">
        <f>IFERROR(TRIM(LEFT(Raw_Data!A1252,FIND(" ",Raw_Data!A1252)-1)),Raw_Data!A1252)</f>
        <v>INALSA</v>
      </c>
      <c r="C1252" s="10" t="str">
        <f>IFERROR(LEFT(Raw_Data!B1252,FIND("|",Raw_Data!B1252)-1),Raw_Data!B1252)</f>
        <v>Home&amp;Kitchen</v>
      </c>
      <c r="D1252" s="11">
        <f>IFERROR(VALUE(SUBSTITUTE(SUBSTITUTE(TRIM(Raw_Data!C1252),"₹",""),",","")),"")</f>
        <v>2742</v>
      </c>
      <c r="E1252" s="11">
        <f>IFERROR(VALUE(SUBSTITUTE(SUBSTITUTE(TRIM(Raw_Data!D1252),"₹",""),",","")),"")</f>
        <v>3995</v>
      </c>
      <c r="F1252" s="12">
        <f>IFERROR(VALUE(SUBSTITUTE(Raw_Data!E1252,"%",""))/100,"")</f>
        <v>0.31</v>
      </c>
      <c r="G1252" s="13">
        <f>IFERROR(VALUE(Raw_Data!F1252),"")</f>
        <v>4.4000000000000004</v>
      </c>
      <c r="H1252" s="14">
        <f>IFERROR(VALUE(SUBSTITUTE(Raw_Data!G1252,",","")),"")</f>
        <v>11148</v>
      </c>
      <c r="I1252" s="11">
        <f t="shared" si="76"/>
        <v>1253</v>
      </c>
      <c r="J1252" s="11">
        <f t="shared" si="77"/>
        <v>30567816</v>
      </c>
      <c r="K1252" s="1">
        <f t="shared" si="78"/>
        <v>11148.0001252</v>
      </c>
      <c r="L1252" s="15">
        <f t="shared" si="79"/>
        <v>0.31012519999999999</v>
      </c>
    </row>
    <row r="1253" spans="1:12" ht="15" customHeight="1" x14ac:dyDescent="0.25">
      <c r="A1253" s="10" t="str">
        <f>Raw_Data!A1253</f>
        <v>akiara - Makes life easy Electric Handy Sewing/Stitch Handheld Cordless Portable White Sewing Machine for Home Tailoring, Hand Machine | Mini Silai | White Hand Machine with Adapter</v>
      </c>
      <c r="B1253" s="10" t="str">
        <f>IFERROR(TRIM(LEFT(Raw_Data!A1253,FIND(" ",Raw_Data!A1253)-1)),Raw_Data!A1253)</f>
        <v>akiara</v>
      </c>
      <c r="C1253" s="10" t="str">
        <f>IFERROR(LEFT(Raw_Data!B1253,FIND("|",Raw_Data!B1253)-1),Raw_Data!B1253)</f>
        <v>Home&amp;Kitchen</v>
      </c>
      <c r="D1253" s="11">
        <f>IFERROR(VALUE(SUBSTITUTE(SUBSTITUTE(TRIM(Raw_Data!C1253),"₹",""),",","")),"")</f>
        <v>721</v>
      </c>
      <c r="E1253" s="11">
        <f>IFERROR(VALUE(SUBSTITUTE(SUBSTITUTE(TRIM(Raw_Data!D1253),"₹",""),",","")),"")</f>
        <v>1499</v>
      </c>
      <c r="F1253" s="12">
        <f>IFERROR(VALUE(SUBSTITUTE(Raw_Data!E1253,"%",""))/100,"")</f>
        <v>0.52</v>
      </c>
      <c r="G1253" s="13">
        <f>IFERROR(VALUE(Raw_Data!F1253),"")</f>
        <v>3.1</v>
      </c>
      <c r="H1253" s="14">
        <f>IFERROR(VALUE(SUBSTITUTE(Raw_Data!G1253,",","")),"")</f>
        <v>2449</v>
      </c>
      <c r="I1253" s="11">
        <f t="shared" si="76"/>
        <v>778</v>
      </c>
      <c r="J1253" s="11">
        <f t="shared" si="77"/>
        <v>1765729</v>
      </c>
      <c r="K1253" s="1">
        <f t="shared" si="78"/>
        <v>2449.0001253</v>
      </c>
      <c r="L1253" s="15">
        <f t="shared" si="79"/>
        <v>0.52012530000000001</v>
      </c>
    </row>
    <row r="1254" spans="1:12" ht="15" customHeight="1" x14ac:dyDescent="0.25">
      <c r="A1254" s="10" t="str">
        <f>Raw_Data!A1254</f>
        <v>Philips EasySpeed Plus Steam Iron GC2145/20-2200W, Quick Heat Up with up to 30 g/min steam, 110 g steam Boost, Scratch Resistant Ceramic Soleplate, Vertical steam &amp; Drip-Stop</v>
      </c>
      <c r="B1254" s="10" t="str">
        <f>IFERROR(TRIM(LEFT(Raw_Data!A1254,FIND(" ",Raw_Data!A1254)-1)),Raw_Data!A1254)</f>
        <v>Philips</v>
      </c>
      <c r="C1254" s="10" t="str">
        <f>IFERROR(LEFT(Raw_Data!B1254,FIND("|",Raw_Data!B1254)-1),Raw_Data!B1254)</f>
        <v>Home&amp;Kitchen</v>
      </c>
      <c r="D1254" s="11">
        <f>IFERROR(VALUE(SUBSTITUTE(SUBSTITUTE(TRIM(Raw_Data!C1254),"₹",""),",","")),"")</f>
        <v>2903</v>
      </c>
      <c r="E1254" s="11">
        <f>IFERROR(VALUE(SUBSTITUTE(SUBSTITUTE(TRIM(Raw_Data!D1254),"₹",""),",","")),"")</f>
        <v>3295</v>
      </c>
      <c r="F1254" s="12">
        <f>IFERROR(VALUE(SUBSTITUTE(Raw_Data!E1254,"%",""))/100,"")</f>
        <v>0.12</v>
      </c>
      <c r="G1254" s="13">
        <f>IFERROR(VALUE(Raw_Data!F1254),"")</f>
        <v>4.3</v>
      </c>
      <c r="H1254" s="14">
        <f>IFERROR(VALUE(SUBSTITUTE(Raw_Data!G1254,",","")),"")</f>
        <v>2299</v>
      </c>
      <c r="I1254" s="11">
        <f t="shared" si="76"/>
        <v>392</v>
      </c>
      <c r="J1254" s="11">
        <f t="shared" si="77"/>
        <v>6673997</v>
      </c>
      <c r="K1254" s="1">
        <f t="shared" si="78"/>
        <v>2299.0001253999999</v>
      </c>
      <c r="L1254" s="15">
        <f t="shared" si="79"/>
        <v>0.12012539999999999</v>
      </c>
    </row>
    <row r="1255" spans="1:12" ht="15" customHeight="1" x14ac:dyDescent="0.25">
      <c r="A1255" s="10" t="str">
        <f>Raw_Data!A1255</f>
        <v>INALSA Electric Chopper Bullet- 400 Watts with 100% Pure Copper Motor| Chop, Mince, Puree, Dice | Twin Blade Technology| 900 ml Capacity| One Touch Operation, 1.30mtr Long Power Cord (Black/Silver)</v>
      </c>
      <c r="B1255" s="10" t="str">
        <f>IFERROR(TRIM(LEFT(Raw_Data!A1255,FIND(" ",Raw_Data!A1255)-1)),Raw_Data!A1255)</f>
        <v>INALSA</v>
      </c>
      <c r="C1255" s="10" t="str">
        <f>IFERROR(LEFT(Raw_Data!B1255,FIND("|",Raw_Data!B1255)-1),Raw_Data!B1255)</f>
        <v>Home&amp;Kitchen</v>
      </c>
      <c r="D1255" s="11">
        <f>IFERROR(VALUE(SUBSTITUTE(SUBSTITUTE(TRIM(Raw_Data!C1255),"₹",""),",","")),"")</f>
        <v>1656</v>
      </c>
      <c r="E1255" s="11">
        <f>IFERROR(VALUE(SUBSTITUTE(SUBSTITUTE(TRIM(Raw_Data!D1255),"₹",""),",","")),"")</f>
        <v>2695</v>
      </c>
      <c r="F1255" s="12">
        <f>IFERROR(VALUE(SUBSTITUTE(Raw_Data!E1255,"%",""))/100,"")</f>
        <v>0.39</v>
      </c>
      <c r="G1255" s="13">
        <f>IFERROR(VALUE(Raw_Data!F1255),"")</f>
        <v>4.4000000000000004</v>
      </c>
      <c r="H1255" s="14">
        <f>IFERROR(VALUE(SUBSTITUTE(Raw_Data!G1255,",","")),"")</f>
        <v>6027</v>
      </c>
      <c r="I1255" s="11">
        <f t="shared" si="76"/>
        <v>1039</v>
      </c>
      <c r="J1255" s="11">
        <f t="shared" si="77"/>
        <v>9980712</v>
      </c>
      <c r="K1255" s="1">
        <f t="shared" si="78"/>
        <v>6027.0001254999997</v>
      </c>
      <c r="L1255" s="15">
        <f t="shared" si="79"/>
        <v>0.39012550000000001</v>
      </c>
    </row>
    <row r="1256" spans="1:12" ht="15" customHeight="1" x14ac:dyDescent="0.25">
      <c r="A1256" s="10" t="str">
        <f>Raw_Data!A1256</f>
        <v>Borosil Electric Egg Boiler, 8 Egg Capacity, For Hard, Soft, Medium Boiled Eggs, Steamed Vegetables, Transparent Lid, Stainless Steel Exterior (500 Watts)</v>
      </c>
      <c r="B1256" s="10" t="str">
        <f>IFERROR(TRIM(LEFT(Raw_Data!A1256,FIND(" ",Raw_Data!A1256)-1)),Raw_Data!A1256)</f>
        <v>Borosil</v>
      </c>
      <c r="C1256" s="10" t="str">
        <f>IFERROR(LEFT(Raw_Data!B1256,FIND("|",Raw_Data!B1256)-1),Raw_Data!B1256)</f>
        <v>Home&amp;Kitchen</v>
      </c>
      <c r="D1256" s="11">
        <f>IFERROR(VALUE(SUBSTITUTE(SUBSTITUTE(TRIM(Raw_Data!C1256),"₹",""),",","")),"")</f>
        <v>1399</v>
      </c>
      <c r="E1256" s="11">
        <f>IFERROR(VALUE(SUBSTITUTE(SUBSTITUTE(TRIM(Raw_Data!D1256),"₹",""),",","")),"")</f>
        <v>2290</v>
      </c>
      <c r="F1256" s="12">
        <f>IFERROR(VALUE(SUBSTITUTE(Raw_Data!E1256,"%",""))/100,"")</f>
        <v>0.39</v>
      </c>
      <c r="G1256" s="13">
        <f>IFERROR(VALUE(Raw_Data!F1256),"")</f>
        <v>4.4000000000000004</v>
      </c>
      <c r="H1256" s="14">
        <f>IFERROR(VALUE(SUBSTITUTE(Raw_Data!G1256,",","")),"")</f>
        <v>461</v>
      </c>
      <c r="I1256" s="11">
        <f t="shared" si="76"/>
        <v>891</v>
      </c>
      <c r="J1256" s="11">
        <f t="shared" si="77"/>
        <v>644939</v>
      </c>
      <c r="K1256" s="1">
        <f t="shared" si="78"/>
        <v>461.00012559999999</v>
      </c>
      <c r="L1256" s="15">
        <f t="shared" si="79"/>
        <v>0.39012560000000002</v>
      </c>
    </row>
    <row r="1257" spans="1:12" ht="15" customHeight="1" x14ac:dyDescent="0.25">
      <c r="A1257" s="10" t="str">
        <f>Raw_Data!A1257</f>
        <v>Wipro Vesta Grill 1000 Watt Sandwich Maker |Dual function-SW Maker&amp;Griller|Non stick Coat -BPA&amp;PTFE Free |Auto Temp Cut-off| Height Control -180ᶿ&amp;105ᶿ |2 year warranty|SS Finish|Standard size</v>
      </c>
      <c r="B1257" s="10" t="str">
        <f>IFERROR(TRIM(LEFT(Raw_Data!A1257,FIND(" ",Raw_Data!A1257)-1)),Raw_Data!A1257)</f>
        <v>Wipro</v>
      </c>
      <c r="C1257" s="10" t="str">
        <f>IFERROR(LEFT(Raw_Data!B1257,FIND("|",Raw_Data!B1257)-1),Raw_Data!B1257)</f>
        <v>Home&amp;Kitchen</v>
      </c>
      <c r="D1257" s="11">
        <f>IFERROR(VALUE(SUBSTITUTE(SUBSTITUTE(TRIM(Raw_Data!C1257),"₹",""),",","")),"")</f>
        <v>2079</v>
      </c>
      <c r="E1257" s="11">
        <f>IFERROR(VALUE(SUBSTITUTE(SUBSTITUTE(TRIM(Raw_Data!D1257),"₹",""),",","")),"")</f>
        <v>3099</v>
      </c>
      <c r="F1257" s="12">
        <f>IFERROR(VALUE(SUBSTITUTE(Raw_Data!E1257,"%",""))/100,"")</f>
        <v>0.33</v>
      </c>
      <c r="G1257" s="13">
        <f>IFERROR(VALUE(Raw_Data!F1257),"")</f>
        <v>4.0999999999999996</v>
      </c>
      <c r="H1257" s="14">
        <f>IFERROR(VALUE(SUBSTITUTE(Raw_Data!G1257,",","")),"")</f>
        <v>282</v>
      </c>
      <c r="I1257" s="11">
        <f t="shared" si="76"/>
        <v>1020</v>
      </c>
      <c r="J1257" s="11">
        <f t="shared" si="77"/>
        <v>586278</v>
      </c>
      <c r="K1257" s="1">
        <f t="shared" si="78"/>
        <v>282.00012570000001</v>
      </c>
      <c r="L1257" s="15">
        <f t="shared" si="79"/>
        <v>0.33012570000000002</v>
      </c>
    </row>
    <row r="1258" spans="1:12" ht="15" customHeight="1" x14ac:dyDescent="0.25">
      <c r="A1258" s="10" t="str">
        <f>Raw_Data!A1258</f>
        <v>Rico IRPRO 1500 Watt Japanese Technology Electric Water Heater Immersion Rod Shockproof Protection &amp; Stainless Steel Heating Element for Instant Heating| ISI Certified 1 Year Replacement Warranty</v>
      </c>
      <c r="B1258" s="10" t="str">
        <f>IFERROR(TRIM(LEFT(Raw_Data!A1258,FIND(" ",Raw_Data!A1258)-1)),Raw_Data!A1258)</f>
        <v>Rico</v>
      </c>
      <c r="C1258" s="10" t="str">
        <f>IFERROR(LEFT(Raw_Data!B1258,FIND("|",Raw_Data!B1258)-1),Raw_Data!B1258)</f>
        <v>Home&amp;Kitchen</v>
      </c>
      <c r="D1258" s="11">
        <f>IFERROR(VALUE(SUBSTITUTE(SUBSTITUTE(TRIM(Raw_Data!C1258),"₹",""),",","")),"")</f>
        <v>999</v>
      </c>
      <c r="E1258" s="11">
        <f>IFERROR(VALUE(SUBSTITUTE(SUBSTITUTE(TRIM(Raw_Data!D1258),"₹",""),",","")),"")</f>
        <v>1075</v>
      </c>
      <c r="F1258" s="12">
        <f>IFERROR(VALUE(SUBSTITUTE(Raw_Data!E1258,"%",""))/100,"")</f>
        <v>7.0000000000000007E-2</v>
      </c>
      <c r="G1258" s="13">
        <f>IFERROR(VALUE(Raw_Data!F1258),"")</f>
        <v>4.0999999999999996</v>
      </c>
      <c r="H1258" s="14">
        <f>IFERROR(VALUE(SUBSTITUTE(Raw_Data!G1258,",","")),"")</f>
        <v>9275</v>
      </c>
      <c r="I1258" s="11">
        <f t="shared" si="76"/>
        <v>76</v>
      </c>
      <c r="J1258" s="11">
        <f t="shared" si="77"/>
        <v>9265725</v>
      </c>
      <c r="K1258" s="1">
        <f t="shared" si="78"/>
        <v>9275.0001257999993</v>
      </c>
      <c r="L1258" s="15">
        <f t="shared" si="79"/>
        <v>7.0125800000000002E-2</v>
      </c>
    </row>
    <row r="1259" spans="1:12" ht="15" customHeight="1" x14ac:dyDescent="0.25">
      <c r="A1259" s="10" t="str">
        <f>Raw_Data!A1259</f>
        <v>Eureka Forbes Active Clean 700 Watts Powerful Suction &amp; Blower Vacuum Cleaner with Washable HEPA Filter &amp; 6 Accessories,1 Year Warranty,Compact,Light Weight &amp; Easy to use (Red &amp; Black)</v>
      </c>
      <c r="B1259" s="10" t="str">
        <f>IFERROR(TRIM(LEFT(Raw_Data!A1259,FIND(" ",Raw_Data!A1259)-1)),Raw_Data!A1259)</f>
        <v>Eureka</v>
      </c>
      <c r="C1259" s="10" t="str">
        <f>IFERROR(LEFT(Raw_Data!B1259,FIND("|",Raw_Data!B1259)-1),Raw_Data!B1259)</f>
        <v>Home&amp;Kitchen</v>
      </c>
      <c r="D1259" s="11">
        <f>IFERROR(VALUE(SUBSTITUTE(SUBSTITUTE(TRIM(Raw_Data!C1259),"₹",""),",","")),"")</f>
        <v>3179</v>
      </c>
      <c r="E1259" s="11">
        <f>IFERROR(VALUE(SUBSTITUTE(SUBSTITUTE(TRIM(Raw_Data!D1259),"₹",""),",","")),"")</f>
        <v>6999</v>
      </c>
      <c r="F1259" s="12">
        <f>IFERROR(VALUE(SUBSTITUTE(Raw_Data!E1259,"%",""))/100,"")</f>
        <v>0.55000000000000004</v>
      </c>
      <c r="G1259" s="13">
        <f>IFERROR(VALUE(Raw_Data!F1259),"")</f>
        <v>4</v>
      </c>
      <c r="H1259" s="14">
        <f>IFERROR(VALUE(SUBSTITUTE(Raw_Data!G1259,",","")),"")</f>
        <v>743</v>
      </c>
      <c r="I1259" s="11">
        <f t="shared" si="76"/>
        <v>3820</v>
      </c>
      <c r="J1259" s="11">
        <f t="shared" si="77"/>
        <v>2361997</v>
      </c>
      <c r="K1259" s="1">
        <f t="shared" si="78"/>
        <v>743.00012589999994</v>
      </c>
      <c r="L1259" s="15">
        <f t="shared" si="79"/>
        <v>0.55012590000000006</v>
      </c>
    </row>
    <row r="1260" spans="1:12" ht="15" customHeight="1" x14ac:dyDescent="0.25">
      <c r="A1260" s="10" t="str">
        <f>Raw_Data!A1260</f>
        <v>CSI INTERNATIONAL® Instant Water Geyser, Water Heater, Portable Water Heater, Geyser Made of First Class ABS Plastic 3KW (White)</v>
      </c>
      <c r="B1260" s="10" t="str">
        <f>IFERROR(TRIM(LEFT(Raw_Data!A1260,FIND(" ",Raw_Data!A1260)-1)),Raw_Data!A1260)</f>
        <v>CSI</v>
      </c>
      <c r="C1260" s="10" t="str">
        <f>IFERROR(LEFT(Raw_Data!B1260,FIND("|",Raw_Data!B1260)-1),Raw_Data!B1260)</f>
        <v>Home&amp;Kitchen</v>
      </c>
      <c r="D1260" s="11">
        <f>IFERROR(VALUE(SUBSTITUTE(SUBSTITUTE(TRIM(Raw_Data!C1260),"₹",""),",","")),"")</f>
        <v>1049</v>
      </c>
      <c r="E1260" s="11">
        <f>IFERROR(VALUE(SUBSTITUTE(SUBSTITUTE(TRIM(Raw_Data!D1260),"₹",""),",","")),"")</f>
        <v>2499</v>
      </c>
      <c r="F1260" s="12">
        <f>IFERROR(VALUE(SUBSTITUTE(Raw_Data!E1260,"%",""))/100,"")</f>
        <v>0.57999999999999996</v>
      </c>
      <c r="G1260" s="13">
        <f>IFERROR(VALUE(Raw_Data!F1260),"")</f>
        <v>3.6</v>
      </c>
      <c r="H1260" s="14">
        <f>IFERROR(VALUE(SUBSTITUTE(Raw_Data!G1260,",","")),"")</f>
        <v>328</v>
      </c>
      <c r="I1260" s="11">
        <f t="shared" si="76"/>
        <v>1450</v>
      </c>
      <c r="J1260" s="11">
        <f t="shared" si="77"/>
        <v>344072</v>
      </c>
      <c r="K1260" s="1">
        <f t="shared" si="78"/>
        <v>328.00012600000002</v>
      </c>
      <c r="L1260" s="15">
        <f t="shared" si="79"/>
        <v>0.58012599999999992</v>
      </c>
    </row>
    <row r="1261" spans="1:12" ht="15" customHeight="1" x14ac:dyDescent="0.25">
      <c r="A1261" s="10" t="str">
        <f>Raw_Data!A1261</f>
        <v>Hindware Atlantic Xceed 5L 3kW Instant Water Heater with Copper Heating Element and High Grade Stainless Steel Tank</v>
      </c>
      <c r="B1261" s="10" t="str">
        <f>IFERROR(TRIM(LEFT(Raw_Data!A1261,FIND(" ",Raw_Data!A1261)-1)),Raw_Data!A1261)</f>
        <v>Hindware</v>
      </c>
      <c r="C1261" s="10" t="str">
        <f>IFERROR(LEFT(Raw_Data!B1261,FIND("|",Raw_Data!B1261)-1),Raw_Data!B1261)</f>
        <v>Home&amp;Kitchen</v>
      </c>
      <c r="D1261" s="11">
        <f>IFERROR(VALUE(SUBSTITUTE(SUBSTITUTE(TRIM(Raw_Data!C1261),"₹",""),",","")),"")</f>
        <v>3599</v>
      </c>
      <c r="E1261" s="11">
        <f>IFERROR(VALUE(SUBSTITUTE(SUBSTITUTE(TRIM(Raw_Data!D1261),"₹",""),",","")),"")</f>
        <v>7290</v>
      </c>
      <c r="F1261" s="12">
        <f>IFERROR(VALUE(SUBSTITUTE(Raw_Data!E1261,"%",""))/100,"")</f>
        <v>0.51</v>
      </c>
      <c r="G1261" s="13">
        <f>IFERROR(VALUE(Raw_Data!F1261),"")</f>
        <v>3.9</v>
      </c>
      <c r="H1261" s="14">
        <f>IFERROR(VALUE(SUBSTITUTE(Raw_Data!G1261,",","")),"")</f>
        <v>942</v>
      </c>
      <c r="I1261" s="11">
        <f t="shared" si="76"/>
        <v>3691</v>
      </c>
      <c r="J1261" s="11">
        <f t="shared" si="77"/>
        <v>3390258</v>
      </c>
      <c r="K1261" s="1">
        <f t="shared" si="78"/>
        <v>942.00012609999999</v>
      </c>
      <c r="L1261" s="15">
        <f t="shared" si="79"/>
        <v>0.51012610000000003</v>
      </c>
    </row>
    <row r="1262" spans="1:12" ht="15" customHeight="1" x14ac:dyDescent="0.25">
      <c r="A1262" s="10" t="str">
        <f>Raw_Data!A1262</f>
        <v>Morphy Richards New Europa 800-Watt Espresso and Cappuccino 4-Cup Coffee Maker (Black)</v>
      </c>
      <c r="B1262" s="10" t="str">
        <f>IFERROR(TRIM(LEFT(Raw_Data!A1262,FIND(" ",Raw_Data!A1262)-1)),Raw_Data!A1262)</f>
        <v>Morphy</v>
      </c>
      <c r="C1262" s="10" t="str">
        <f>IFERROR(LEFT(Raw_Data!B1262,FIND("|",Raw_Data!B1262)-1),Raw_Data!B1262)</f>
        <v>Home&amp;Kitchen</v>
      </c>
      <c r="D1262" s="11">
        <f>IFERROR(VALUE(SUBSTITUTE(SUBSTITUTE(TRIM(Raw_Data!C1262),"₹",""),",","")),"")</f>
        <v>4799</v>
      </c>
      <c r="E1262" s="11">
        <f>IFERROR(VALUE(SUBSTITUTE(SUBSTITUTE(TRIM(Raw_Data!D1262),"₹",""),",","")),"")</f>
        <v>5795</v>
      </c>
      <c r="F1262" s="12">
        <f>IFERROR(VALUE(SUBSTITUTE(Raw_Data!E1262,"%",""))/100,"")</f>
        <v>0.17</v>
      </c>
      <c r="G1262" s="13">
        <f>IFERROR(VALUE(Raw_Data!F1262),"")</f>
        <v>3.9</v>
      </c>
      <c r="H1262" s="14">
        <f>IFERROR(VALUE(SUBSTITUTE(Raw_Data!G1262,",","")),"")</f>
        <v>3815</v>
      </c>
      <c r="I1262" s="11">
        <f t="shared" si="76"/>
        <v>996</v>
      </c>
      <c r="J1262" s="11">
        <f t="shared" si="77"/>
        <v>18308185</v>
      </c>
      <c r="K1262" s="1">
        <f t="shared" si="78"/>
        <v>3815.0001262000001</v>
      </c>
      <c r="L1262" s="15">
        <f t="shared" si="79"/>
        <v>0.17012620000000001</v>
      </c>
    </row>
    <row r="1263" spans="1:12" ht="15" customHeight="1" x14ac:dyDescent="0.25">
      <c r="A1263" s="10" t="str">
        <f>Raw_Data!A1263</f>
        <v>Lifelong Power - Pro 500 Watt 3 Jar Mixer Grinder with 3 Speed Control and 1100 Watt Dry Non-Stick soleplate Iron Super Combo (White and Grey, 1 Year Warranty)</v>
      </c>
      <c r="B1263" s="10" t="str">
        <f>IFERROR(TRIM(LEFT(Raw_Data!A1263,FIND(" ",Raw_Data!A1263)-1)),Raw_Data!A1263)</f>
        <v>Lifelong</v>
      </c>
      <c r="C1263" s="10" t="str">
        <f>IFERROR(LEFT(Raw_Data!B1263,FIND("|",Raw_Data!B1263)-1),Raw_Data!B1263)</f>
        <v>Home&amp;Kitchen</v>
      </c>
      <c r="D1263" s="11">
        <f>IFERROR(VALUE(SUBSTITUTE(SUBSTITUTE(TRIM(Raw_Data!C1263),"₹",""),",","")),"")</f>
        <v>1699</v>
      </c>
      <c r="E1263" s="11">
        <f>IFERROR(VALUE(SUBSTITUTE(SUBSTITUTE(TRIM(Raw_Data!D1263),"₹",""),",","")),"")</f>
        <v>3398</v>
      </c>
      <c r="F1263" s="12">
        <f>IFERROR(VALUE(SUBSTITUTE(Raw_Data!E1263,"%",""))/100,"")</f>
        <v>0.5</v>
      </c>
      <c r="G1263" s="13">
        <f>IFERROR(VALUE(Raw_Data!F1263),"")</f>
        <v>3.8</v>
      </c>
      <c r="H1263" s="14">
        <f>IFERROR(VALUE(SUBSTITUTE(Raw_Data!G1263,",","")),"")</f>
        <v>7988</v>
      </c>
      <c r="I1263" s="11">
        <f t="shared" si="76"/>
        <v>1699</v>
      </c>
      <c r="J1263" s="11">
        <f t="shared" si="77"/>
        <v>13571612</v>
      </c>
      <c r="K1263" s="1">
        <f t="shared" si="78"/>
        <v>7988.0001263000004</v>
      </c>
      <c r="L1263" s="15">
        <f t="shared" si="79"/>
        <v>0.50012630000000002</v>
      </c>
    </row>
    <row r="1264" spans="1:12" ht="15" customHeight="1" x14ac:dyDescent="0.25">
      <c r="A1264" s="10" t="str">
        <f>Raw_Data!A1264</f>
        <v>iBELL Castor CTEK15L Premium 1.5 Litre Stainless Steel Electric Kettle,1500W Auto Cut-Off Feature,Silver</v>
      </c>
      <c r="B1264" s="10" t="str">
        <f>IFERROR(TRIM(LEFT(Raw_Data!A1264,FIND(" ",Raw_Data!A1264)-1)),Raw_Data!A1264)</f>
        <v>iBELL</v>
      </c>
      <c r="C1264" s="10" t="str">
        <f>IFERROR(LEFT(Raw_Data!B1264,FIND("|",Raw_Data!B1264)-1),Raw_Data!B1264)</f>
        <v>Home&amp;Kitchen</v>
      </c>
      <c r="D1264" s="11">
        <f>IFERROR(VALUE(SUBSTITUTE(SUBSTITUTE(TRIM(Raw_Data!C1264),"₹",""),",","")),"")</f>
        <v>664</v>
      </c>
      <c r="E1264" s="11">
        <f>IFERROR(VALUE(SUBSTITUTE(SUBSTITUTE(TRIM(Raw_Data!D1264),"₹",""),",","")),"")</f>
        <v>1490</v>
      </c>
      <c r="F1264" s="12">
        <f>IFERROR(VALUE(SUBSTITUTE(Raw_Data!E1264,"%",""))/100,"")</f>
        <v>0.55000000000000004</v>
      </c>
      <c r="G1264" s="13">
        <f>IFERROR(VALUE(Raw_Data!F1264),"")</f>
        <v>4.0999999999999996</v>
      </c>
      <c r="H1264" s="14">
        <f>IFERROR(VALUE(SUBSTITUTE(Raw_Data!G1264,",","")),"")</f>
        <v>925</v>
      </c>
      <c r="I1264" s="11">
        <f t="shared" si="76"/>
        <v>826</v>
      </c>
      <c r="J1264" s="11">
        <f t="shared" si="77"/>
        <v>614200</v>
      </c>
      <c r="K1264" s="1">
        <f t="shared" si="78"/>
        <v>925.0001264</v>
      </c>
      <c r="L1264" s="15">
        <f t="shared" si="79"/>
        <v>0.55012640000000002</v>
      </c>
    </row>
    <row r="1265" spans="1:12" ht="15" customHeight="1" x14ac:dyDescent="0.25">
      <c r="A1265" s="10" t="str">
        <f>Raw_Data!A1265</f>
        <v>BAJAJ PYGMY MINI 110 MM 10 W HIGH SPEED OPERATION, USB CHARGING, MULTI-CLIP FUNCTION PERSONAL FAN</v>
      </c>
      <c r="B1265" s="10" t="str">
        <f>IFERROR(TRIM(LEFT(Raw_Data!A1265,FIND(" ",Raw_Data!A1265)-1)),Raw_Data!A1265)</f>
        <v>BAJAJ</v>
      </c>
      <c r="C1265" s="10" t="str">
        <f>IFERROR(LEFT(Raw_Data!B1265,FIND("|",Raw_Data!B1265)-1),Raw_Data!B1265)</f>
        <v>Home&amp;Kitchen</v>
      </c>
      <c r="D1265" s="11">
        <f>IFERROR(VALUE(SUBSTITUTE(SUBSTITUTE(TRIM(Raw_Data!C1265),"₹",""),",","")),"")</f>
        <v>948</v>
      </c>
      <c r="E1265" s="11">
        <f>IFERROR(VALUE(SUBSTITUTE(SUBSTITUTE(TRIM(Raw_Data!D1265),"₹",""),",","")),"")</f>
        <v>1620</v>
      </c>
      <c r="F1265" s="12">
        <f>IFERROR(VALUE(SUBSTITUTE(Raw_Data!E1265,"%",""))/100,"")</f>
        <v>0.41</v>
      </c>
      <c r="G1265" s="13">
        <f>IFERROR(VALUE(Raw_Data!F1265),"")</f>
        <v>4.0999999999999996</v>
      </c>
      <c r="H1265" s="14">
        <f>IFERROR(VALUE(SUBSTITUTE(Raw_Data!G1265,",","")),"")</f>
        <v>4370</v>
      </c>
      <c r="I1265" s="11">
        <f t="shared" si="76"/>
        <v>672</v>
      </c>
      <c r="J1265" s="11">
        <f t="shared" si="77"/>
        <v>4142760</v>
      </c>
      <c r="K1265" s="1">
        <f t="shared" si="78"/>
        <v>4370.0001265000001</v>
      </c>
      <c r="L1265" s="15">
        <f t="shared" si="79"/>
        <v>0.41012649999999995</v>
      </c>
    </row>
    <row r="1266" spans="1:12" ht="15" customHeight="1" x14ac:dyDescent="0.25">
      <c r="A1266" s="10" t="str">
        <f>Raw_Data!A1266</f>
        <v>Crompton InstaGlide 1000-Watts Dry Iron with American Heritage Coating, Pack of 1 Iron</v>
      </c>
      <c r="B1266" s="10" t="str">
        <f>IFERROR(TRIM(LEFT(Raw_Data!A1266,FIND(" ",Raw_Data!A1266)-1)),Raw_Data!A1266)</f>
        <v>Crompton</v>
      </c>
      <c r="C1266" s="10" t="str">
        <f>IFERROR(LEFT(Raw_Data!B1266,FIND("|",Raw_Data!B1266)-1),Raw_Data!B1266)</f>
        <v>Home&amp;Kitchen</v>
      </c>
      <c r="D1266" s="11">
        <f>IFERROR(VALUE(SUBSTITUTE(SUBSTITUTE(TRIM(Raw_Data!C1266),"₹",""),",","")),"")</f>
        <v>850</v>
      </c>
      <c r="E1266" s="11">
        <f>IFERROR(VALUE(SUBSTITUTE(SUBSTITUTE(TRIM(Raw_Data!D1266),"₹",""),",","")),"")</f>
        <v>1000</v>
      </c>
      <c r="F1266" s="12">
        <f>IFERROR(VALUE(SUBSTITUTE(Raw_Data!E1266,"%",""))/100,"")</f>
        <v>0.15</v>
      </c>
      <c r="G1266" s="13">
        <f>IFERROR(VALUE(Raw_Data!F1266),"")</f>
        <v>4.0999999999999996</v>
      </c>
      <c r="H1266" s="14">
        <f>IFERROR(VALUE(SUBSTITUTE(Raw_Data!G1266,",","")),"")</f>
        <v>7619</v>
      </c>
      <c r="I1266" s="11">
        <f t="shared" si="76"/>
        <v>150</v>
      </c>
      <c r="J1266" s="11">
        <f t="shared" si="77"/>
        <v>6476150</v>
      </c>
      <c r="K1266" s="1">
        <f t="shared" si="78"/>
        <v>7619.0001265999999</v>
      </c>
      <c r="L1266" s="15">
        <f t="shared" si="79"/>
        <v>0.1501266</v>
      </c>
    </row>
    <row r="1267" spans="1:12" ht="15" customHeight="1" x14ac:dyDescent="0.25">
      <c r="A1267" s="10" t="str">
        <f>Raw_Data!A1267</f>
        <v>Prestige Clean Home Water Purifier Cartridge</v>
      </c>
      <c r="B1267" s="10" t="str">
        <f>IFERROR(TRIM(LEFT(Raw_Data!A1267,FIND(" ",Raw_Data!A1267)-1)),Raw_Data!A1267)</f>
        <v>Prestige</v>
      </c>
      <c r="C1267" s="10" t="str">
        <f>IFERROR(LEFT(Raw_Data!B1267,FIND("|",Raw_Data!B1267)-1),Raw_Data!B1267)</f>
        <v>Home&amp;Kitchen</v>
      </c>
      <c r="D1267" s="11">
        <f>IFERROR(VALUE(SUBSTITUTE(SUBSTITUTE(TRIM(Raw_Data!C1267),"₹",""),",","")),"")</f>
        <v>600</v>
      </c>
      <c r="E1267" s="11">
        <f>IFERROR(VALUE(SUBSTITUTE(SUBSTITUTE(TRIM(Raw_Data!D1267),"₹",""),",","")),"")</f>
        <v>640</v>
      </c>
      <c r="F1267" s="12">
        <f>IFERROR(VALUE(SUBSTITUTE(Raw_Data!E1267,"%",""))/100,"")</f>
        <v>0.06</v>
      </c>
      <c r="G1267" s="13">
        <f>IFERROR(VALUE(Raw_Data!F1267),"")</f>
        <v>3.8</v>
      </c>
      <c r="H1267" s="14">
        <f>IFERROR(VALUE(SUBSTITUTE(Raw_Data!G1267,",","")),"")</f>
        <v>2593</v>
      </c>
      <c r="I1267" s="11">
        <f t="shared" si="76"/>
        <v>40</v>
      </c>
      <c r="J1267" s="11">
        <f t="shared" si="77"/>
        <v>1555800</v>
      </c>
      <c r="K1267" s="1">
        <f t="shared" si="78"/>
        <v>2593.0001266999998</v>
      </c>
      <c r="L1267" s="15">
        <f t="shared" si="79"/>
        <v>6.0126699999999998E-2</v>
      </c>
    </row>
    <row r="1268" spans="1:12" ht="15" customHeight="1" x14ac:dyDescent="0.25">
      <c r="A1268" s="10" t="str">
        <f>Raw_Data!A1268</f>
        <v>Morphy Richards Aristo 2000 Watts PTC Room Heater (White)</v>
      </c>
      <c r="B1268" s="10" t="str">
        <f>IFERROR(TRIM(LEFT(Raw_Data!A1268,FIND(" ",Raw_Data!A1268)-1)),Raw_Data!A1268)</f>
        <v>Morphy</v>
      </c>
      <c r="C1268" s="10" t="str">
        <f>IFERROR(LEFT(Raw_Data!B1268,FIND("|",Raw_Data!B1268)-1),Raw_Data!B1268)</f>
        <v>Home&amp;Kitchen</v>
      </c>
      <c r="D1268" s="11">
        <f>IFERROR(VALUE(SUBSTITUTE(SUBSTITUTE(TRIM(Raw_Data!C1268),"₹",""),",","")),"")</f>
        <v>3711</v>
      </c>
      <c r="E1268" s="11">
        <f>IFERROR(VALUE(SUBSTITUTE(SUBSTITUTE(TRIM(Raw_Data!D1268),"₹",""),",","")),"")</f>
        <v>4495</v>
      </c>
      <c r="F1268" s="12">
        <f>IFERROR(VALUE(SUBSTITUTE(Raw_Data!E1268,"%",""))/100,"")</f>
        <v>0.17</v>
      </c>
      <c r="G1268" s="13">
        <f>IFERROR(VALUE(Raw_Data!F1268),"")</f>
        <v>4.3</v>
      </c>
      <c r="H1268" s="14">
        <f>IFERROR(VALUE(SUBSTITUTE(Raw_Data!G1268,",","")),"")</f>
        <v>356</v>
      </c>
      <c r="I1268" s="11">
        <f t="shared" si="76"/>
        <v>784</v>
      </c>
      <c r="J1268" s="11">
        <f t="shared" si="77"/>
        <v>1321116</v>
      </c>
      <c r="K1268" s="1">
        <f t="shared" si="78"/>
        <v>356.00012679999998</v>
      </c>
      <c r="L1268" s="15">
        <f t="shared" si="79"/>
        <v>0.17012680000000002</v>
      </c>
    </row>
    <row r="1269" spans="1:12" ht="15" customHeight="1" x14ac:dyDescent="0.25">
      <c r="A1269" s="10" t="str">
        <f>Raw_Data!A1269</f>
        <v>Gadgetronics Digital Kitchen Weighing Scale &amp; Food Weight Machine for Health, Fitness, Home Baking &amp; Cooking (10 KGs,1 Year Warranty &amp; Batteries Included)</v>
      </c>
      <c r="B1269" s="10" t="str">
        <f>IFERROR(TRIM(LEFT(Raw_Data!A1269,FIND(" ",Raw_Data!A1269)-1)),Raw_Data!A1269)</f>
        <v>Gadgetronics</v>
      </c>
      <c r="C1269" s="10" t="str">
        <f>IFERROR(LEFT(Raw_Data!B1269,FIND("|",Raw_Data!B1269)-1),Raw_Data!B1269)</f>
        <v>Home&amp;Kitchen</v>
      </c>
      <c r="D1269" s="11">
        <f>IFERROR(VALUE(SUBSTITUTE(SUBSTITUTE(TRIM(Raw_Data!C1269),"₹",""),",","")),"")</f>
        <v>799</v>
      </c>
      <c r="E1269" s="11">
        <f>IFERROR(VALUE(SUBSTITUTE(SUBSTITUTE(TRIM(Raw_Data!D1269),"₹",""),",","")),"")</f>
        <v>2999</v>
      </c>
      <c r="F1269" s="12">
        <f>IFERROR(VALUE(SUBSTITUTE(Raw_Data!E1269,"%",""))/100,"")</f>
        <v>0.73</v>
      </c>
      <c r="G1269" s="13">
        <f>IFERROR(VALUE(Raw_Data!F1269),"")</f>
        <v>4.5</v>
      </c>
      <c r="H1269" s="14">
        <f>IFERROR(VALUE(SUBSTITUTE(Raw_Data!G1269,",","")),"")</f>
        <v>63</v>
      </c>
      <c r="I1269" s="11">
        <f t="shared" si="76"/>
        <v>2200</v>
      </c>
      <c r="J1269" s="11">
        <f t="shared" si="77"/>
        <v>50337</v>
      </c>
      <c r="K1269" s="1">
        <f t="shared" si="78"/>
        <v>63.000126899999998</v>
      </c>
      <c r="L1269" s="15">
        <f t="shared" si="79"/>
        <v>0.73012690000000002</v>
      </c>
    </row>
    <row r="1270" spans="1:12" ht="15" customHeight="1" x14ac:dyDescent="0.25">
      <c r="A1270" s="10" t="str">
        <f>Raw_Data!A1270</f>
        <v>HUL Pureit Germkill kit for Advanced 23 L water purifier - 3000 L Capacity, Sand, Multicolour</v>
      </c>
      <c r="B1270" s="10" t="str">
        <f>IFERROR(TRIM(LEFT(Raw_Data!A1270,FIND(" ",Raw_Data!A1270)-1)),Raw_Data!A1270)</f>
        <v>HUL</v>
      </c>
      <c r="C1270" s="10" t="str">
        <f>IFERROR(LEFT(Raw_Data!B1270,FIND("|",Raw_Data!B1270)-1),Raw_Data!B1270)</f>
        <v>Home&amp;Kitchen</v>
      </c>
      <c r="D1270" s="11">
        <f>IFERROR(VALUE(SUBSTITUTE(SUBSTITUTE(TRIM(Raw_Data!C1270),"₹",""),",","")),"")</f>
        <v>980</v>
      </c>
      <c r="E1270" s="11">
        <f>IFERROR(VALUE(SUBSTITUTE(SUBSTITUTE(TRIM(Raw_Data!D1270),"₹",""),",","")),"")</f>
        <v>980</v>
      </c>
      <c r="F1270" s="12">
        <f>IFERROR(VALUE(SUBSTITUTE(Raw_Data!E1270,"%",""))/100,"")</f>
        <v>0</v>
      </c>
      <c r="G1270" s="13">
        <f>IFERROR(VALUE(Raw_Data!F1270),"")</f>
        <v>4.2</v>
      </c>
      <c r="H1270" s="14">
        <f>IFERROR(VALUE(SUBSTITUTE(Raw_Data!G1270,",","")),"")</f>
        <v>4740</v>
      </c>
      <c r="I1270" s="11">
        <f t="shared" si="76"/>
        <v>0</v>
      </c>
      <c r="J1270" s="11">
        <f t="shared" si="77"/>
        <v>4645200</v>
      </c>
      <c r="K1270" s="1">
        <f t="shared" si="78"/>
        <v>4740.0001270000002</v>
      </c>
      <c r="L1270" s="15">
        <f t="shared" si="79"/>
        <v>1.27E-4</v>
      </c>
    </row>
    <row r="1271" spans="1:12" ht="15" customHeight="1" x14ac:dyDescent="0.25">
      <c r="A1271" s="10" t="str">
        <f>Raw_Data!A1271</f>
        <v>Tom &amp; Jerry Folding Laundry Basket for Clothes with Lid &amp; Handle, Toys Organiser, 75 Litre, Green</v>
      </c>
      <c r="B1271" s="10" t="str">
        <f>IFERROR(TRIM(LEFT(Raw_Data!A1271,FIND(" ",Raw_Data!A1271)-1)),Raw_Data!A1271)</f>
        <v>Tom</v>
      </c>
      <c r="C1271" s="10" t="str">
        <f>IFERROR(LEFT(Raw_Data!B1271,FIND("|",Raw_Data!B1271)-1),Raw_Data!B1271)</f>
        <v>Home&amp;Kitchen</v>
      </c>
      <c r="D1271" s="11">
        <f>IFERROR(VALUE(SUBSTITUTE(SUBSTITUTE(TRIM(Raw_Data!C1271),"₹",""),",","")),"")</f>
        <v>351</v>
      </c>
      <c r="E1271" s="11">
        <f>IFERROR(VALUE(SUBSTITUTE(SUBSTITUTE(TRIM(Raw_Data!D1271),"₹",""),",","")),"")</f>
        <v>899</v>
      </c>
      <c r="F1271" s="12">
        <f>IFERROR(VALUE(SUBSTITUTE(Raw_Data!E1271,"%",""))/100,"")</f>
        <v>0.61</v>
      </c>
      <c r="G1271" s="13">
        <f>IFERROR(VALUE(Raw_Data!F1271),"")</f>
        <v>3.9</v>
      </c>
      <c r="H1271" s="14">
        <f>IFERROR(VALUE(SUBSTITUTE(Raw_Data!G1271,",","")),"")</f>
        <v>296</v>
      </c>
      <c r="I1271" s="11">
        <f t="shared" si="76"/>
        <v>548</v>
      </c>
      <c r="J1271" s="11">
        <f t="shared" si="77"/>
        <v>103896</v>
      </c>
      <c r="K1271" s="1">
        <f t="shared" si="78"/>
        <v>296.00012709999999</v>
      </c>
      <c r="L1271" s="15">
        <f t="shared" si="79"/>
        <v>0.61012710000000003</v>
      </c>
    </row>
    <row r="1272" spans="1:12" ht="15" customHeight="1" x14ac:dyDescent="0.25">
      <c r="A1272" s="10" t="str">
        <f>Raw_Data!A1272</f>
        <v>Ikea Little Loved Corner PRODUKT Milk-frother, Coffee/Tea Frother, Handheld Milk Wand Mixer Frother, Black</v>
      </c>
      <c r="B1272" s="10" t="str">
        <f>IFERROR(TRIM(LEFT(Raw_Data!A1272,FIND(" ",Raw_Data!A1272)-1)),Raw_Data!A1272)</f>
        <v>Ikea</v>
      </c>
      <c r="C1272" s="10" t="str">
        <f>IFERROR(LEFT(Raw_Data!B1272,FIND("|",Raw_Data!B1272)-1),Raw_Data!B1272)</f>
        <v>Home&amp;Kitchen</v>
      </c>
      <c r="D1272" s="11">
        <f>IFERROR(VALUE(SUBSTITUTE(SUBSTITUTE(TRIM(Raw_Data!C1272),"₹",""),",","")),"")</f>
        <v>229</v>
      </c>
      <c r="E1272" s="11">
        <f>IFERROR(VALUE(SUBSTITUTE(SUBSTITUTE(TRIM(Raw_Data!D1272),"₹",""),",","")),"")</f>
        <v>499</v>
      </c>
      <c r="F1272" s="12">
        <f>IFERROR(VALUE(SUBSTITUTE(Raw_Data!E1272,"%",""))/100,"")</f>
        <v>0.54</v>
      </c>
      <c r="G1272" s="13">
        <f>IFERROR(VALUE(Raw_Data!F1272),"")</f>
        <v>3.5</v>
      </c>
      <c r="H1272" s="14">
        <f>IFERROR(VALUE(SUBSTITUTE(Raw_Data!G1272,",","")),"")</f>
        <v>185</v>
      </c>
      <c r="I1272" s="11">
        <f t="shared" si="76"/>
        <v>270</v>
      </c>
      <c r="J1272" s="11">
        <f t="shared" si="77"/>
        <v>42365</v>
      </c>
      <c r="K1272" s="1">
        <f t="shared" si="78"/>
        <v>185.00012720000001</v>
      </c>
      <c r="L1272" s="15">
        <f t="shared" si="79"/>
        <v>0.54012720000000003</v>
      </c>
    </row>
    <row r="1273" spans="1:12" ht="15" customHeight="1" x14ac:dyDescent="0.25">
      <c r="A1273" s="10" t="str">
        <f>Raw_Data!A1273</f>
        <v>Philips EasySpeed Plus Steam Iron GC2147/30-2400W, Quick Heat up with up to 30 g/min steam, 150g steam Boost, Scratch Resistant Ceramic Soleplate, Vertical steam, Drip-Stop</v>
      </c>
      <c r="B1273" s="10" t="str">
        <f>IFERROR(TRIM(LEFT(Raw_Data!A1273,FIND(" ",Raw_Data!A1273)-1)),Raw_Data!A1273)</f>
        <v>Philips</v>
      </c>
      <c r="C1273" s="10" t="str">
        <f>IFERROR(LEFT(Raw_Data!B1273,FIND("|",Raw_Data!B1273)-1),Raw_Data!B1273)</f>
        <v>Home&amp;Kitchen</v>
      </c>
      <c r="D1273" s="11">
        <f>IFERROR(VALUE(SUBSTITUTE(SUBSTITUTE(TRIM(Raw_Data!C1273),"₹",""),",","")),"")</f>
        <v>3349</v>
      </c>
      <c r="E1273" s="11">
        <f>IFERROR(VALUE(SUBSTITUTE(SUBSTITUTE(TRIM(Raw_Data!D1273),"₹",""),",","")),"")</f>
        <v>3995</v>
      </c>
      <c r="F1273" s="12">
        <f>IFERROR(VALUE(SUBSTITUTE(Raw_Data!E1273,"%",""))/100,"")</f>
        <v>0.16</v>
      </c>
      <c r="G1273" s="13">
        <f>IFERROR(VALUE(Raw_Data!F1273),"")</f>
        <v>4.3</v>
      </c>
      <c r="H1273" s="14">
        <f>IFERROR(VALUE(SUBSTITUTE(Raw_Data!G1273,",","")),"")</f>
        <v>1954</v>
      </c>
      <c r="I1273" s="11">
        <f t="shared" si="76"/>
        <v>646</v>
      </c>
      <c r="J1273" s="11">
        <f t="shared" si="77"/>
        <v>6543946</v>
      </c>
      <c r="K1273" s="1">
        <f t="shared" si="78"/>
        <v>1954.0001273</v>
      </c>
      <c r="L1273" s="15">
        <f t="shared" si="79"/>
        <v>0.1601273</v>
      </c>
    </row>
    <row r="1274" spans="1:12" ht="15" customHeight="1" x14ac:dyDescent="0.25">
      <c r="A1274" s="10" t="str">
        <f>Raw_Data!A1274</f>
        <v>Bajaj New Shakti Neo Plus 15 Litre 4 Star Rated Storage Water Heater (Geyser) with Multiple Safety System, White</v>
      </c>
      <c r="B1274" s="10" t="str">
        <f>IFERROR(TRIM(LEFT(Raw_Data!A1274,FIND(" ",Raw_Data!A1274)-1)),Raw_Data!A1274)</f>
        <v>Bajaj</v>
      </c>
      <c r="C1274" s="10" t="str">
        <f>IFERROR(LEFT(Raw_Data!B1274,FIND("|",Raw_Data!B1274)-1),Raw_Data!B1274)</f>
        <v>Home&amp;Kitchen</v>
      </c>
      <c r="D1274" s="11">
        <f>IFERROR(VALUE(SUBSTITUTE(SUBSTITUTE(TRIM(Raw_Data!C1274),"₹",""),",","")),"")</f>
        <v>5499</v>
      </c>
      <c r="E1274" s="11">
        <f>IFERROR(VALUE(SUBSTITUTE(SUBSTITUTE(TRIM(Raw_Data!D1274),"₹",""),",","")),"")</f>
        <v>11500</v>
      </c>
      <c r="F1274" s="12">
        <f>IFERROR(VALUE(SUBSTITUTE(Raw_Data!E1274,"%",""))/100,"")</f>
        <v>0.52</v>
      </c>
      <c r="G1274" s="13">
        <f>IFERROR(VALUE(Raw_Data!F1274),"")</f>
        <v>3.9</v>
      </c>
      <c r="H1274" s="14">
        <f>IFERROR(VALUE(SUBSTITUTE(Raw_Data!G1274,",","")),"")</f>
        <v>959</v>
      </c>
      <c r="I1274" s="11">
        <f t="shared" si="76"/>
        <v>6001</v>
      </c>
      <c r="J1274" s="11">
        <f t="shared" si="77"/>
        <v>5273541</v>
      </c>
      <c r="K1274" s="1">
        <f t="shared" si="78"/>
        <v>959.0001274</v>
      </c>
      <c r="L1274" s="15">
        <f t="shared" si="79"/>
        <v>0.52012740000000002</v>
      </c>
    </row>
    <row r="1275" spans="1:12" ht="15" customHeight="1" x14ac:dyDescent="0.25">
      <c r="A1275" s="10" t="str">
        <f>Raw_Data!A1275</f>
        <v>House of Quirk Reusable Sticky Picker Cleaner Easy-Tear Sheets Travel Pet Hair Lint Rollers Brush (10cm Sheet, Set of 3 Rolls, 180 Sheets, 60 Sheets Each roll Lint Roller Remover, Multicolour)</v>
      </c>
      <c r="B1275" s="10" t="str">
        <f>IFERROR(TRIM(LEFT(Raw_Data!A1275,FIND(" ",Raw_Data!A1275)-1)),Raw_Data!A1275)</f>
        <v>House</v>
      </c>
      <c r="C1275" s="10" t="str">
        <f>IFERROR(LEFT(Raw_Data!B1275,FIND("|",Raw_Data!B1275)-1),Raw_Data!B1275)</f>
        <v>Home&amp;Kitchen</v>
      </c>
      <c r="D1275" s="11">
        <f>IFERROR(VALUE(SUBSTITUTE(SUBSTITUTE(TRIM(Raw_Data!C1275),"₹",""),",","")),"")</f>
        <v>299</v>
      </c>
      <c r="E1275" s="11">
        <f>IFERROR(VALUE(SUBSTITUTE(SUBSTITUTE(TRIM(Raw_Data!D1275),"₹",""),",","")),"")</f>
        <v>499</v>
      </c>
      <c r="F1275" s="12">
        <f>IFERROR(VALUE(SUBSTITUTE(Raw_Data!E1275,"%",""))/100,"")</f>
        <v>0.4</v>
      </c>
      <c r="G1275" s="13">
        <f>IFERROR(VALUE(Raw_Data!F1275),"")</f>
        <v>3.9</v>
      </c>
      <c r="H1275" s="14">
        <f>IFERROR(VALUE(SUBSTITUTE(Raw_Data!G1275,",","")),"")</f>
        <v>1015</v>
      </c>
      <c r="I1275" s="11">
        <f t="shared" si="76"/>
        <v>200</v>
      </c>
      <c r="J1275" s="11">
        <f t="shared" si="77"/>
        <v>303485</v>
      </c>
      <c r="K1275" s="1">
        <f t="shared" si="78"/>
        <v>1015.0001275</v>
      </c>
      <c r="L1275" s="15">
        <f t="shared" si="79"/>
        <v>0.40012750000000002</v>
      </c>
    </row>
    <row r="1276" spans="1:12" ht="15" customHeight="1" x14ac:dyDescent="0.25">
      <c r="A1276" s="10" t="str">
        <f>Raw_Data!A1276</f>
        <v>Allin Exporters J66 Ultrasonic Humidifier Cool Mist Air Purifier for Dryness, Cold &amp; Cough Large Capacity for Room, Baby, Plants, Bedroom (2.4 L) (1 Year Warranty)</v>
      </c>
      <c r="B1276" s="10" t="str">
        <f>IFERROR(TRIM(LEFT(Raw_Data!A1276,FIND(" ",Raw_Data!A1276)-1)),Raw_Data!A1276)</f>
        <v>Allin</v>
      </c>
      <c r="C1276" s="10" t="str">
        <f>IFERROR(LEFT(Raw_Data!B1276,FIND("|",Raw_Data!B1276)-1),Raw_Data!B1276)</f>
        <v>Home&amp;Kitchen</v>
      </c>
      <c r="D1276" s="11">
        <f>IFERROR(VALUE(SUBSTITUTE(SUBSTITUTE(TRIM(Raw_Data!C1276),"₹",""),",","")),"")</f>
        <v>2249</v>
      </c>
      <c r="E1276" s="11">
        <f>IFERROR(VALUE(SUBSTITUTE(SUBSTITUTE(TRIM(Raw_Data!D1276),"₹",""),",","")),"")</f>
        <v>3550</v>
      </c>
      <c r="F1276" s="12">
        <f>IFERROR(VALUE(SUBSTITUTE(Raw_Data!E1276,"%",""))/100,"")</f>
        <v>0.37</v>
      </c>
      <c r="G1276" s="13">
        <f>IFERROR(VALUE(Raw_Data!F1276),"")</f>
        <v>4</v>
      </c>
      <c r="H1276" s="14">
        <f>IFERROR(VALUE(SUBSTITUTE(Raw_Data!G1276,",","")),"")</f>
        <v>3973</v>
      </c>
      <c r="I1276" s="11">
        <f t="shared" si="76"/>
        <v>1301</v>
      </c>
      <c r="J1276" s="11">
        <f t="shared" si="77"/>
        <v>8935277</v>
      </c>
      <c r="K1276" s="1">
        <f t="shared" si="78"/>
        <v>3973.0001275999998</v>
      </c>
      <c r="L1276" s="15">
        <f t="shared" si="79"/>
        <v>0.3701276</v>
      </c>
    </row>
    <row r="1277" spans="1:12" ht="15" customHeight="1" x14ac:dyDescent="0.25">
      <c r="A1277" s="10" t="str">
        <f>Raw_Data!A1277</f>
        <v>Multifunctional 2 in 1 Electric Egg Boiling Steamer Egg Frying Pan Egg Boiler Electric Automatic Off with Egg Boiler Machine Non-Stick Electric Egg Frying Pan-Tiger Woods (Multy)</v>
      </c>
      <c r="B1277" s="10" t="str">
        <f>IFERROR(TRIM(LEFT(Raw_Data!A1277,FIND(" ",Raw_Data!A1277)-1)),Raw_Data!A1277)</f>
        <v>Multifunctional</v>
      </c>
      <c r="C1277" s="10" t="str">
        <f>IFERROR(LEFT(Raw_Data!B1277,FIND("|",Raw_Data!B1277)-1),Raw_Data!B1277)</f>
        <v>Home&amp;Kitchen</v>
      </c>
      <c r="D1277" s="11">
        <f>IFERROR(VALUE(SUBSTITUTE(SUBSTITUTE(TRIM(Raw_Data!C1277),"₹",""),",","")),"")</f>
        <v>699</v>
      </c>
      <c r="E1277" s="11">
        <f>IFERROR(VALUE(SUBSTITUTE(SUBSTITUTE(TRIM(Raw_Data!D1277),"₹",""),",","")),"")</f>
        <v>1599</v>
      </c>
      <c r="F1277" s="12">
        <f>IFERROR(VALUE(SUBSTITUTE(Raw_Data!E1277,"%",""))/100,"")</f>
        <v>0.56000000000000005</v>
      </c>
      <c r="G1277" s="13">
        <f>IFERROR(VALUE(Raw_Data!F1277),"")</f>
        <v>4.7</v>
      </c>
      <c r="H1277" s="14">
        <f>IFERROR(VALUE(SUBSTITUTE(Raw_Data!G1277,",","")),"")</f>
        <v>2300</v>
      </c>
      <c r="I1277" s="11">
        <f t="shared" si="76"/>
        <v>900</v>
      </c>
      <c r="J1277" s="11">
        <f t="shared" si="77"/>
        <v>1607700</v>
      </c>
      <c r="K1277" s="1">
        <f t="shared" si="78"/>
        <v>2300.0001277000001</v>
      </c>
      <c r="L1277" s="15">
        <f t="shared" si="79"/>
        <v>0.56012770000000001</v>
      </c>
    </row>
    <row r="1278" spans="1:12" ht="15" customHeight="1" x14ac:dyDescent="0.25">
      <c r="A1278" s="10" t="str">
        <f>Raw_Data!A1278</f>
        <v>Maharaja Whiteline Nano Carbon Neo, 500 Watts Room Heater (Black, White), Standard (5200100986)</v>
      </c>
      <c r="B1278" s="10" t="str">
        <f>IFERROR(TRIM(LEFT(Raw_Data!A1278,FIND(" ",Raw_Data!A1278)-1)),Raw_Data!A1278)</f>
        <v>Maharaja</v>
      </c>
      <c r="C1278" s="10" t="str">
        <f>IFERROR(LEFT(Raw_Data!B1278,FIND("|",Raw_Data!B1278)-1),Raw_Data!B1278)</f>
        <v>Home&amp;Kitchen</v>
      </c>
      <c r="D1278" s="11">
        <f>IFERROR(VALUE(SUBSTITUTE(SUBSTITUTE(TRIM(Raw_Data!C1278),"₹",""),",","")),"")</f>
        <v>1235</v>
      </c>
      <c r="E1278" s="11">
        <f>IFERROR(VALUE(SUBSTITUTE(SUBSTITUTE(TRIM(Raw_Data!D1278),"₹",""),",","")),"")</f>
        <v>1499</v>
      </c>
      <c r="F1278" s="12">
        <f>IFERROR(VALUE(SUBSTITUTE(Raw_Data!E1278,"%",""))/100,"")</f>
        <v>0.18</v>
      </c>
      <c r="G1278" s="13">
        <f>IFERROR(VALUE(Raw_Data!F1278),"")</f>
        <v>4.0999999999999996</v>
      </c>
      <c r="H1278" s="14">
        <f>IFERROR(VALUE(SUBSTITUTE(Raw_Data!G1278,",","")),"")</f>
        <v>203</v>
      </c>
      <c r="I1278" s="11">
        <f t="shared" si="76"/>
        <v>264</v>
      </c>
      <c r="J1278" s="11">
        <f t="shared" si="77"/>
        <v>250705</v>
      </c>
      <c r="K1278" s="1">
        <f t="shared" si="78"/>
        <v>203.0001278</v>
      </c>
      <c r="L1278" s="15">
        <f t="shared" si="79"/>
        <v>0.1801278</v>
      </c>
    </row>
    <row r="1279" spans="1:12" ht="15" customHeight="1" x14ac:dyDescent="0.25">
      <c r="A1279" s="10" t="str">
        <f>Raw_Data!A1279</f>
        <v>KENT Electric Chopper-B for Kitchen 250 Watt | Chop, Mince, Puree, Whisk, 400 ml Capacity | Stainless Steel Double Chopping Blades | Transparent Chopping Bowl | Anti-Skid | One Touch Operation | Black</v>
      </c>
      <c r="B1279" s="10" t="str">
        <f>IFERROR(TRIM(LEFT(Raw_Data!A1279,FIND(" ",Raw_Data!A1279)-1)),Raw_Data!A1279)</f>
        <v>KENT</v>
      </c>
      <c r="C1279" s="10" t="str">
        <f>IFERROR(LEFT(Raw_Data!B1279,FIND("|",Raw_Data!B1279)-1),Raw_Data!B1279)</f>
        <v>Home&amp;Kitchen</v>
      </c>
      <c r="D1279" s="11">
        <f>IFERROR(VALUE(SUBSTITUTE(SUBSTITUTE(TRIM(Raw_Data!C1279),"₹",""),",","")),"")</f>
        <v>1349</v>
      </c>
      <c r="E1279" s="11">
        <f>IFERROR(VALUE(SUBSTITUTE(SUBSTITUTE(TRIM(Raw_Data!D1279),"₹",""),",","")),"")</f>
        <v>2999</v>
      </c>
      <c r="F1279" s="12">
        <f>IFERROR(VALUE(SUBSTITUTE(Raw_Data!E1279,"%",""))/100,"")</f>
        <v>0.55000000000000004</v>
      </c>
      <c r="G1279" s="13">
        <f>IFERROR(VALUE(Raw_Data!F1279),"")</f>
        <v>3.8</v>
      </c>
      <c r="H1279" s="14">
        <f>IFERROR(VALUE(SUBSTITUTE(Raw_Data!G1279,",","")),"")</f>
        <v>441</v>
      </c>
      <c r="I1279" s="11">
        <f t="shared" si="76"/>
        <v>1650</v>
      </c>
      <c r="J1279" s="11">
        <f t="shared" si="77"/>
        <v>594909</v>
      </c>
      <c r="K1279" s="1">
        <f t="shared" si="78"/>
        <v>441.0001279</v>
      </c>
      <c r="L1279" s="15">
        <f t="shared" si="79"/>
        <v>0.5501279</v>
      </c>
    </row>
    <row r="1280" spans="1:12" ht="15" customHeight="1" x14ac:dyDescent="0.25">
      <c r="A1280" s="10" t="str">
        <f>Raw_Data!A1280</f>
        <v>Crompton Amica 15-L 5 Star Rated Storage Water Heater (Geyser) with Free Installation (White)</v>
      </c>
      <c r="B1280" s="10" t="str">
        <f>IFERROR(TRIM(LEFT(Raw_Data!A1280,FIND(" ",Raw_Data!A1280)-1)),Raw_Data!A1280)</f>
        <v>Crompton</v>
      </c>
      <c r="C1280" s="10" t="str">
        <f>IFERROR(LEFT(Raw_Data!B1280,FIND("|",Raw_Data!B1280)-1),Raw_Data!B1280)</f>
        <v>Home&amp;Kitchen</v>
      </c>
      <c r="D1280" s="11">
        <f>IFERROR(VALUE(SUBSTITUTE(SUBSTITUTE(TRIM(Raw_Data!C1280),"₹",""),",","")),"")</f>
        <v>6800</v>
      </c>
      <c r="E1280" s="11">
        <f>IFERROR(VALUE(SUBSTITUTE(SUBSTITUTE(TRIM(Raw_Data!D1280),"₹",""),",","")),"")</f>
        <v>11500</v>
      </c>
      <c r="F1280" s="12">
        <f>IFERROR(VALUE(SUBSTITUTE(Raw_Data!E1280,"%",""))/100,"")</f>
        <v>0.41</v>
      </c>
      <c r="G1280" s="13">
        <f>IFERROR(VALUE(Raw_Data!F1280),"")</f>
        <v>4.0999999999999996</v>
      </c>
      <c r="H1280" s="14">
        <f>IFERROR(VALUE(SUBSTITUTE(Raw_Data!G1280,",","")),"")</f>
        <v>10308</v>
      </c>
      <c r="I1280" s="11">
        <f t="shared" si="76"/>
        <v>4700</v>
      </c>
      <c r="J1280" s="11">
        <f t="shared" si="77"/>
        <v>70094400</v>
      </c>
      <c r="K1280" s="1">
        <f t="shared" si="78"/>
        <v>10308.000128</v>
      </c>
      <c r="L1280" s="15">
        <f t="shared" si="79"/>
        <v>0.41012799999999999</v>
      </c>
    </row>
    <row r="1281" spans="1:12" ht="15" customHeight="1" x14ac:dyDescent="0.25">
      <c r="A1281" s="10" t="str">
        <f>Raw_Data!A1281</f>
        <v>Eureka Forbes car Vac 100 Watts Powerful Suction Vacuum Cleaner with Washable HEPA Filter, 3 Accessories,Compact,Light Weight &amp; Easy to use (Black and Red)</v>
      </c>
      <c r="B1281" s="10" t="str">
        <f>IFERROR(TRIM(LEFT(Raw_Data!A1281,FIND(" ",Raw_Data!A1281)-1)),Raw_Data!A1281)</f>
        <v>Eureka</v>
      </c>
      <c r="C1281" s="10" t="str">
        <f>IFERROR(LEFT(Raw_Data!B1281,FIND("|",Raw_Data!B1281)-1),Raw_Data!B1281)</f>
        <v>Home&amp;Kitchen</v>
      </c>
      <c r="D1281" s="11">
        <f>IFERROR(VALUE(SUBSTITUTE(SUBSTITUTE(TRIM(Raw_Data!C1281),"₹",""),",","")),"")</f>
        <v>2099</v>
      </c>
      <c r="E1281" s="11">
        <f>IFERROR(VALUE(SUBSTITUTE(SUBSTITUTE(TRIM(Raw_Data!D1281),"₹",""),",","")),"")</f>
        <v>2499</v>
      </c>
      <c r="F1281" s="12">
        <f>IFERROR(VALUE(SUBSTITUTE(Raw_Data!E1281,"%",""))/100,"")</f>
        <v>0.16</v>
      </c>
      <c r="G1281" s="13" t="str">
        <f>IFERROR(VALUE(Raw_Data!F1281),"")</f>
        <v/>
      </c>
      <c r="H1281" s="14">
        <f>IFERROR(VALUE(SUBSTITUTE(Raw_Data!G1281,",","")),"")</f>
        <v>992</v>
      </c>
      <c r="I1281" s="11">
        <f t="shared" si="76"/>
        <v>400</v>
      </c>
      <c r="J1281" s="11">
        <f t="shared" si="77"/>
        <v>2082208</v>
      </c>
      <c r="K1281" s="1">
        <f t="shared" si="78"/>
        <v>992.00012809999998</v>
      </c>
      <c r="L1281" s="15">
        <f t="shared" si="79"/>
        <v>0.1601281</v>
      </c>
    </row>
    <row r="1282" spans="1:12" ht="15" customHeight="1" x14ac:dyDescent="0.25">
      <c r="A1282" s="10" t="str">
        <f>Raw_Data!A1282</f>
        <v>KENT 16025 Sandwich Grill 700W | Non-Toxic Ceramic Coating | Automatic Temperature Cut-off with LED Indicator | Adjustable Height Control, Metallic Silver, Standard</v>
      </c>
      <c r="B1282" s="10" t="str">
        <f>IFERROR(TRIM(LEFT(Raw_Data!A1282,FIND(" ",Raw_Data!A1282)-1)),Raw_Data!A1282)</f>
        <v>KENT</v>
      </c>
      <c r="C1282" s="10" t="str">
        <f>IFERROR(LEFT(Raw_Data!B1282,FIND("|",Raw_Data!B1282)-1),Raw_Data!B1282)</f>
        <v>Home&amp;Kitchen</v>
      </c>
      <c r="D1282" s="11">
        <f>IFERROR(VALUE(SUBSTITUTE(SUBSTITUTE(TRIM(Raw_Data!C1282),"₹",""),",","")),"")</f>
        <v>1699</v>
      </c>
      <c r="E1282" s="11">
        <f>IFERROR(VALUE(SUBSTITUTE(SUBSTITUTE(TRIM(Raw_Data!D1282),"₹",""),",","")),"")</f>
        <v>1975</v>
      </c>
      <c r="F1282" s="12">
        <f>IFERROR(VALUE(SUBSTITUTE(Raw_Data!E1282,"%",""))/100,"")</f>
        <v>0.14000000000000001</v>
      </c>
      <c r="G1282" s="13">
        <f>IFERROR(VALUE(Raw_Data!F1282),"")</f>
        <v>4.0999999999999996</v>
      </c>
      <c r="H1282" s="14">
        <f>IFERROR(VALUE(SUBSTITUTE(Raw_Data!G1282,",","")),"")</f>
        <v>4716</v>
      </c>
      <c r="I1282" s="11">
        <f t="shared" ref="I1282:I1345" si="80">IFERROR(E1282-D1282,"")</f>
        <v>276</v>
      </c>
      <c r="J1282" s="11">
        <f t="shared" ref="J1282:J1345" si="81">IFERROR(D1282*H1282,"")</f>
        <v>8012484</v>
      </c>
      <c r="K1282" s="1">
        <f t="shared" ref="K1282:K1345" si="82">IF(ISNUMBER(H1282),H1282+ROW()/10000000,"")</f>
        <v>4716.0001282000003</v>
      </c>
      <c r="L1282" s="15">
        <f t="shared" ref="L1282:L1345" si="83">IF(ISNUMBER(F1282),F1282+ROW()/10000000,"")</f>
        <v>0.14012820000000001</v>
      </c>
    </row>
    <row r="1283" spans="1:12" ht="15" customHeight="1" x14ac:dyDescent="0.25">
      <c r="A1283" s="10" t="str">
        <f>Raw_Data!A1283</f>
        <v>Candes Gloster All in One Silent Blower Fan Room Heater Ideal for Small and Medium Area, 2000 Watts (White)</v>
      </c>
      <c r="B1283" s="10" t="str">
        <f>IFERROR(TRIM(LEFT(Raw_Data!A1283,FIND(" ",Raw_Data!A1283)-1)),Raw_Data!A1283)</f>
        <v>Candes</v>
      </c>
      <c r="C1283" s="10" t="str">
        <f>IFERROR(LEFT(Raw_Data!B1283,FIND("|",Raw_Data!B1283)-1),Raw_Data!B1283)</f>
        <v>Home&amp;Kitchen</v>
      </c>
      <c r="D1283" s="11">
        <f>IFERROR(VALUE(SUBSTITUTE(SUBSTITUTE(TRIM(Raw_Data!C1283),"₹",""),",","")),"")</f>
        <v>1069</v>
      </c>
      <c r="E1283" s="11">
        <f>IFERROR(VALUE(SUBSTITUTE(SUBSTITUTE(TRIM(Raw_Data!D1283),"₹",""),",","")),"")</f>
        <v>1699</v>
      </c>
      <c r="F1283" s="12">
        <f>IFERROR(VALUE(SUBSTITUTE(Raw_Data!E1283,"%",""))/100,"")</f>
        <v>0.37</v>
      </c>
      <c r="G1283" s="13">
        <f>IFERROR(VALUE(Raw_Data!F1283),"")</f>
        <v>3.9</v>
      </c>
      <c r="H1283" s="14">
        <f>IFERROR(VALUE(SUBSTITUTE(Raw_Data!G1283,",","")),"")</f>
        <v>313</v>
      </c>
      <c r="I1283" s="11">
        <f t="shared" si="80"/>
        <v>630</v>
      </c>
      <c r="J1283" s="11">
        <f t="shared" si="81"/>
        <v>334597</v>
      </c>
      <c r="K1283" s="1">
        <f t="shared" si="82"/>
        <v>313.00012829999997</v>
      </c>
      <c r="L1283" s="15">
        <f t="shared" si="83"/>
        <v>0.37012830000000002</v>
      </c>
    </row>
    <row r="1284" spans="1:12" ht="15" customHeight="1" x14ac:dyDescent="0.25">
      <c r="A1284" s="10" t="str">
        <f>Raw_Data!A1284</f>
        <v>Inalsa Electric Fan Heater Hotty - 2000 Watts Variable Temperature Control Cool/Warm/Hot Air Selector | Over Heat Protection | ISI Certification, White</v>
      </c>
      <c r="B1284" s="10" t="str">
        <f>IFERROR(TRIM(LEFT(Raw_Data!A1284,FIND(" ",Raw_Data!A1284)-1)),Raw_Data!A1284)</f>
        <v>Inalsa</v>
      </c>
      <c r="C1284" s="10" t="str">
        <f>IFERROR(LEFT(Raw_Data!B1284,FIND("|",Raw_Data!B1284)-1),Raw_Data!B1284)</f>
        <v>Home&amp;Kitchen</v>
      </c>
      <c r="D1284" s="11">
        <f>IFERROR(VALUE(SUBSTITUTE(SUBSTITUTE(TRIM(Raw_Data!C1284),"₹",""),",","")),"")</f>
        <v>1349</v>
      </c>
      <c r="E1284" s="11">
        <f>IFERROR(VALUE(SUBSTITUTE(SUBSTITUTE(TRIM(Raw_Data!D1284),"₹",""),",","")),"")</f>
        <v>2495</v>
      </c>
      <c r="F1284" s="12">
        <f>IFERROR(VALUE(SUBSTITUTE(Raw_Data!E1284,"%",""))/100,"")</f>
        <v>0.46</v>
      </c>
      <c r="G1284" s="13">
        <f>IFERROR(VALUE(Raw_Data!F1284),"")</f>
        <v>3.8</v>
      </c>
      <c r="H1284" s="14">
        <f>IFERROR(VALUE(SUBSTITUTE(Raw_Data!G1284,",","")),"")</f>
        <v>166</v>
      </c>
      <c r="I1284" s="11">
        <f t="shared" si="80"/>
        <v>1146</v>
      </c>
      <c r="J1284" s="11">
        <f t="shared" si="81"/>
        <v>223934</v>
      </c>
      <c r="K1284" s="1">
        <f t="shared" si="82"/>
        <v>166.00012839999999</v>
      </c>
      <c r="L1284" s="15">
        <f t="shared" si="83"/>
        <v>0.46012839999999999</v>
      </c>
    </row>
    <row r="1285" spans="1:12" ht="15" customHeight="1" x14ac:dyDescent="0.25">
      <c r="A1285" s="10" t="str">
        <f>Raw_Data!A1285</f>
        <v>Havells Zella Flap Auto Immersion Rod 1500 Watts</v>
      </c>
      <c r="B1285" s="10" t="str">
        <f>IFERROR(TRIM(LEFT(Raw_Data!A1285,FIND(" ",Raw_Data!A1285)-1)),Raw_Data!A1285)</f>
        <v>Havells</v>
      </c>
      <c r="C1285" s="10" t="str">
        <f>IFERROR(LEFT(Raw_Data!B1285,FIND("|",Raw_Data!B1285)-1),Raw_Data!B1285)</f>
        <v>Home&amp;Kitchen</v>
      </c>
      <c r="D1285" s="11">
        <f>IFERROR(VALUE(SUBSTITUTE(SUBSTITUTE(TRIM(Raw_Data!C1285),"₹",""),",","")),"")</f>
        <v>1499</v>
      </c>
      <c r="E1285" s="11">
        <f>IFERROR(VALUE(SUBSTITUTE(SUBSTITUTE(TRIM(Raw_Data!D1285),"₹",""),",","")),"")</f>
        <v>3500</v>
      </c>
      <c r="F1285" s="12">
        <f>IFERROR(VALUE(SUBSTITUTE(Raw_Data!E1285,"%",""))/100,"")</f>
        <v>0.56999999999999995</v>
      </c>
      <c r="G1285" s="13">
        <f>IFERROR(VALUE(Raw_Data!F1285),"")</f>
        <v>4.0999999999999996</v>
      </c>
      <c r="H1285" s="14">
        <f>IFERROR(VALUE(SUBSTITUTE(Raw_Data!G1285,",","")),"")</f>
        <v>303</v>
      </c>
      <c r="I1285" s="11">
        <f t="shared" si="80"/>
        <v>2001</v>
      </c>
      <c r="J1285" s="11">
        <f t="shared" si="81"/>
        <v>454197</v>
      </c>
      <c r="K1285" s="1">
        <f t="shared" si="82"/>
        <v>303.00012850000002</v>
      </c>
      <c r="L1285" s="15">
        <f t="shared" si="83"/>
        <v>0.57012849999999993</v>
      </c>
    </row>
    <row r="1286" spans="1:12" ht="15" customHeight="1" x14ac:dyDescent="0.25">
      <c r="A1286" s="10" t="str">
        <f>Raw_Data!A1286</f>
        <v>iBELL SM1301 3-in-1 Sandwich Maker with Detachable Plates for Toast / Waffle / Grill , 750 Watt (Black)</v>
      </c>
      <c r="B1286" s="10" t="str">
        <f>IFERROR(TRIM(LEFT(Raw_Data!A1286,FIND(" ",Raw_Data!A1286)-1)),Raw_Data!A1286)</f>
        <v>iBELL</v>
      </c>
      <c r="C1286" s="10" t="str">
        <f>IFERROR(LEFT(Raw_Data!B1286,FIND("|",Raw_Data!B1286)-1),Raw_Data!B1286)</f>
        <v>Home&amp;Kitchen</v>
      </c>
      <c r="D1286" s="11">
        <f>IFERROR(VALUE(SUBSTITUTE(SUBSTITUTE(TRIM(Raw_Data!C1286),"₹",""),",","")),"")</f>
        <v>2092</v>
      </c>
      <c r="E1286" s="11">
        <f>IFERROR(VALUE(SUBSTITUTE(SUBSTITUTE(TRIM(Raw_Data!D1286),"₹",""),",","")),"")</f>
        <v>4600</v>
      </c>
      <c r="F1286" s="12">
        <f>IFERROR(VALUE(SUBSTITUTE(Raw_Data!E1286,"%",""))/100,"")</f>
        <v>0.55000000000000004</v>
      </c>
      <c r="G1286" s="13">
        <f>IFERROR(VALUE(Raw_Data!F1286),"")</f>
        <v>4.3</v>
      </c>
      <c r="H1286" s="14">
        <f>IFERROR(VALUE(SUBSTITUTE(Raw_Data!G1286,",","")),"")</f>
        <v>562</v>
      </c>
      <c r="I1286" s="11">
        <f t="shared" si="80"/>
        <v>2508</v>
      </c>
      <c r="J1286" s="11">
        <f t="shared" si="81"/>
        <v>1175704</v>
      </c>
      <c r="K1286" s="1">
        <f t="shared" si="82"/>
        <v>562.00012860000004</v>
      </c>
      <c r="L1286" s="15">
        <f t="shared" si="83"/>
        <v>0.55012860000000008</v>
      </c>
    </row>
    <row r="1287" spans="1:12" ht="15" customHeight="1" x14ac:dyDescent="0.25">
      <c r="A1287" s="10" t="str">
        <f>Raw_Data!A1287</f>
        <v>Inalsa Vacuum Cleaner Wet and Dry Micro WD10 with 3in1 Multifunction Wet/Dry/Blowing| 14KPA Suction and Impact Resistant Polymer Tank,(Yellow/Black)</v>
      </c>
      <c r="B1287" s="10" t="str">
        <f>IFERROR(TRIM(LEFT(Raw_Data!A1287,FIND(" ",Raw_Data!A1287)-1)),Raw_Data!A1287)</f>
        <v>Inalsa</v>
      </c>
      <c r="C1287" s="10" t="str">
        <f>IFERROR(LEFT(Raw_Data!B1287,FIND("|",Raw_Data!B1287)-1),Raw_Data!B1287)</f>
        <v>Home&amp;Kitchen</v>
      </c>
      <c r="D1287" s="11">
        <f>IFERROR(VALUE(SUBSTITUTE(SUBSTITUTE(TRIM(Raw_Data!C1287),"₹",""),",","")),"")</f>
        <v>3859</v>
      </c>
      <c r="E1287" s="11">
        <f>IFERROR(VALUE(SUBSTITUTE(SUBSTITUTE(TRIM(Raw_Data!D1287),"₹",""),",","")),"")</f>
        <v>10295</v>
      </c>
      <c r="F1287" s="12">
        <f>IFERROR(VALUE(SUBSTITUTE(Raw_Data!E1287,"%",""))/100,"")</f>
        <v>0.63</v>
      </c>
      <c r="G1287" s="13">
        <f>IFERROR(VALUE(Raw_Data!F1287),"")</f>
        <v>3.9</v>
      </c>
      <c r="H1287" s="14">
        <f>IFERROR(VALUE(SUBSTITUTE(Raw_Data!G1287,",","")),"")</f>
        <v>8095</v>
      </c>
      <c r="I1287" s="11">
        <f t="shared" si="80"/>
        <v>6436</v>
      </c>
      <c r="J1287" s="11">
        <f t="shared" si="81"/>
        <v>31238605</v>
      </c>
      <c r="K1287" s="1">
        <f t="shared" si="82"/>
        <v>8095.0001286999996</v>
      </c>
      <c r="L1287" s="15">
        <f t="shared" si="83"/>
        <v>0.63012869999999999</v>
      </c>
    </row>
    <row r="1288" spans="1:12" ht="15" customHeight="1" x14ac:dyDescent="0.25">
      <c r="A1288" s="10" t="str">
        <f>Raw_Data!A1288</f>
        <v>MR. BRAND Portable USB Juicer Electric USB Juice Maker Mixer Bottle Blender Grinder Mixer,6 Blades Rechargeable Bottle with (Multi color) (MULTI MIXER 6 BLED)</v>
      </c>
      <c r="B1288" s="10" t="str">
        <f>IFERROR(TRIM(LEFT(Raw_Data!A1288,FIND(" ",Raw_Data!A1288)-1)),Raw_Data!A1288)</f>
        <v>MR.</v>
      </c>
      <c r="C1288" s="10" t="str">
        <f>IFERROR(LEFT(Raw_Data!B1288,FIND("|",Raw_Data!B1288)-1),Raw_Data!B1288)</f>
        <v>Home&amp;Kitchen</v>
      </c>
      <c r="D1288" s="11">
        <f>IFERROR(VALUE(SUBSTITUTE(SUBSTITUTE(TRIM(Raw_Data!C1288),"₹",""),",","")),"")</f>
        <v>499</v>
      </c>
      <c r="E1288" s="11">
        <f>IFERROR(VALUE(SUBSTITUTE(SUBSTITUTE(TRIM(Raw_Data!D1288),"₹",""),",","")),"")</f>
        <v>2199</v>
      </c>
      <c r="F1288" s="12">
        <f>IFERROR(VALUE(SUBSTITUTE(Raw_Data!E1288,"%",""))/100,"")</f>
        <v>0.77</v>
      </c>
      <c r="G1288" s="13">
        <f>IFERROR(VALUE(Raw_Data!F1288),"")</f>
        <v>2.8</v>
      </c>
      <c r="H1288" s="14">
        <f>IFERROR(VALUE(SUBSTITUTE(Raw_Data!G1288,",","")),"")</f>
        <v>109</v>
      </c>
      <c r="I1288" s="11">
        <f t="shared" si="80"/>
        <v>1700</v>
      </c>
      <c r="J1288" s="11">
        <f t="shared" si="81"/>
        <v>54391</v>
      </c>
      <c r="K1288" s="1">
        <f t="shared" si="82"/>
        <v>109.0001288</v>
      </c>
      <c r="L1288" s="15">
        <f t="shared" si="83"/>
        <v>0.77012880000000006</v>
      </c>
    </row>
    <row r="1289" spans="1:12" ht="15" customHeight="1" x14ac:dyDescent="0.25">
      <c r="A1289" s="10" t="str">
        <f>Raw_Data!A1289</f>
        <v>Crompton Hill Briz Deco 1200mm (48 inch) High Speed Designer Ceiling Fan (Smoked Brown)</v>
      </c>
      <c r="B1289" s="10" t="str">
        <f>IFERROR(TRIM(LEFT(Raw_Data!A1289,FIND(" ",Raw_Data!A1289)-1)),Raw_Data!A1289)</f>
        <v>Crompton</v>
      </c>
      <c r="C1289" s="10" t="str">
        <f>IFERROR(LEFT(Raw_Data!B1289,FIND("|",Raw_Data!B1289)-1),Raw_Data!B1289)</f>
        <v>Home&amp;Kitchen</v>
      </c>
      <c r="D1289" s="11">
        <f>IFERROR(VALUE(SUBSTITUTE(SUBSTITUTE(TRIM(Raw_Data!C1289),"₹",""),",","")),"")</f>
        <v>1804</v>
      </c>
      <c r="E1289" s="11">
        <f>IFERROR(VALUE(SUBSTITUTE(SUBSTITUTE(TRIM(Raw_Data!D1289),"₹",""),",","")),"")</f>
        <v>2380</v>
      </c>
      <c r="F1289" s="12">
        <f>IFERROR(VALUE(SUBSTITUTE(Raw_Data!E1289,"%",""))/100,"")</f>
        <v>0.24</v>
      </c>
      <c r="G1289" s="13">
        <f>IFERROR(VALUE(Raw_Data!F1289),"")</f>
        <v>4</v>
      </c>
      <c r="H1289" s="14">
        <f>IFERROR(VALUE(SUBSTITUTE(Raw_Data!G1289,",","")),"")</f>
        <v>15382</v>
      </c>
      <c r="I1289" s="11">
        <f t="shared" si="80"/>
        <v>576</v>
      </c>
      <c r="J1289" s="11">
        <f t="shared" si="81"/>
        <v>27749128</v>
      </c>
      <c r="K1289" s="1">
        <f t="shared" si="82"/>
        <v>15382.000128899999</v>
      </c>
      <c r="L1289" s="15">
        <f t="shared" si="83"/>
        <v>0.24012889999999998</v>
      </c>
    </row>
    <row r="1290" spans="1:12" ht="15" customHeight="1" x14ac:dyDescent="0.25">
      <c r="A1290" s="10" t="str">
        <f>Raw_Data!A1290</f>
        <v>Sujata Powermatic Plus, Juicer Mixer Grinder with Chutney Jar, 900 Watts, 3 Jars (White)</v>
      </c>
      <c r="B1290" s="10" t="str">
        <f>IFERROR(TRIM(LEFT(Raw_Data!A1290,FIND(" ",Raw_Data!A1290)-1)),Raw_Data!A1290)</f>
        <v>Sujata</v>
      </c>
      <c r="C1290" s="10" t="str">
        <f>IFERROR(LEFT(Raw_Data!B1290,FIND("|",Raw_Data!B1290)-1),Raw_Data!B1290)</f>
        <v>Home&amp;Kitchen</v>
      </c>
      <c r="D1290" s="11">
        <f>IFERROR(VALUE(SUBSTITUTE(SUBSTITUTE(TRIM(Raw_Data!C1290),"₹",""),",","")),"")</f>
        <v>6525</v>
      </c>
      <c r="E1290" s="11">
        <f>IFERROR(VALUE(SUBSTITUTE(SUBSTITUTE(TRIM(Raw_Data!D1290),"₹",""),",","")),"")</f>
        <v>8820</v>
      </c>
      <c r="F1290" s="12">
        <f>IFERROR(VALUE(SUBSTITUTE(Raw_Data!E1290,"%",""))/100,"")</f>
        <v>0.26</v>
      </c>
      <c r="G1290" s="13">
        <f>IFERROR(VALUE(Raw_Data!F1290),"")</f>
        <v>4.5</v>
      </c>
      <c r="H1290" s="14">
        <f>IFERROR(VALUE(SUBSTITUTE(Raw_Data!G1290,",","")),"")</f>
        <v>5137</v>
      </c>
      <c r="I1290" s="11">
        <f t="shared" si="80"/>
        <v>2295</v>
      </c>
      <c r="J1290" s="11">
        <f t="shared" si="81"/>
        <v>33518925</v>
      </c>
      <c r="K1290" s="1">
        <f t="shared" si="82"/>
        <v>5137.000129</v>
      </c>
      <c r="L1290" s="15">
        <f t="shared" si="83"/>
        <v>0.260129</v>
      </c>
    </row>
    <row r="1291" spans="1:12" ht="15" customHeight="1" x14ac:dyDescent="0.25">
      <c r="A1291" s="10" t="str">
        <f>Raw_Data!A1291</f>
        <v>Aquadpure Copper + Mineral RO+UV+UF 10 to 12 Liter RO + UV + TDS ADJUSTER Water Purifier with Copper Charge Technology black &amp; copper Best For Home and Office (Made In India)</v>
      </c>
      <c r="B1291" s="10" t="str">
        <f>IFERROR(TRIM(LEFT(Raw_Data!A1291,FIND(" ",Raw_Data!A1291)-1)),Raw_Data!A1291)</f>
        <v>Aquadpure</v>
      </c>
      <c r="C1291" s="10" t="str">
        <f>IFERROR(LEFT(Raw_Data!B1291,FIND("|",Raw_Data!B1291)-1),Raw_Data!B1291)</f>
        <v>Home&amp;Kitchen</v>
      </c>
      <c r="D1291" s="11">
        <f>IFERROR(VALUE(SUBSTITUTE(SUBSTITUTE(TRIM(Raw_Data!C1291),"₹",""),",","")),"")</f>
        <v>4999</v>
      </c>
      <c r="E1291" s="11">
        <f>IFERROR(VALUE(SUBSTITUTE(SUBSTITUTE(TRIM(Raw_Data!D1291),"₹",""),",","")),"")</f>
        <v>24999</v>
      </c>
      <c r="F1291" s="12">
        <f>IFERROR(VALUE(SUBSTITUTE(Raw_Data!E1291,"%",""))/100,"")</f>
        <v>0.8</v>
      </c>
      <c r="G1291" s="13">
        <f>IFERROR(VALUE(Raw_Data!F1291),"")</f>
        <v>4.5999999999999996</v>
      </c>
      <c r="H1291" s="14">
        <f>IFERROR(VALUE(SUBSTITUTE(Raw_Data!G1291,",","")),"")</f>
        <v>124</v>
      </c>
      <c r="I1291" s="11">
        <f t="shared" si="80"/>
        <v>20000</v>
      </c>
      <c r="J1291" s="11">
        <f t="shared" si="81"/>
        <v>619876</v>
      </c>
      <c r="K1291" s="1">
        <f t="shared" si="82"/>
        <v>124.0001291</v>
      </c>
      <c r="L1291" s="15">
        <f t="shared" si="83"/>
        <v>0.80012910000000004</v>
      </c>
    </row>
    <row r="1292" spans="1:12" ht="15" customHeight="1" x14ac:dyDescent="0.25">
      <c r="A1292" s="10" t="str">
        <f>Raw_Data!A1292</f>
        <v>Amazon Basics 650 Watt Drip Coffee Maker with Borosilicate Carafe</v>
      </c>
      <c r="B1292" s="10" t="str">
        <f>IFERROR(TRIM(LEFT(Raw_Data!A1292,FIND(" ",Raw_Data!A1292)-1)),Raw_Data!A1292)</f>
        <v>Amazon</v>
      </c>
      <c r="C1292" s="10" t="str">
        <f>IFERROR(LEFT(Raw_Data!B1292,FIND("|",Raw_Data!B1292)-1),Raw_Data!B1292)</f>
        <v>Home&amp;Kitchen</v>
      </c>
      <c r="D1292" s="11">
        <f>IFERROR(VALUE(SUBSTITUTE(SUBSTITUTE(TRIM(Raw_Data!C1292),"₹",""),",","")),"")</f>
        <v>1189</v>
      </c>
      <c r="E1292" s="11">
        <f>IFERROR(VALUE(SUBSTITUTE(SUBSTITUTE(TRIM(Raw_Data!D1292),"₹",""),",","")),"")</f>
        <v>2400</v>
      </c>
      <c r="F1292" s="12">
        <f>IFERROR(VALUE(SUBSTITUTE(Raw_Data!E1292,"%",""))/100,"")</f>
        <v>0.5</v>
      </c>
      <c r="G1292" s="13">
        <f>IFERROR(VALUE(Raw_Data!F1292),"")</f>
        <v>4.0999999999999996</v>
      </c>
      <c r="H1292" s="14">
        <f>IFERROR(VALUE(SUBSTITUTE(Raw_Data!G1292,",","")),"")</f>
        <v>618</v>
      </c>
      <c r="I1292" s="11">
        <f t="shared" si="80"/>
        <v>1211</v>
      </c>
      <c r="J1292" s="11">
        <f t="shared" si="81"/>
        <v>734802</v>
      </c>
      <c r="K1292" s="1">
        <f t="shared" si="82"/>
        <v>618.00012919999995</v>
      </c>
      <c r="L1292" s="15">
        <f t="shared" si="83"/>
        <v>0.50012920000000005</v>
      </c>
    </row>
    <row r="1293" spans="1:12" ht="15" customHeight="1" x14ac:dyDescent="0.25">
      <c r="A1293" s="10" t="str">
        <f>Raw_Data!A1293</f>
        <v>Crompton Insta Delight Fan Circulator Room Heater with 3 Heat Settings (Slate Grey &amp; Black, 2000 Watt)</v>
      </c>
      <c r="B1293" s="10" t="str">
        <f>IFERROR(TRIM(LEFT(Raw_Data!A1293,FIND(" ",Raw_Data!A1293)-1)),Raw_Data!A1293)</f>
        <v>Crompton</v>
      </c>
      <c r="C1293" s="10" t="str">
        <f>IFERROR(LEFT(Raw_Data!B1293,FIND("|",Raw_Data!B1293)-1),Raw_Data!B1293)</f>
        <v>Home&amp;Kitchen</v>
      </c>
      <c r="D1293" s="11">
        <f>IFERROR(VALUE(SUBSTITUTE(SUBSTITUTE(TRIM(Raw_Data!C1293),"₹",""),",","")),"")</f>
        <v>2590</v>
      </c>
      <c r="E1293" s="11">
        <f>IFERROR(VALUE(SUBSTITUTE(SUBSTITUTE(TRIM(Raw_Data!D1293),"₹",""),",","")),"")</f>
        <v>4200</v>
      </c>
      <c r="F1293" s="12">
        <f>IFERROR(VALUE(SUBSTITUTE(Raw_Data!E1293,"%",""))/100,"")</f>
        <v>0.38</v>
      </c>
      <c r="G1293" s="13">
        <f>IFERROR(VALUE(Raw_Data!F1293),"")</f>
        <v>4.0999999999999996</v>
      </c>
      <c r="H1293" s="14">
        <f>IFERROR(VALUE(SUBSTITUTE(Raw_Data!G1293,",","")),"")</f>
        <v>63</v>
      </c>
      <c r="I1293" s="11">
        <f t="shared" si="80"/>
        <v>1610</v>
      </c>
      <c r="J1293" s="11">
        <f t="shared" si="81"/>
        <v>163170</v>
      </c>
      <c r="K1293" s="1">
        <f t="shared" si="82"/>
        <v>63.000129299999998</v>
      </c>
      <c r="L1293" s="15">
        <f t="shared" si="83"/>
        <v>0.3801293</v>
      </c>
    </row>
    <row r="1294" spans="1:12" ht="15" customHeight="1" x14ac:dyDescent="0.25">
      <c r="A1294" s="10" t="str">
        <f>Raw_Data!A1294</f>
        <v>!!HANEUL!!1000 Watt/2000-Watt Room Heater!! Fan Heater!!Pure White!!HN-2500!!Made in India!!Thermoset!!</v>
      </c>
      <c r="B1294" s="10" t="str">
        <f>IFERROR(TRIM(LEFT(Raw_Data!A1294,FIND(" ",Raw_Data!A1294)-1)),Raw_Data!A1294)</f>
        <v>!!HANEUL!!1000</v>
      </c>
      <c r="C1294" s="10" t="str">
        <f>IFERROR(LEFT(Raw_Data!B1294,FIND("|",Raw_Data!B1294)-1),Raw_Data!B1294)</f>
        <v>Home&amp;Kitchen</v>
      </c>
      <c r="D1294" s="11">
        <f>IFERROR(VALUE(SUBSTITUTE(SUBSTITUTE(TRIM(Raw_Data!C1294),"₹",""),",","")),"")</f>
        <v>899</v>
      </c>
      <c r="E1294" s="11">
        <f>IFERROR(VALUE(SUBSTITUTE(SUBSTITUTE(TRIM(Raw_Data!D1294),"₹",""),",","")),"")</f>
        <v>1599</v>
      </c>
      <c r="F1294" s="12">
        <f>IFERROR(VALUE(SUBSTITUTE(Raw_Data!E1294,"%",""))/100,"")</f>
        <v>0.44</v>
      </c>
      <c r="G1294" s="13">
        <f>IFERROR(VALUE(Raw_Data!F1294),"")</f>
        <v>3.4</v>
      </c>
      <c r="H1294" s="14">
        <f>IFERROR(VALUE(SUBSTITUTE(Raw_Data!G1294,",","")),"")</f>
        <v>15</v>
      </c>
      <c r="I1294" s="11">
        <f t="shared" si="80"/>
        <v>700</v>
      </c>
      <c r="J1294" s="11">
        <f t="shared" si="81"/>
        <v>13485</v>
      </c>
      <c r="K1294" s="1">
        <f t="shared" si="82"/>
        <v>15.000129400000001</v>
      </c>
      <c r="L1294" s="15">
        <f t="shared" si="83"/>
        <v>0.4401294</v>
      </c>
    </row>
    <row r="1295" spans="1:12" ht="15" customHeight="1" x14ac:dyDescent="0.25">
      <c r="A1295" s="10" t="str">
        <f>Raw_Data!A1295</f>
        <v>Melbon VM-905 2000-Watt Room Heater (ISI Certified, White Color) Ideal Electric Fan Heater for Small to Medium Room/Area (Plastic Body)</v>
      </c>
      <c r="B1295" s="10" t="str">
        <f>IFERROR(TRIM(LEFT(Raw_Data!A1295,FIND(" ",Raw_Data!A1295)-1)),Raw_Data!A1295)</f>
        <v>Melbon</v>
      </c>
      <c r="C1295" s="10" t="str">
        <f>IFERROR(LEFT(Raw_Data!B1295,FIND("|",Raw_Data!B1295)-1),Raw_Data!B1295)</f>
        <v>Home&amp;Kitchen</v>
      </c>
      <c r="D1295" s="11">
        <f>IFERROR(VALUE(SUBSTITUTE(SUBSTITUTE(TRIM(Raw_Data!C1295),"₹",""),",","")),"")</f>
        <v>998</v>
      </c>
      <c r="E1295" s="11">
        <f>IFERROR(VALUE(SUBSTITUTE(SUBSTITUTE(TRIM(Raw_Data!D1295),"₹",""),",","")),"")</f>
        <v>2999</v>
      </c>
      <c r="F1295" s="12">
        <f>IFERROR(VALUE(SUBSTITUTE(Raw_Data!E1295,"%",""))/100,"")</f>
        <v>0.67</v>
      </c>
      <c r="G1295" s="13">
        <f>IFERROR(VALUE(Raw_Data!F1295),"")</f>
        <v>4.5999999999999996</v>
      </c>
      <c r="H1295" s="14">
        <f>IFERROR(VALUE(SUBSTITUTE(Raw_Data!G1295,",","")),"")</f>
        <v>9</v>
      </c>
      <c r="I1295" s="11">
        <f t="shared" si="80"/>
        <v>2001</v>
      </c>
      <c r="J1295" s="11">
        <f t="shared" si="81"/>
        <v>8982</v>
      </c>
      <c r="K1295" s="1">
        <f t="shared" si="82"/>
        <v>9.0001294999999999</v>
      </c>
      <c r="L1295" s="15">
        <f t="shared" si="83"/>
        <v>0.67012950000000004</v>
      </c>
    </row>
    <row r="1296" spans="1:12" ht="15" customHeight="1" x14ac:dyDescent="0.25">
      <c r="A1296" s="10" t="str">
        <f>Raw_Data!A1296</f>
        <v>Cello Eliza Plastic Laundry Bag/Basket, 50 litres, Light Grey</v>
      </c>
      <c r="B1296" s="10" t="str">
        <f>IFERROR(TRIM(LEFT(Raw_Data!A1296,FIND(" ",Raw_Data!A1296)-1)),Raw_Data!A1296)</f>
        <v>Cello</v>
      </c>
      <c r="C1296" s="10" t="str">
        <f>IFERROR(LEFT(Raw_Data!B1296,FIND("|",Raw_Data!B1296)-1),Raw_Data!B1296)</f>
        <v>Home&amp;Kitchen</v>
      </c>
      <c r="D1296" s="11">
        <f>IFERROR(VALUE(SUBSTITUTE(SUBSTITUTE(TRIM(Raw_Data!C1296),"₹",""),",","")),"")</f>
        <v>998.06</v>
      </c>
      <c r="E1296" s="11">
        <f>IFERROR(VALUE(SUBSTITUTE(SUBSTITUTE(TRIM(Raw_Data!D1296),"₹",""),",","")),"")</f>
        <v>1282</v>
      </c>
      <c r="F1296" s="12">
        <f>IFERROR(VALUE(SUBSTITUTE(Raw_Data!E1296,"%",""))/100,"")</f>
        <v>0.22</v>
      </c>
      <c r="G1296" s="13">
        <f>IFERROR(VALUE(Raw_Data!F1296),"")</f>
        <v>4.2</v>
      </c>
      <c r="H1296" s="14">
        <f>IFERROR(VALUE(SUBSTITUTE(Raw_Data!G1296,",","")),"")</f>
        <v>7274</v>
      </c>
      <c r="I1296" s="11">
        <f t="shared" si="80"/>
        <v>283.94000000000005</v>
      </c>
      <c r="J1296" s="11">
        <f t="shared" si="81"/>
        <v>7259888.4399999995</v>
      </c>
      <c r="K1296" s="1">
        <f t="shared" si="82"/>
        <v>7274.0001296</v>
      </c>
      <c r="L1296" s="15">
        <f t="shared" si="83"/>
        <v>0.22012960000000001</v>
      </c>
    </row>
    <row r="1297" spans="1:12" ht="15" customHeight="1" x14ac:dyDescent="0.25">
      <c r="A1297" s="10" t="str">
        <f>Raw_Data!A1297</f>
        <v>ACTIVA 1200 MM HIGH SPEED 390 RPM BEE APPROVED 5 STAR RATED APSRA CEILING FAN BROWN 2 Years Warranty</v>
      </c>
      <c r="B1297" s="10" t="str">
        <f>IFERROR(TRIM(LEFT(Raw_Data!A1297,FIND(" ",Raw_Data!A1297)-1)),Raw_Data!A1297)</f>
        <v>ACTIVA</v>
      </c>
      <c r="C1297" s="10" t="str">
        <f>IFERROR(LEFT(Raw_Data!B1297,FIND("|",Raw_Data!B1297)-1),Raw_Data!B1297)</f>
        <v>Home&amp;Kitchen</v>
      </c>
      <c r="D1297" s="11">
        <f>IFERROR(VALUE(SUBSTITUTE(SUBSTITUTE(TRIM(Raw_Data!C1297),"₹",""),",","")),"")</f>
        <v>1099</v>
      </c>
      <c r="E1297" s="11">
        <f>IFERROR(VALUE(SUBSTITUTE(SUBSTITUTE(TRIM(Raw_Data!D1297),"₹",""),",","")),"")</f>
        <v>1990</v>
      </c>
      <c r="F1297" s="12">
        <f>IFERROR(VALUE(SUBSTITUTE(Raw_Data!E1297,"%",""))/100,"")</f>
        <v>0.45</v>
      </c>
      <c r="G1297" s="13">
        <f>IFERROR(VALUE(Raw_Data!F1297),"")</f>
        <v>3.9</v>
      </c>
      <c r="H1297" s="14">
        <f>IFERROR(VALUE(SUBSTITUTE(Raw_Data!G1297,",","")),"")</f>
        <v>5911</v>
      </c>
      <c r="I1297" s="11">
        <f t="shared" si="80"/>
        <v>891</v>
      </c>
      <c r="J1297" s="11">
        <f t="shared" si="81"/>
        <v>6496189</v>
      </c>
      <c r="K1297" s="1">
        <f t="shared" si="82"/>
        <v>5911.0001296999999</v>
      </c>
      <c r="L1297" s="15">
        <f t="shared" si="83"/>
        <v>0.45012970000000002</v>
      </c>
    </row>
    <row r="1298" spans="1:12" ht="15" customHeight="1" x14ac:dyDescent="0.25">
      <c r="A1298" s="10" t="str">
        <f>Raw_Data!A1298</f>
        <v>Shakti Technology S5 High Pressure Car Washer Machine 1900 Watts and Pressure 125 Bar with 10 Meter Hose Pipe</v>
      </c>
      <c r="B1298" s="10" t="str">
        <f>IFERROR(TRIM(LEFT(Raw_Data!A1298,FIND(" ",Raw_Data!A1298)-1)),Raw_Data!A1298)</f>
        <v>Shakti</v>
      </c>
      <c r="C1298" s="10" t="str">
        <f>IFERROR(LEFT(Raw_Data!B1298,FIND("|",Raw_Data!B1298)-1),Raw_Data!B1298)</f>
        <v>Home&amp;Kitchen</v>
      </c>
      <c r="D1298" s="11">
        <f>IFERROR(VALUE(SUBSTITUTE(SUBSTITUTE(TRIM(Raw_Data!C1298),"₹",""),",","")),"")</f>
        <v>5999</v>
      </c>
      <c r="E1298" s="11">
        <f>IFERROR(VALUE(SUBSTITUTE(SUBSTITUTE(TRIM(Raw_Data!D1298),"₹",""),",","")),"")</f>
        <v>9999</v>
      </c>
      <c r="F1298" s="12">
        <f>IFERROR(VALUE(SUBSTITUTE(Raw_Data!E1298,"%",""))/100,"")</f>
        <v>0.4</v>
      </c>
      <c r="G1298" s="13">
        <f>IFERROR(VALUE(Raw_Data!F1298),"")</f>
        <v>4.2</v>
      </c>
      <c r="H1298" s="14">
        <f>IFERROR(VALUE(SUBSTITUTE(Raw_Data!G1298,",","")),"")</f>
        <v>170</v>
      </c>
      <c r="I1298" s="11">
        <f t="shared" si="80"/>
        <v>4000</v>
      </c>
      <c r="J1298" s="11">
        <f t="shared" si="81"/>
        <v>1019830</v>
      </c>
      <c r="K1298" s="1">
        <f t="shared" si="82"/>
        <v>170.0001298</v>
      </c>
      <c r="L1298" s="15">
        <f t="shared" si="83"/>
        <v>0.40012980000000004</v>
      </c>
    </row>
    <row r="1299" spans="1:12" ht="15" customHeight="1" x14ac:dyDescent="0.25">
      <c r="A1299" s="10" t="str">
        <f>Raw_Data!A1299</f>
        <v>AMERICAN MICRONIC- Imported Wet &amp; Dry Vacuum Cleaner, 21 Litre Stainless Steel with Blower &amp; HEPA filter, 1600 Watts 100% Copper Motor 28 KPa suction with washable reusable dust bag (Red/Black/Steel)-AMI-VCD21-1600WDx</v>
      </c>
      <c r="B1299" s="10" t="str">
        <f>IFERROR(TRIM(LEFT(Raw_Data!A1299,FIND(" ",Raw_Data!A1299)-1)),Raw_Data!A1299)</f>
        <v>AMERICAN</v>
      </c>
      <c r="C1299" s="10" t="str">
        <f>IFERROR(LEFT(Raw_Data!B1299,FIND("|",Raw_Data!B1299)-1),Raw_Data!B1299)</f>
        <v>Home&amp;Kitchen</v>
      </c>
      <c r="D1299" s="11">
        <f>IFERROR(VALUE(SUBSTITUTE(SUBSTITUTE(TRIM(Raw_Data!C1299),"₹",""),",","")),"")</f>
        <v>8886</v>
      </c>
      <c r="E1299" s="11">
        <f>IFERROR(VALUE(SUBSTITUTE(SUBSTITUTE(TRIM(Raw_Data!D1299),"₹",""),",","")),"")</f>
        <v>11850</v>
      </c>
      <c r="F1299" s="12">
        <f>IFERROR(VALUE(SUBSTITUTE(Raw_Data!E1299,"%",""))/100,"")</f>
        <v>0.25</v>
      </c>
      <c r="G1299" s="13">
        <f>IFERROR(VALUE(Raw_Data!F1299),"")</f>
        <v>4.2</v>
      </c>
      <c r="H1299" s="14">
        <f>IFERROR(VALUE(SUBSTITUTE(Raw_Data!G1299,",","")),"")</f>
        <v>3065</v>
      </c>
      <c r="I1299" s="11">
        <f t="shared" si="80"/>
        <v>2964</v>
      </c>
      <c r="J1299" s="11">
        <f t="shared" si="81"/>
        <v>27235590</v>
      </c>
      <c r="K1299" s="1">
        <f t="shared" si="82"/>
        <v>3065.0001299</v>
      </c>
      <c r="L1299" s="15">
        <f t="shared" si="83"/>
        <v>0.25012990000000002</v>
      </c>
    </row>
    <row r="1300" spans="1:12" ht="15" customHeight="1" x14ac:dyDescent="0.25">
      <c r="A1300" s="10" t="str">
        <f>Raw_Data!A1300</f>
        <v>Demokrazy New Nova Lint Cum Fuzz Remover for All Woolens Sweaters, Blankets, Jackets Remover Pill Remover from Carpets, Curtains (Pack of 1)</v>
      </c>
      <c r="B1300" s="10" t="str">
        <f>IFERROR(TRIM(LEFT(Raw_Data!A1300,FIND(" ",Raw_Data!A1300)-1)),Raw_Data!A1300)</f>
        <v>Demokrazy</v>
      </c>
      <c r="C1300" s="10" t="str">
        <f>IFERROR(LEFT(Raw_Data!B1300,FIND("|",Raw_Data!B1300)-1),Raw_Data!B1300)</f>
        <v>Home&amp;Kitchen</v>
      </c>
      <c r="D1300" s="11">
        <f>IFERROR(VALUE(SUBSTITUTE(SUBSTITUTE(TRIM(Raw_Data!C1300),"₹",""),",","")),"")</f>
        <v>475</v>
      </c>
      <c r="E1300" s="11">
        <f>IFERROR(VALUE(SUBSTITUTE(SUBSTITUTE(TRIM(Raw_Data!D1300),"₹",""),",","")),"")</f>
        <v>999</v>
      </c>
      <c r="F1300" s="12">
        <f>IFERROR(VALUE(SUBSTITUTE(Raw_Data!E1300,"%",""))/100,"")</f>
        <v>0.52</v>
      </c>
      <c r="G1300" s="13">
        <f>IFERROR(VALUE(Raw_Data!F1300),"")</f>
        <v>4.0999999999999996</v>
      </c>
      <c r="H1300" s="14">
        <f>IFERROR(VALUE(SUBSTITUTE(Raw_Data!G1300,",","")),"")</f>
        <v>1021</v>
      </c>
      <c r="I1300" s="11">
        <f t="shared" si="80"/>
        <v>524</v>
      </c>
      <c r="J1300" s="11">
        <f t="shared" si="81"/>
        <v>484975</v>
      </c>
      <c r="K1300" s="1">
        <f t="shared" si="82"/>
        <v>1021.00013</v>
      </c>
      <c r="L1300" s="15">
        <f t="shared" si="83"/>
        <v>0.52012999999999998</v>
      </c>
    </row>
    <row r="1301" spans="1:12" ht="15" customHeight="1" x14ac:dyDescent="0.25">
      <c r="A1301" s="10" t="str">
        <f>Raw_Data!A1301</f>
        <v>Instant Pot Air Fryer, Vortex 2QT, Touch Control Panel, 360° EvenCrisp™ Technology, Uses 95 % less Oil, 4-in-1 Appliance: Air Fry, Roast, Bake, Reheat (Vortex 1.97Litre, Black)</v>
      </c>
      <c r="B1301" s="10" t="str">
        <f>IFERROR(TRIM(LEFT(Raw_Data!A1301,FIND(" ",Raw_Data!A1301)-1)),Raw_Data!A1301)</f>
        <v>Instant</v>
      </c>
      <c r="C1301" s="10" t="str">
        <f>IFERROR(LEFT(Raw_Data!B1301,FIND("|",Raw_Data!B1301)-1),Raw_Data!B1301)</f>
        <v>Home&amp;Kitchen</v>
      </c>
      <c r="D1301" s="11">
        <f>IFERROR(VALUE(SUBSTITUTE(SUBSTITUTE(TRIM(Raw_Data!C1301),"₹",""),",","")),"")</f>
        <v>4995</v>
      </c>
      <c r="E1301" s="11">
        <f>IFERROR(VALUE(SUBSTITUTE(SUBSTITUTE(TRIM(Raw_Data!D1301),"₹",""),",","")),"")</f>
        <v>20049</v>
      </c>
      <c r="F1301" s="12">
        <f>IFERROR(VALUE(SUBSTITUTE(Raw_Data!E1301,"%",""))/100,"")</f>
        <v>0.75</v>
      </c>
      <c r="G1301" s="13">
        <f>IFERROR(VALUE(Raw_Data!F1301),"")</f>
        <v>4.8</v>
      </c>
      <c r="H1301" s="14">
        <f>IFERROR(VALUE(SUBSTITUTE(Raw_Data!G1301,",","")),"")</f>
        <v>3964</v>
      </c>
      <c r="I1301" s="11">
        <f t="shared" si="80"/>
        <v>15054</v>
      </c>
      <c r="J1301" s="11">
        <f t="shared" si="81"/>
        <v>19800180</v>
      </c>
      <c r="K1301" s="1">
        <f t="shared" si="82"/>
        <v>3964.0001301000002</v>
      </c>
      <c r="L1301" s="15">
        <f t="shared" si="83"/>
        <v>0.75013010000000002</v>
      </c>
    </row>
    <row r="1302" spans="1:12" ht="15" customHeight="1" x14ac:dyDescent="0.25">
      <c r="A1302" s="10" t="str">
        <f>Raw_Data!A1302</f>
        <v>HUL Pureit Eco Water Saver Mineral RO+UV+MF AS wall mounted/Counter top Black 10L Water Purifier</v>
      </c>
      <c r="B1302" s="10" t="str">
        <f>IFERROR(TRIM(LEFT(Raw_Data!A1302,FIND(" ",Raw_Data!A1302)-1)),Raw_Data!A1302)</f>
        <v>HUL</v>
      </c>
      <c r="C1302" s="10" t="str">
        <f>IFERROR(LEFT(Raw_Data!B1302,FIND("|",Raw_Data!B1302)-1),Raw_Data!B1302)</f>
        <v>Home&amp;Kitchen</v>
      </c>
      <c r="D1302" s="11">
        <f>IFERROR(VALUE(SUBSTITUTE(SUBSTITUTE(TRIM(Raw_Data!C1302),"₹",""),",","")),"")</f>
        <v>13999</v>
      </c>
      <c r="E1302" s="11">
        <f>IFERROR(VALUE(SUBSTITUTE(SUBSTITUTE(TRIM(Raw_Data!D1302),"₹",""),",","")),"")</f>
        <v>24850</v>
      </c>
      <c r="F1302" s="12">
        <f>IFERROR(VALUE(SUBSTITUTE(Raw_Data!E1302,"%",""))/100,"")</f>
        <v>0.44</v>
      </c>
      <c r="G1302" s="13">
        <f>IFERROR(VALUE(Raw_Data!F1302),"")</f>
        <v>4.4000000000000004</v>
      </c>
      <c r="H1302" s="14">
        <f>IFERROR(VALUE(SUBSTITUTE(Raw_Data!G1302,",","")),"")</f>
        <v>8948</v>
      </c>
      <c r="I1302" s="11">
        <f t="shared" si="80"/>
        <v>10851</v>
      </c>
      <c r="J1302" s="11">
        <f t="shared" si="81"/>
        <v>125263052</v>
      </c>
      <c r="K1302" s="1">
        <f t="shared" si="82"/>
        <v>8948.0001302000001</v>
      </c>
      <c r="L1302" s="15">
        <f t="shared" si="83"/>
        <v>0.44013020000000003</v>
      </c>
    </row>
    <row r="1303" spans="1:12" ht="15" customHeight="1" x14ac:dyDescent="0.25">
      <c r="A1303" s="10" t="str">
        <f>Raw_Data!A1303</f>
        <v>Livpure Glo Star RO+UV+UF+Mineraliser - 7 L Storage Tank, 15 LPH Water Purifier for Home, Black</v>
      </c>
      <c r="B1303" s="10" t="str">
        <f>IFERROR(TRIM(LEFT(Raw_Data!A1303,FIND(" ",Raw_Data!A1303)-1)),Raw_Data!A1303)</f>
        <v>Livpure</v>
      </c>
      <c r="C1303" s="10" t="str">
        <f>IFERROR(LEFT(Raw_Data!B1303,FIND("|",Raw_Data!B1303)-1),Raw_Data!B1303)</f>
        <v>Home&amp;Kitchen</v>
      </c>
      <c r="D1303" s="11">
        <f>IFERROR(VALUE(SUBSTITUTE(SUBSTITUTE(TRIM(Raw_Data!C1303),"₹",""),",","")),"")</f>
        <v>8499</v>
      </c>
      <c r="E1303" s="11">
        <f>IFERROR(VALUE(SUBSTITUTE(SUBSTITUTE(TRIM(Raw_Data!D1303),"₹",""),",","")),"")</f>
        <v>16490</v>
      </c>
      <c r="F1303" s="12">
        <f>IFERROR(VALUE(SUBSTITUTE(Raw_Data!E1303,"%",""))/100,"")</f>
        <v>0.48</v>
      </c>
      <c r="G1303" s="13">
        <f>IFERROR(VALUE(Raw_Data!F1303),"")</f>
        <v>4.3</v>
      </c>
      <c r="H1303" s="14">
        <f>IFERROR(VALUE(SUBSTITUTE(Raw_Data!G1303,",","")),"")</f>
        <v>97</v>
      </c>
      <c r="I1303" s="11">
        <f t="shared" si="80"/>
        <v>7991</v>
      </c>
      <c r="J1303" s="11">
        <f t="shared" si="81"/>
        <v>824403</v>
      </c>
      <c r="K1303" s="1">
        <f t="shared" si="82"/>
        <v>97.000130299999995</v>
      </c>
      <c r="L1303" s="15">
        <f t="shared" si="83"/>
        <v>0.48013030000000001</v>
      </c>
    </row>
    <row r="1304" spans="1:12" ht="15" customHeight="1" x14ac:dyDescent="0.25">
      <c r="A1304" s="10" t="str">
        <f>Raw_Data!A1304</f>
        <v>Philips Hi113 1000-Watt Plastic Body Ptfe Coating Dry Iron, Pack of 1</v>
      </c>
      <c r="B1304" s="10" t="str">
        <f>IFERROR(TRIM(LEFT(Raw_Data!A1304,FIND(" ",Raw_Data!A1304)-1)),Raw_Data!A1304)</f>
        <v>Philips</v>
      </c>
      <c r="C1304" s="10" t="str">
        <f>IFERROR(LEFT(Raw_Data!B1304,FIND("|",Raw_Data!B1304)-1),Raw_Data!B1304)</f>
        <v>Home&amp;Kitchen</v>
      </c>
      <c r="D1304" s="11">
        <f>IFERROR(VALUE(SUBSTITUTE(SUBSTITUTE(TRIM(Raw_Data!C1304),"₹",""),",","")),"")</f>
        <v>949</v>
      </c>
      <c r="E1304" s="11">
        <f>IFERROR(VALUE(SUBSTITUTE(SUBSTITUTE(TRIM(Raw_Data!D1304),"₹",""),",","")),"")</f>
        <v>975</v>
      </c>
      <c r="F1304" s="12">
        <f>IFERROR(VALUE(SUBSTITUTE(Raw_Data!E1304,"%",""))/100,"")</f>
        <v>0.03</v>
      </c>
      <c r="G1304" s="13">
        <f>IFERROR(VALUE(Raw_Data!F1304),"")</f>
        <v>4.3</v>
      </c>
      <c r="H1304" s="14">
        <f>IFERROR(VALUE(SUBSTITUTE(Raw_Data!G1304,",","")),"")</f>
        <v>7223</v>
      </c>
      <c r="I1304" s="11">
        <f t="shared" si="80"/>
        <v>26</v>
      </c>
      <c r="J1304" s="11">
        <f t="shared" si="81"/>
        <v>6854627</v>
      </c>
      <c r="K1304" s="1">
        <f t="shared" si="82"/>
        <v>7223.0001303999998</v>
      </c>
      <c r="L1304" s="15">
        <f t="shared" si="83"/>
        <v>3.0130399999999998E-2</v>
      </c>
    </row>
    <row r="1305" spans="1:12" ht="15" customHeight="1" x14ac:dyDescent="0.25">
      <c r="A1305" s="10" t="str">
        <f>Raw_Data!A1305</f>
        <v>Kuber Industries Round Non Woven Fabric Foldable Laundry Basket|Toy Storage Basket|Cloth Storage Basket With Handles| Capicity 45 Ltr (Grey &amp; Black)-KUBMART11446</v>
      </c>
      <c r="B1305" s="10" t="str">
        <f>IFERROR(TRIM(LEFT(Raw_Data!A1305,FIND(" ",Raw_Data!A1305)-1)),Raw_Data!A1305)</f>
        <v>Kuber</v>
      </c>
      <c r="C1305" s="10" t="str">
        <f>IFERROR(LEFT(Raw_Data!B1305,FIND("|",Raw_Data!B1305)-1),Raw_Data!B1305)</f>
        <v>Home&amp;Kitchen</v>
      </c>
      <c r="D1305" s="11">
        <f>IFERROR(VALUE(SUBSTITUTE(SUBSTITUTE(TRIM(Raw_Data!C1305),"₹",""),",","")),"")</f>
        <v>395</v>
      </c>
      <c r="E1305" s="11">
        <f>IFERROR(VALUE(SUBSTITUTE(SUBSTITUTE(TRIM(Raw_Data!D1305),"₹",""),",","")),"")</f>
        <v>499</v>
      </c>
      <c r="F1305" s="12">
        <f>IFERROR(VALUE(SUBSTITUTE(Raw_Data!E1305,"%",""))/100,"")</f>
        <v>0.21</v>
      </c>
      <c r="G1305" s="13">
        <f>IFERROR(VALUE(Raw_Data!F1305),"")</f>
        <v>4</v>
      </c>
      <c r="H1305" s="14">
        <f>IFERROR(VALUE(SUBSTITUTE(Raw_Data!G1305,",","")),"")</f>
        <v>330</v>
      </c>
      <c r="I1305" s="11">
        <f t="shared" si="80"/>
        <v>104</v>
      </c>
      <c r="J1305" s="11">
        <f t="shared" si="81"/>
        <v>130350</v>
      </c>
      <c r="K1305" s="1">
        <f t="shared" si="82"/>
        <v>330.00013050000001</v>
      </c>
      <c r="L1305" s="15">
        <f t="shared" si="83"/>
        <v>0.2101305</v>
      </c>
    </row>
    <row r="1306" spans="1:12" ht="15" customHeight="1" x14ac:dyDescent="0.25">
      <c r="A1306" s="10" t="str">
        <f>Raw_Data!A1306</f>
        <v>Preethi MGA-502 0.4-Litre Grind and Store Jar (White), stainless steel, Set of 1</v>
      </c>
      <c r="B1306" s="10" t="str">
        <f>IFERROR(TRIM(LEFT(Raw_Data!A1306,FIND(" ",Raw_Data!A1306)-1)),Raw_Data!A1306)</f>
        <v>Preethi</v>
      </c>
      <c r="C1306" s="10" t="str">
        <f>IFERROR(LEFT(Raw_Data!B1306,FIND("|",Raw_Data!B1306)-1),Raw_Data!B1306)</f>
        <v>Home&amp;Kitchen</v>
      </c>
      <c r="D1306" s="11">
        <f>IFERROR(VALUE(SUBSTITUTE(SUBSTITUTE(TRIM(Raw_Data!C1306),"₹",""),",","")),"")</f>
        <v>635</v>
      </c>
      <c r="E1306" s="11">
        <f>IFERROR(VALUE(SUBSTITUTE(SUBSTITUTE(TRIM(Raw_Data!D1306),"₹",""),",","")),"")</f>
        <v>635</v>
      </c>
      <c r="F1306" s="12">
        <f>IFERROR(VALUE(SUBSTITUTE(Raw_Data!E1306,"%",""))/100,"")</f>
        <v>0</v>
      </c>
      <c r="G1306" s="13">
        <f>IFERROR(VALUE(Raw_Data!F1306),"")</f>
        <v>4.3</v>
      </c>
      <c r="H1306" s="14">
        <f>IFERROR(VALUE(SUBSTITUTE(Raw_Data!G1306,",","")),"")</f>
        <v>4570</v>
      </c>
      <c r="I1306" s="11">
        <f t="shared" si="80"/>
        <v>0</v>
      </c>
      <c r="J1306" s="11">
        <f t="shared" si="81"/>
        <v>2901950</v>
      </c>
      <c r="K1306" s="1">
        <f t="shared" si="82"/>
        <v>4570.0001306000004</v>
      </c>
      <c r="L1306" s="15">
        <f t="shared" si="83"/>
        <v>1.306E-4</v>
      </c>
    </row>
    <row r="1307" spans="1:12" ht="15" customHeight="1" x14ac:dyDescent="0.25">
      <c r="A1307" s="10" t="str">
        <f>Raw_Data!A1307</f>
        <v>Usha Aurora 1000 W Dry Iron with Innovative Tail Light Indicator, Weilburger Soleplate (White &amp; Grey)</v>
      </c>
      <c r="B1307" s="10" t="str">
        <f>IFERROR(TRIM(LEFT(Raw_Data!A1307,FIND(" ",Raw_Data!A1307)-1)),Raw_Data!A1307)</f>
        <v>Usha</v>
      </c>
      <c r="C1307" s="10" t="str">
        <f>IFERROR(LEFT(Raw_Data!B1307,FIND("|",Raw_Data!B1307)-1),Raw_Data!B1307)</f>
        <v>Home&amp;Kitchen</v>
      </c>
      <c r="D1307" s="11">
        <f>IFERROR(VALUE(SUBSTITUTE(SUBSTITUTE(TRIM(Raw_Data!C1307),"₹",""),",","")),"")</f>
        <v>717</v>
      </c>
      <c r="E1307" s="11">
        <f>IFERROR(VALUE(SUBSTITUTE(SUBSTITUTE(TRIM(Raw_Data!D1307),"₹",""),",","")),"")</f>
        <v>1390</v>
      </c>
      <c r="F1307" s="12">
        <f>IFERROR(VALUE(SUBSTITUTE(Raw_Data!E1307,"%",""))/100,"")</f>
        <v>0.48</v>
      </c>
      <c r="G1307" s="13">
        <f>IFERROR(VALUE(Raw_Data!F1307),"")</f>
        <v>4</v>
      </c>
      <c r="H1307" s="14">
        <f>IFERROR(VALUE(SUBSTITUTE(Raw_Data!G1307,",","")),"")</f>
        <v>4867</v>
      </c>
      <c r="I1307" s="11">
        <f t="shared" si="80"/>
        <v>673</v>
      </c>
      <c r="J1307" s="11">
        <f t="shared" si="81"/>
        <v>3489639</v>
      </c>
      <c r="K1307" s="1">
        <f t="shared" si="82"/>
        <v>4867.0001307000002</v>
      </c>
      <c r="L1307" s="15">
        <f t="shared" si="83"/>
        <v>0.48013069999999997</v>
      </c>
    </row>
    <row r="1308" spans="1:12" ht="15" customHeight="1" x14ac:dyDescent="0.25">
      <c r="A1308" s="10" t="str">
        <f>Raw_Data!A1308</f>
        <v>ECOVACS DEEBOT N8 2-in-1 Robotic Vacuum Cleaner, 2022 New Launch, Most Powerful Suction, Covers 2000+ Sq. Ft in One Charge, Advanced dToF Technology with OZMO Mopping (DEEBOT N8) - White</v>
      </c>
      <c r="B1308" s="10" t="str">
        <f>IFERROR(TRIM(LEFT(Raw_Data!A1308,FIND(" ",Raw_Data!A1308)-1)),Raw_Data!A1308)</f>
        <v>ECOVACS</v>
      </c>
      <c r="C1308" s="10" t="str">
        <f>IFERROR(LEFT(Raw_Data!B1308,FIND("|",Raw_Data!B1308)-1),Raw_Data!B1308)</f>
        <v>Home&amp;Kitchen</v>
      </c>
      <c r="D1308" s="11">
        <f>IFERROR(VALUE(SUBSTITUTE(SUBSTITUTE(TRIM(Raw_Data!C1308),"₹",""),",","")),"")</f>
        <v>27900</v>
      </c>
      <c r="E1308" s="11">
        <f>IFERROR(VALUE(SUBSTITUTE(SUBSTITUTE(TRIM(Raw_Data!D1308),"₹",""),",","")),"")</f>
        <v>59900</v>
      </c>
      <c r="F1308" s="12">
        <f>IFERROR(VALUE(SUBSTITUTE(Raw_Data!E1308,"%",""))/100,"")</f>
        <v>0.53</v>
      </c>
      <c r="G1308" s="13">
        <f>IFERROR(VALUE(Raw_Data!F1308),"")</f>
        <v>4.4000000000000004</v>
      </c>
      <c r="H1308" s="14">
        <f>IFERROR(VALUE(SUBSTITUTE(Raw_Data!G1308,",","")),"")</f>
        <v>5298</v>
      </c>
      <c r="I1308" s="11">
        <f t="shared" si="80"/>
        <v>32000</v>
      </c>
      <c r="J1308" s="11">
        <f t="shared" si="81"/>
        <v>147814200</v>
      </c>
      <c r="K1308" s="1">
        <f t="shared" si="82"/>
        <v>5298.0001308000001</v>
      </c>
      <c r="L1308" s="15">
        <f t="shared" si="83"/>
        <v>0.53013080000000001</v>
      </c>
    </row>
    <row r="1309" spans="1:12" ht="15" customHeight="1" x14ac:dyDescent="0.25">
      <c r="A1309" s="10" t="str">
        <f>Raw_Data!A1309</f>
        <v>Kent Gold, Optima, Gold+ Spare Kit</v>
      </c>
      <c r="B1309" s="10" t="str">
        <f>IFERROR(TRIM(LEFT(Raw_Data!A1309,FIND(" ",Raw_Data!A1309)-1)),Raw_Data!A1309)</f>
        <v>Kent</v>
      </c>
      <c r="C1309" s="10" t="str">
        <f>IFERROR(LEFT(Raw_Data!B1309,FIND("|",Raw_Data!B1309)-1),Raw_Data!B1309)</f>
        <v>Home&amp;Kitchen</v>
      </c>
      <c r="D1309" s="11">
        <f>IFERROR(VALUE(SUBSTITUTE(SUBSTITUTE(TRIM(Raw_Data!C1309),"₹",""),",","")),"")</f>
        <v>649</v>
      </c>
      <c r="E1309" s="11">
        <f>IFERROR(VALUE(SUBSTITUTE(SUBSTITUTE(TRIM(Raw_Data!D1309),"₹",""),",","")),"")</f>
        <v>670</v>
      </c>
      <c r="F1309" s="12">
        <f>IFERROR(VALUE(SUBSTITUTE(Raw_Data!E1309,"%",""))/100,"")</f>
        <v>0.03</v>
      </c>
      <c r="G1309" s="13">
        <f>IFERROR(VALUE(Raw_Data!F1309),"")</f>
        <v>4.0999999999999996</v>
      </c>
      <c r="H1309" s="14">
        <f>IFERROR(VALUE(SUBSTITUTE(Raw_Data!G1309,",","")),"")</f>
        <v>7786</v>
      </c>
      <c r="I1309" s="11">
        <f t="shared" si="80"/>
        <v>21</v>
      </c>
      <c r="J1309" s="11">
        <f t="shared" si="81"/>
        <v>5053114</v>
      </c>
      <c r="K1309" s="1">
        <f t="shared" si="82"/>
        <v>7786.0001308999999</v>
      </c>
      <c r="L1309" s="15">
        <f t="shared" si="83"/>
        <v>3.0130899999999999E-2</v>
      </c>
    </row>
    <row r="1310" spans="1:12" ht="15" customHeight="1" x14ac:dyDescent="0.25">
      <c r="A1310" s="10" t="str">
        <f>Raw_Data!A1310</f>
        <v>AVNISH Tap Water Purifier Filter Faucet 6 Layer Carbon Activated Dust Chlorine Remover Water Softener for Drinking Cartridge Alkaline Taps for Kitchen Sink Bathroom Wash Basin (6-Layer Filtration)</v>
      </c>
      <c r="B1310" s="10" t="str">
        <f>IFERROR(TRIM(LEFT(Raw_Data!A1310,FIND(" ",Raw_Data!A1310)-1)),Raw_Data!A1310)</f>
        <v>AVNISH</v>
      </c>
      <c r="C1310" s="10" t="str">
        <f>IFERROR(LEFT(Raw_Data!B1310,FIND("|",Raw_Data!B1310)-1),Raw_Data!B1310)</f>
        <v>Home&amp;Kitchen</v>
      </c>
      <c r="D1310" s="11">
        <f>IFERROR(VALUE(SUBSTITUTE(SUBSTITUTE(TRIM(Raw_Data!C1310),"₹",""),",","")),"")</f>
        <v>193</v>
      </c>
      <c r="E1310" s="11">
        <f>IFERROR(VALUE(SUBSTITUTE(SUBSTITUTE(TRIM(Raw_Data!D1310),"₹",""),",","")),"")</f>
        <v>399</v>
      </c>
      <c r="F1310" s="12">
        <f>IFERROR(VALUE(SUBSTITUTE(Raw_Data!E1310,"%",""))/100,"")</f>
        <v>0.52</v>
      </c>
      <c r="G1310" s="13">
        <f>IFERROR(VALUE(Raw_Data!F1310),"")</f>
        <v>3.6</v>
      </c>
      <c r="H1310" s="14">
        <f>IFERROR(VALUE(SUBSTITUTE(Raw_Data!G1310,",","")),"")</f>
        <v>37</v>
      </c>
      <c r="I1310" s="11">
        <f t="shared" si="80"/>
        <v>206</v>
      </c>
      <c r="J1310" s="11">
        <f t="shared" si="81"/>
        <v>7141</v>
      </c>
      <c r="K1310" s="1">
        <f t="shared" si="82"/>
        <v>37.000131000000003</v>
      </c>
      <c r="L1310" s="15">
        <f t="shared" si="83"/>
        <v>0.52013100000000001</v>
      </c>
    </row>
    <row r="1311" spans="1:12" ht="15" customHeight="1" x14ac:dyDescent="0.25">
      <c r="A1311" s="10" t="str">
        <f>Raw_Data!A1311</f>
        <v>Khaitan ORFin Fan heater for Home and kitchen-K0 2215</v>
      </c>
      <c r="B1311" s="10" t="str">
        <f>IFERROR(TRIM(LEFT(Raw_Data!A1311,FIND(" ",Raw_Data!A1311)-1)),Raw_Data!A1311)</f>
        <v>Khaitan</v>
      </c>
      <c r="C1311" s="10" t="str">
        <f>IFERROR(LEFT(Raw_Data!B1311,FIND("|",Raw_Data!B1311)-1),Raw_Data!B1311)</f>
        <v>Home&amp;Kitchen</v>
      </c>
      <c r="D1311" s="11">
        <f>IFERROR(VALUE(SUBSTITUTE(SUBSTITUTE(TRIM(Raw_Data!C1311),"₹",""),",","")),"")</f>
        <v>1299</v>
      </c>
      <c r="E1311" s="11">
        <f>IFERROR(VALUE(SUBSTITUTE(SUBSTITUTE(TRIM(Raw_Data!D1311),"₹",""),",","")),"")</f>
        <v>2495</v>
      </c>
      <c r="F1311" s="12">
        <f>IFERROR(VALUE(SUBSTITUTE(Raw_Data!E1311,"%",""))/100,"")</f>
        <v>0.48</v>
      </c>
      <c r="G1311" s="13">
        <f>IFERROR(VALUE(Raw_Data!F1311),"")</f>
        <v>2</v>
      </c>
      <c r="H1311" s="14">
        <f>IFERROR(VALUE(SUBSTITUTE(Raw_Data!G1311,",","")),"")</f>
        <v>2</v>
      </c>
      <c r="I1311" s="11">
        <f t="shared" si="80"/>
        <v>1196</v>
      </c>
      <c r="J1311" s="11">
        <f t="shared" si="81"/>
        <v>2598</v>
      </c>
      <c r="K1311" s="1">
        <f t="shared" si="82"/>
        <v>2.0001310999999999</v>
      </c>
      <c r="L1311" s="15">
        <f t="shared" si="83"/>
        <v>0.48013109999999998</v>
      </c>
    </row>
    <row r="1312" spans="1:12" ht="15" customHeight="1" x14ac:dyDescent="0.25">
      <c r="A1312" s="10" t="str">
        <f>Raw_Data!A1312</f>
        <v>USHA RapidMix 500-Watt Copper Motor Mixer Grinder with 3 Jars and 5 Years Warranty(Sea Green/White)</v>
      </c>
      <c r="B1312" s="10" t="str">
        <f>IFERROR(TRIM(LEFT(Raw_Data!A1312,FIND(" ",Raw_Data!A1312)-1)),Raw_Data!A1312)</f>
        <v>USHA</v>
      </c>
      <c r="C1312" s="10" t="str">
        <f>IFERROR(LEFT(Raw_Data!B1312,FIND("|",Raw_Data!B1312)-1),Raw_Data!B1312)</f>
        <v>Home&amp;Kitchen</v>
      </c>
      <c r="D1312" s="11">
        <f>IFERROR(VALUE(SUBSTITUTE(SUBSTITUTE(TRIM(Raw_Data!C1312),"₹",""),",","")),"")</f>
        <v>2449</v>
      </c>
      <c r="E1312" s="11">
        <f>IFERROR(VALUE(SUBSTITUTE(SUBSTITUTE(TRIM(Raw_Data!D1312),"₹",""),",","")),"")</f>
        <v>3390</v>
      </c>
      <c r="F1312" s="12">
        <f>IFERROR(VALUE(SUBSTITUTE(Raw_Data!E1312,"%",""))/100,"")</f>
        <v>0.28000000000000003</v>
      </c>
      <c r="G1312" s="13">
        <f>IFERROR(VALUE(Raw_Data!F1312),"")</f>
        <v>4</v>
      </c>
      <c r="H1312" s="14">
        <f>IFERROR(VALUE(SUBSTITUTE(Raw_Data!G1312,",","")),"")</f>
        <v>5206</v>
      </c>
      <c r="I1312" s="11">
        <f t="shared" si="80"/>
        <v>941</v>
      </c>
      <c r="J1312" s="11">
        <f t="shared" si="81"/>
        <v>12749494</v>
      </c>
      <c r="K1312" s="1">
        <f t="shared" si="82"/>
        <v>5206.0001312000004</v>
      </c>
      <c r="L1312" s="15">
        <f t="shared" si="83"/>
        <v>0.28013120000000002</v>
      </c>
    </row>
    <row r="1313" spans="1:12" ht="15" customHeight="1" x14ac:dyDescent="0.25">
      <c r="A1313" s="10" t="str">
        <f>Raw_Data!A1313</f>
        <v>CSI INTERNATIONAL® Instant Water Geyser, Water Heater, Portable Water Heater, Geyser Made of First Class ABS Plastic 3KW (Red)</v>
      </c>
      <c r="B1313" s="10" t="str">
        <f>IFERROR(TRIM(LEFT(Raw_Data!A1313,FIND(" ",Raw_Data!A1313)-1)),Raw_Data!A1313)</f>
        <v>CSI</v>
      </c>
      <c r="C1313" s="10" t="str">
        <f>IFERROR(LEFT(Raw_Data!B1313,FIND("|",Raw_Data!B1313)-1),Raw_Data!B1313)</f>
        <v>Home&amp;Kitchen</v>
      </c>
      <c r="D1313" s="11">
        <f>IFERROR(VALUE(SUBSTITUTE(SUBSTITUTE(TRIM(Raw_Data!C1313),"₹",""),",","")),"")</f>
        <v>1049</v>
      </c>
      <c r="E1313" s="11">
        <f>IFERROR(VALUE(SUBSTITUTE(SUBSTITUTE(TRIM(Raw_Data!D1313),"₹",""),",","")),"")</f>
        <v>2499</v>
      </c>
      <c r="F1313" s="12">
        <f>IFERROR(VALUE(SUBSTITUTE(Raw_Data!E1313,"%",""))/100,"")</f>
        <v>0.57999999999999996</v>
      </c>
      <c r="G1313" s="13">
        <f>IFERROR(VALUE(Raw_Data!F1313),"")</f>
        <v>3.7</v>
      </c>
      <c r="H1313" s="14">
        <f>IFERROR(VALUE(SUBSTITUTE(Raw_Data!G1313,",","")),"")</f>
        <v>638</v>
      </c>
      <c r="I1313" s="11">
        <f t="shared" si="80"/>
        <v>1450</v>
      </c>
      <c r="J1313" s="11">
        <f t="shared" si="81"/>
        <v>669262</v>
      </c>
      <c r="K1313" s="1">
        <f t="shared" si="82"/>
        <v>638.00013130000002</v>
      </c>
      <c r="L1313" s="15">
        <f t="shared" si="83"/>
        <v>0.58013129999999991</v>
      </c>
    </row>
    <row r="1314" spans="1:12" ht="15" customHeight="1" x14ac:dyDescent="0.25">
      <c r="A1314" s="10" t="str">
        <f>Raw_Data!A1314</f>
        <v>Havells Gatik Neo 400mm Pedestal Fan (Aqua Blue)</v>
      </c>
      <c r="B1314" s="10" t="str">
        <f>IFERROR(TRIM(LEFT(Raw_Data!A1314,FIND(" ",Raw_Data!A1314)-1)),Raw_Data!A1314)</f>
        <v>Havells</v>
      </c>
      <c r="C1314" s="10" t="str">
        <f>IFERROR(LEFT(Raw_Data!B1314,FIND("|",Raw_Data!B1314)-1),Raw_Data!B1314)</f>
        <v>Home&amp;Kitchen</v>
      </c>
      <c r="D1314" s="11">
        <f>IFERROR(VALUE(SUBSTITUTE(SUBSTITUTE(TRIM(Raw_Data!C1314),"₹",""),",","")),"")</f>
        <v>2399</v>
      </c>
      <c r="E1314" s="11">
        <f>IFERROR(VALUE(SUBSTITUTE(SUBSTITUTE(TRIM(Raw_Data!D1314),"₹",""),",","")),"")</f>
        <v>4200</v>
      </c>
      <c r="F1314" s="12">
        <f>IFERROR(VALUE(SUBSTITUTE(Raw_Data!E1314,"%",""))/100,"")</f>
        <v>0.43</v>
      </c>
      <c r="G1314" s="13">
        <f>IFERROR(VALUE(Raw_Data!F1314),"")</f>
        <v>3.8</v>
      </c>
      <c r="H1314" s="14">
        <f>IFERROR(VALUE(SUBSTITUTE(Raw_Data!G1314,",","")),"")</f>
        <v>397</v>
      </c>
      <c r="I1314" s="11">
        <f t="shared" si="80"/>
        <v>1801</v>
      </c>
      <c r="J1314" s="11">
        <f t="shared" si="81"/>
        <v>952403</v>
      </c>
      <c r="K1314" s="1">
        <f t="shared" si="82"/>
        <v>397.00013139999999</v>
      </c>
      <c r="L1314" s="15">
        <f t="shared" si="83"/>
        <v>0.4301314</v>
      </c>
    </row>
    <row r="1315" spans="1:12" ht="15" customHeight="1" x14ac:dyDescent="0.25">
      <c r="A1315" s="10" t="str">
        <f>Raw_Data!A1315</f>
        <v>INALSA Upright Vacuum Cleaner, 2-in-1,Handheld &amp; Stick for Home &amp; Office Use,800W- with 16KPA Strong Suction &amp; HEPA Filtration|0.8L Dust Tank|Includes Multiple Accessories,(Grey/Black)</v>
      </c>
      <c r="B1315" s="10" t="str">
        <f>IFERROR(TRIM(LEFT(Raw_Data!A1315,FIND(" ",Raw_Data!A1315)-1)),Raw_Data!A1315)</f>
        <v>INALSA</v>
      </c>
      <c r="C1315" s="10" t="str">
        <f>IFERROR(LEFT(Raw_Data!B1315,FIND("|",Raw_Data!B1315)-1),Raw_Data!B1315)</f>
        <v>Home&amp;Kitchen</v>
      </c>
      <c r="D1315" s="11">
        <f>IFERROR(VALUE(SUBSTITUTE(SUBSTITUTE(TRIM(Raw_Data!C1315),"₹",""),",","")),"")</f>
        <v>2286</v>
      </c>
      <c r="E1315" s="11">
        <f>IFERROR(VALUE(SUBSTITUTE(SUBSTITUTE(TRIM(Raw_Data!D1315),"₹",""),",","")),"")</f>
        <v>4495</v>
      </c>
      <c r="F1315" s="12">
        <f>IFERROR(VALUE(SUBSTITUTE(Raw_Data!E1315,"%",""))/100,"")</f>
        <v>0.49</v>
      </c>
      <c r="G1315" s="13">
        <f>IFERROR(VALUE(Raw_Data!F1315),"")</f>
        <v>3.9</v>
      </c>
      <c r="H1315" s="14">
        <f>IFERROR(VALUE(SUBSTITUTE(Raw_Data!G1315,",","")),"")</f>
        <v>326</v>
      </c>
      <c r="I1315" s="11">
        <f t="shared" si="80"/>
        <v>2209</v>
      </c>
      <c r="J1315" s="11">
        <f t="shared" si="81"/>
        <v>745236</v>
      </c>
      <c r="K1315" s="1">
        <f t="shared" si="82"/>
        <v>326.00013150000001</v>
      </c>
      <c r="L1315" s="15">
        <f t="shared" si="83"/>
        <v>0.4901315</v>
      </c>
    </row>
    <row r="1316" spans="1:12" ht="15" customHeight="1" x14ac:dyDescent="0.25">
      <c r="A1316" s="10" t="str">
        <f>Raw_Data!A1316</f>
        <v>ROYAL STEP - AMAZON'S BRAND - Portable Electric USB Juice Maker Juicer Bottle Blender Grinder Mixer,4 Blades Rechargeable Bottle with (Multi color) (MULTI)</v>
      </c>
      <c r="B1316" s="10" t="str">
        <f>IFERROR(TRIM(LEFT(Raw_Data!A1316,FIND(" ",Raw_Data!A1316)-1)),Raw_Data!A1316)</f>
        <v>ROYAL</v>
      </c>
      <c r="C1316" s="10" t="str">
        <f>IFERROR(LEFT(Raw_Data!B1316,FIND("|",Raw_Data!B1316)-1),Raw_Data!B1316)</f>
        <v>Home&amp;Kitchen</v>
      </c>
      <c r="D1316" s="11">
        <f>IFERROR(VALUE(SUBSTITUTE(SUBSTITUTE(TRIM(Raw_Data!C1316),"₹",""),",","")),"")</f>
        <v>499</v>
      </c>
      <c r="E1316" s="11">
        <f>IFERROR(VALUE(SUBSTITUTE(SUBSTITUTE(TRIM(Raw_Data!D1316),"₹",""),",","")),"")</f>
        <v>2199</v>
      </c>
      <c r="F1316" s="12">
        <f>IFERROR(VALUE(SUBSTITUTE(Raw_Data!E1316,"%",""))/100,"")</f>
        <v>0.77</v>
      </c>
      <c r="G1316" s="13">
        <f>IFERROR(VALUE(Raw_Data!F1316),"")</f>
        <v>3.1</v>
      </c>
      <c r="H1316" s="14">
        <f>IFERROR(VALUE(SUBSTITUTE(Raw_Data!G1316,",","")),"")</f>
        <v>3527</v>
      </c>
      <c r="I1316" s="11">
        <f t="shared" si="80"/>
        <v>1700</v>
      </c>
      <c r="J1316" s="11">
        <f t="shared" si="81"/>
        <v>1759973</v>
      </c>
      <c r="K1316" s="1">
        <f t="shared" si="82"/>
        <v>3527.0001315999998</v>
      </c>
      <c r="L1316" s="15">
        <f t="shared" si="83"/>
        <v>0.77013160000000003</v>
      </c>
    </row>
    <row r="1317" spans="1:12" ht="15" customHeight="1" x14ac:dyDescent="0.25">
      <c r="A1317" s="10" t="str">
        <f>Raw_Data!A1317</f>
        <v>Nirdambhay Mini Bag Sealer, 2 in 1 Heat Sealer and Cutter Handheld Sealing Machine Portable Bag Resealer Sealer for Plastic Bags Food Storage Snack Fresh Bag Sealer (Including 2 AA Battery)</v>
      </c>
      <c r="B1317" s="10" t="str">
        <f>IFERROR(TRIM(LEFT(Raw_Data!A1317,FIND(" ",Raw_Data!A1317)-1)),Raw_Data!A1317)</f>
        <v>Nirdambhay</v>
      </c>
      <c r="C1317" s="10" t="str">
        <f>IFERROR(LEFT(Raw_Data!B1317,FIND("|",Raw_Data!B1317)-1),Raw_Data!B1317)</f>
        <v>Home&amp;Kitchen</v>
      </c>
      <c r="D1317" s="11">
        <f>IFERROR(VALUE(SUBSTITUTE(SUBSTITUTE(TRIM(Raw_Data!C1317),"₹",""),",","")),"")</f>
        <v>429</v>
      </c>
      <c r="E1317" s="11">
        <f>IFERROR(VALUE(SUBSTITUTE(SUBSTITUTE(TRIM(Raw_Data!D1317),"₹",""),",","")),"")</f>
        <v>999</v>
      </c>
      <c r="F1317" s="12">
        <f>IFERROR(VALUE(SUBSTITUTE(Raw_Data!E1317,"%",""))/100,"")</f>
        <v>0.56999999999999995</v>
      </c>
      <c r="G1317" s="13">
        <f>IFERROR(VALUE(Raw_Data!F1317),"")</f>
        <v>3</v>
      </c>
      <c r="H1317" s="14">
        <f>IFERROR(VALUE(SUBSTITUTE(Raw_Data!G1317,",","")),"")</f>
        <v>617</v>
      </c>
      <c r="I1317" s="11">
        <f t="shared" si="80"/>
        <v>570</v>
      </c>
      <c r="J1317" s="11">
        <f t="shared" si="81"/>
        <v>264693</v>
      </c>
      <c r="K1317" s="1">
        <f t="shared" si="82"/>
        <v>617.0001317</v>
      </c>
      <c r="L1317" s="15">
        <f t="shared" si="83"/>
        <v>0.57013169999999991</v>
      </c>
    </row>
    <row r="1318" spans="1:12" ht="15" customHeight="1" x14ac:dyDescent="0.25">
      <c r="A1318" s="10" t="str">
        <f>Raw_Data!A1318</f>
        <v>Cello Non-Stick Aluminium Sandwich Gas Toaster(Black)</v>
      </c>
      <c r="B1318" s="10" t="str">
        <f>IFERROR(TRIM(LEFT(Raw_Data!A1318,FIND(" ",Raw_Data!A1318)-1)),Raw_Data!A1318)</f>
        <v>Cello</v>
      </c>
      <c r="C1318" s="10" t="str">
        <f>IFERROR(LEFT(Raw_Data!B1318,FIND("|",Raw_Data!B1318)-1),Raw_Data!B1318)</f>
        <v>Home&amp;Kitchen</v>
      </c>
      <c r="D1318" s="11">
        <f>IFERROR(VALUE(SUBSTITUTE(SUBSTITUTE(TRIM(Raw_Data!C1318),"₹",""),",","")),"")</f>
        <v>299</v>
      </c>
      <c r="E1318" s="11">
        <f>IFERROR(VALUE(SUBSTITUTE(SUBSTITUTE(TRIM(Raw_Data!D1318),"₹",""),",","")),"")</f>
        <v>595</v>
      </c>
      <c r="F1318" s="12">
        <f>IFERROR(VALUE(SUBSTITUTE(Raw_Data!E1318,"%",""))/100,"")</f>
        <v>0.5</v>
      </c>
      <c r="G1318" s="13">
        <f>IFERROR(VALUE(Raw_Data!F1318),"")</f>
        <v>4</v>
      </c>
      <c r="H1318" s="14">
        <f>IFERROR(VALUE(SUBSTITUTE(Raw_Data!G1318,",","")),"")</f>
        <v>314</v>
      </c>
      <c r="I1318" s="11">
        <f t="shared" si="80"/>
        <v>296</v>
      </c>
      <c r="J1318" s="11">
        <f t="shared" si="81"/>
        <v>93886</v>
      </c>
      <c r="K1318" s="1">
        <f t="shared" si="82"/>
        <v>314.00013180000002</v>
      </c>
      <c r="L1318" s="15">
        <f t="shared" si="83"/>
        <v>0.50013180000000002</v>
      </c>
    </row>
    <row r="1319" spans="1:12" ht="15" customHeight="1" x14ac:dyDescent="0.25">
      <c r="A1319" s="10" t="str">
        <f>Raw_Data!A1319</f>
        <v>Proven® Copper + Mineral RO+UV+UF 10 to 12 Liter RO + UV + TDS ADJUSTER Water Purifier with Copper Charge Technology black &amp; copper Best For Home and Office (Made In India)</v>
      </c>
      <c r="B1319" s="10" t="str">
        <f>IFERROR(TRIM(LEFT(Raw_Data!A1319,FIND(" ",Raw_Data!A1319)-1)),Raw_Data!A1319)</f>
        <v>Proven®</v>
      </c>
      <c r="C1319" s="10" t="str">
        <f>IFERROR(LEFT(Raw_Data!B1319,FIND("|",Raw_Data!B1319)-1),Raw_Data!B1319)</f>
        <v>Home&amp;Kitchen</v>
      </c>
      <c r="D1319" s="11">
        <f>IFERROR(VALUE(SUBSTITUTE(SUBSTITUTE(TRIM(Raw_Data!C1319),"₹",""),",","")),"")</f>
        <v>5395</v>
      </c>
      <c r="E1319" s="11">
        <f>IFERROR(VALUE(SUBSTITUTE(SUBSTITUTE(TRIM(Raw_Data!D1319),"₹",""),",","")),"")</f>
        <v>19990</v>
      </c>
      <c r="F1319" s="12">
        <f>IFERROR(VALUE(SUBSTITUTE(Raw_Data!E1319,"%",""))/100,"")</f>
        <v>0.73</v>
      </c>
      <c r="G1319" s="13">
        <f>IFERROR(VALUE(Raw_Data!F1319),"")</f>
        <v>4.4000000000000004</v>
      </c>
      <c r="H1319" s="14">
        <f>IFERROR(VALUE(SUBSTITUTE(Raw_Data!G1319,",","")),"")</f>
        <v>535</v>
      </c>
      <c r="I1319" s="11">
        <f t="shared" si="80"/>
        <v>14595</v>
      </c>
      <c r="J1319" s="11">
        <f t="shared" si="81"/>
        <v>2886325</v>
      </c>
      <c r="K1319" s="1">
        <f t="shared" si="82"/>
        <v>535.00013190000004</v>
      </c>
      <c r="L1319" s="15">
        <f t="shared" si="83"/>
        <v>0.73013189999999994</v>
      </c>
    </row>
    <row r="1320" spans="1:12" ht="15" customHeight="1" x14ac:dyDescent="0.25">
      <c r="A1320" s="10" t="str">
        <f>Raw_Data!A1320</f>
        <v>Morphy Richards Daisy 1000W Dry Iron with American Heritage Non-Stick Coated Soleplate, White</v>
      </c>
      <c r="B1320" s="10" t="str">
        <f>IFERROR(TRIM(LEFT(Raw_Data!A1320,FIND(" ",Raw_Data!A1320)-1)),Raw_Data!A1320)</f>
        <v>Morphy</v>
      </c>
      <c r="C1320" s="10" t="str">
        <f>IFERROR(LEFT(Raw_Data!B1320,FIND("|",Raw_Data!B1320)-1),Raw_Data!B1320)</f>
        <v>Home&amp;Kitchen</v>
      </c>
      <c r="D1320" s="11">
        <f>IFERROR(VALUE(SUBSTITUTE(SUBSTITUTE(TRIM(Raw_Data!C1320),"₹",""),",","")),"")</f>
        <v>559</v>
      </c>
      <c r="E1320" s="11">
        <f>IFERROR(VALUE(SUBSTITUTE(SUBSTITUTE(TRIM(Raw_Data!D1320),"₹",""),",","")),"")</f>
        <v>1010</v>
      </c>
      <c r="F1320" s="12">
        <f>IFERROR(VALUE(SUBSTITUTE(Raw_Data!E1320,"%",""))/100,"")</f>
        <v>0.45</v>
      </c>
      <c r="G1320" s="13">
        <f>IFERROR(VALUE(Raw_Data!F1320),"")</f>
        <v>4.0999999999999996</v>
      </c>
      <c r="H1320" s="14">
        <f>IFERROR(VALUE(SUBSTITUTE(Raw_Data!G1320,",","")),"")</f>
        <v>17325</v>
      </c>
      <c r="I1320" s="11">
        <f t="shared" si="80"/>
        <v>451</v>
      </c>
      <c r="J1320" s="11">
        <f t="shared" si="81"/>
        <v>9684675</v>
      </c>
      <c r="K1320" s="1">
        <f t="shared" si="82"/>
        <v>17325.000132000001</v>
      </c>
      <c r="L1320" s="15">
        <f t="shared" si="83"/>
        <v>0.45013200000000003</v>
      </c>
    </row>
    <row r="1321" spans="1:12" ht="15" customHeight="1" x14ac:dyDescent="0.25">
      <c r="A1321" s="10" t="str">
        <f>Raw_Data!A1321</f>
        <v>Wipro Vesta 1200 Watt GD201 Lightweight Automatic Dry Iron| Quick Heat Up| Stylish &amp; Sleek |Anti bacterial German Weilburger Double Coated Soleplate |2 Years Warranty</v>
      </c>
      <c r="B1321" s="10" t="str">
        <f>IFERROR(TRIM(LEFT(Raw_Data!A1321,FIND(" ",Raw_Data!A1321)-1)),Raw_Data!A1321)</f>
        <v>Wipro</v>
      </c>
      <c r="C1321" s="10" t="str">
        <f>IFERROR(LEFT(Raw_Data!B1321,FIND("|",Raw_Data!B1321)-1),Raw_Data!B1321)</f>
        <v>Home&amp;Kitchen</v>
      </c>
      <c r="D1321" s="11">
        <f>IFERROR(VALUE(SUBSTITUTE(SUBSTITUTE(TRIM(Raw_Data!C1321),"₹",""),",","")),"")</f>
        <v>660</v>
      </c>
      <c r="E1321" s="11">
        <f>IFERROR(VALUE(SUBSTITUTE(SUBSTITUTE(TRIM(Raw_Data!D1321),"₹",""),",","")),"")</f>
        <v>1100</v>
      </c>
      <c r="F1321" s="12">
        <f>IFERROR(VALUE(SUBSTITUTE(Raw_Data!E1321,"%",""))/100,"")</f>
        <v>0.4</v>
      </c>
      <c r="G1321" s="13">
        <f>IFERROR(VALUE(Raw_Data!F1321),"")</f>
        <v>3.6</v>
      </c>
      <c r="H1321" s="14">
        <f>IFERROR(VALUE(SUBSTITUTE(Raw_Data!G1321,",","")),"")</f>
        <v>91</v>
      </c>
      <c r="I1321" s="11">
        <f t="shared" si="80"/>
        <v>440</v>
      </c>
      <c r="J1321" s="11">
        <f t="shared" si="81"/>
        <v>60060</v>
      </c>
      <c r="K1321" s="1">
        <f t="shared" si="82"/>
        <v>91.000132100000002</v>
      </c>
      <c r="L1321" s="15">
        <f t="shared" si="83"/>
        <v>0.40013210000000005</v>
      </c>
    </row>
    <row r="1322" spans="1:12" ht="15" customHeight="1" x14ac:dyDescent="0.25">
      <c r="A1322" s="10" t="str">
        <f>Raw_Data!A1322</f>
        <v>Zuvexa Egg Boiler Poacher Automatic Off Steaming, Cooking, Boiling Double Layer 14 Egg Boiler (Multicolor)…</v>
      </c>
      <c r="B1322" s="10" t="str">
        <f>IFERROR(TRIM(LEFT(Raw_Data!A1322,FIND(" ",Raw_Data!A1322)-1)),Raw_Data!A1322)</f>
        <v>Zuvexa</v>
      </c>
      <c r="C1322" s="10" t="str">
        <f>IFERROR(LEFT(Raw_Data!B1322,FIND("|",Raw_Data!B1322)-1),Raw_Data!B1322)</f>
        <v>Home&amp;Kitchen</v>
      </c>
      <c r="D1322" s="11">
        <f>IFERROR(VALUE(SUBSTITUTE(SUBSTITUTE(TRIM(Raw_Data!C1322),"₹",""),",","")),"")</f>
        <v>419</v>
      </c>
      <c r="E1322" s="11">
        <f>IFERROR(VALUE(SUBSTITUTE(SUBSTITUTE(TRIM(Raw_Data!D1322),"₹",""),",","")),"")</f>
        <v>999</v>
      </c>
      <c r="F1322" s="12">
        <f>IFERROR(VALUE(SUBSTITUTE(Raw_Data!E1322,"%",""))/100,"")</f>
        <v>0.57999999999999996</v>
      </c>
      <c r="G1322" s="13">
        <f>IFERROR(VALUE(Raw_Data!F1322),"")</f>
        <v>4.4000000000000004</v>
      </c>
      <c r="H1322" s="14">
        <f>IFERROR(VALUE(SUBSTITUTE(Raw_Data!G1322,",","")),"")</f>
        <v>227</v>
      </c>
      <c r="I1322" s="11">
        <f t="shared" si="80"/>
        <v>580</v>
      </c>
      <c r="J1322" s="11">
        <f t="shared" si="81"/>
        <v>95113</v>
      </c>
      <c r="K1322" s="1">
        <f t="shared" si="82"/>
        <v>227.0001322</v>
      </c>
      <c r="L1322" s="15">
        <f t="shared" si="83"/>
        <v>0.58013219999999999</v>
      </c>
    </row>
    <row r="1323" spans="1:12" ht="15" customHeight="1" x14ac:dyDescent="0.25">
      <c r="A1323" s="10" t="str">
        <f>Raw_Data!A1323</f>
        <v>AO Smith HSE-VAS-X-015 Storage 15 Litre Vertical Water Heater (Geyser) White 4 Star</v>
      </c>
      <c r="B1323" s="10" t="str">
        <f>IFERROR(TRIM(LEFT(Raw_Data!A1323,FIND(" ",Raw_Data!A1323)-1)),Raw_Data!A1323)</f>
        <v>AO</v>
      </c>
      <c r="C1323" s="10" t="str">
        <f>IFERROR(LEFT(Raw_Data!B1323,FIND("|",Raw_Data!B1323)-1),Raw_Data!B1323)</f>
        <v>Home&amp;Kitchen</v>
      </c>
      <c r="D1323" s="11">
        <f>IFERROR(VALUE(SUBSTITUTE(SUBSTITUTE(TRIM(Raw_Data!C1323),"₹",""),",","")),"")</f>
        <v>7349</v>
      </c>
      <c r="E1323" s="11">
        <f>IFERROR(VALUE(SUBSTITUTE(SUBSTITUTE(TRIM(Raw_Data!D1323),"₹",""),",","")),"")</f>
        <v>10900</v>
      </c>
      <c r="F1323" s="12">
        <f>IFERROR(VALUE(SUBSTITUTE(Raw_Data!E1323,"%",""))/100,"")</f>
        <v>0.33</v>
      </c>
      <c r="G1323" s="13">
        <f>IFERROR(VALUE(Raw_Data!F1323),"")</f>
        <v>4.2</v>
      </c>
      <c r="H1323" s="14">
        <f>IFERROR(VALUE(SUBSTITUTE(Raw_Data!G1323,",","")),"")</f>
        <v>11957</v>
      </c>
      <c r="I1323" s="11">
        <f t="shared" si="80"/>
        <v>3551</v>
      </c>
      <c r="J1323" s="11">
        <f t="shared" si="81"/>
        <v>87871993</v>
      </c>
      <c r="K1323" s="1">
        <f t="shared" si="82"/>
        <v>11957.0001323</v>
      </c>
      <c r="L1323" s="15">
        <f t="shared" si="83"/>
        <v>0.33013229999999999</v>
      </c>
    </row>
    <row r="1324" spans="1:12" ht="15" customHeight="1" x14ac:dyDescent="0.25">
      <c r="A1324" s="10" t="str">
        <f>Raw_Data!A1324</f>
        <v>Havells Festiva 1200mm Dust Resistant Ceiling Fan (Gold Mist)</v>
      </c>
      <c r="B1324" s="10" t="str">
        <f>IFERROR(TRIM(LEFT(Raw_Data!A1324,FIND(" ",Raw_Data!A1324)-1)),Raw_Data!A1324)</f>
        <v>Havells</v>
      </c>
      <c r="C1324" s="10" t="str">
        <f>IFERROR(LEFT(Raw_Data!B1324,FIND("|",Raw_Data!B1324)-1),Raw_Data!B1324)</f>
        <v>Home&amp;Kitchen</v>
      </c>
      <c r="D1324" s="11">
        <f>IFERROR(VALUE(SUBSTITUTE(SUBSTITUTE(TRIM(Raw_Data!C1324),"₹",""),",","")),"")</f>
        <v>2899</v>
      </c>
      <c r="E1324" s="11">
        <f>IFERROR(VALUE(SUBSTITUTE(SUBSTITUTE(TRIM(Raw_Data!D1324),"₹",""),",","")),"")</f>
        <v>4005</v>
      </c>
      <c r="F1324" s="12">
        <f>IFERROR(VALUE(SUBSTITUTE(Raw_Data!E1324,"%",""))/100,"")</f>
        <v>0.28000000000000003</v>
      </c>
      <c r="G1324" s="13">
        <f>IFERROR(VALUE(Raw_Data!F1324),"")</f>
        <v>4.3</v>
      </c>
      <c r="H1324" s="14">
        <f>IFERROR(VALUE(SUBSTITUTE(Raw_Data!G1324,",","")),"")</f>
        <v>7140</v>
      </c>
      <c r="I1324" s="11">
        <f t="shared" si="80"/>
        <v>1106</v>
      </c>
      <c r="J1324" s="11">
        <f t="shared" si="81"/>
        <v>20698860</v>
      </c>
      <c r="K1324" s="1">
        <f t="shared" si="82"/>
        <v>7140.0001324000004</v>
      </c>
      <c r="L1324" s="15">
        <f t="shared" si="83"/>
        <v>0.2801324</v>
      </c>
    </row>
    <row r="1325" spans="1:12" ht="15" customHeight="1" x14ac:dyDescent="0.25">
      <c r="A1325" s="10" t="str">
        <f>Raw_Data!A1325</f>
        <v>INALSA Vaccum Cleaner Handheld 800W High Powerful Motor- Dura Clean with HEPA Filtration &amp; Strong Powerful 16KPA Suction| Lightweight, Compact &amp; Durable Body|Includes Multiple Accessories,(Grey/Black)</v>
      </c>
      <c r="B1325" s="10" t="str">
        <f>IFERROR(TRIM(LEFT(Raw_Data!A1325,FIND(" ",Raw_Data!A1325)-1)),Raw_Data!A1325)</f>
        <v>INALSA</v>
      </c>
      <c r="C1325" s="10" t="str">
        <f>IFERROR(LEFT(Raw_Data!B1325,FIND("|",Raw_Data!B1325)-1),Raw_Data!B1325)</f>
        <v>Home&amp;Kitchen</v>
      </c>
      <c r="D1325" s="11">
        <f>IFERROR(VALUE(SUBSTITUTE(SUBSTITUTE(TRIM(Raw_Data!C1325),"₹",""),",","")),"")</f>
        <v>1799</v>
      </c>
      <c r="E1325" s="11">
        <f>IFERROR(VALUE(SUBSTITUTE(SUBSTITUTE(TRIM(Raw_Data!D1325),"₹",""),",","")),"")</f>
        <v>3295</v>
      </c>
      <c r="F1325" s="12">
        <f>IFERROR(VALUE(SUBSTITUTE(Raw_Data!E1325,"%",""))/100,"")</f>
        <v>0.45</v>
      </c>
      <c r="G1325" s="13">
        <f>IFERROR(VALUE(Raw_Data!F1325),"")</f>
        <v>3.8</v>
      </c>
      <c r="H1325" s="14">
        <f>IFERROR(VALUE(SUBSTITUTE(Raw_Data!G1325,",","")),"")</f>
        <v>687</v>
      </c>
      <c r="I1325" s="11">
        <f t="shared" si="80"/>
        <v>1496</v>
      </c>
      <c r="J1325" s="11">
        <f t="shared" si="81"/>
        <v>1235913</v>
      </c>
      <c r="K1325" s="1">
        <f t="shared" si="82"/>
        <v>687.00013249999995</v>
      </c>
      <c r="L1325" s="15">
        <f t="shared" si="83"/>
        <v>0.45013249999999999</v>
      </c>
    </row>
    <row r="1326" spans="1:12" ht="15" customHeight="1" x14ac:dyDescent="0.25">
      <c r="A1326" s="10" t="str">
        <f>Raw_Data!A1326</f>
        <v>iBELL SM1515NEW Sandwich Maker with Floating Hinges, 1000Watt, Panini / Grill / Toast (Black)</v>
      </c>
      <c r="B1326" s="10" t="str">
        <f>IFERROR(TRIM(LEFT(Raw_Data!A1326,FIND(" ",Raw_Data!A1326)-1)),Raw_Data!A1326)</f>
        <v>iBELL</v>
      </c>
      <c r="C1326" s="10" t="str">
        <f>IFERROR(LEFT(Raw_Data!B1326,FIND("|",Raw_Data!B1326)-1),Raw_Data!B1326)</f>
        <v>Home&amp;Kitchen</v>
      </c>
      <c r="D1326" s="11">
        <f>IFERROR(VALUE(SUBSTITUTE(SUBSTITUTE(TRIM(Raw_Data!C1326),"₹",""),",","")),"")</f>
        <v>1474</v>
      </c>
      <c r="E1326" s="11">
        <f>IFERROR(VALUE(SUBSTITUTE(SUBSTITUTE(TRIM(Raw_Data!D1326),"₹",""),",","")),"")</f>
        <v>4650</v>
      </c>
      <c r="F1326" s="12">
        <f>IFERROR(VALUE(SUBSTITUTE(Raw_Data!E1326,"%",""))/100,"")</f>
        <v>0.68</v>
      </c>
      <c r="G1326" s="13">
        <f>IFERROR(VALUE(Raw_Data!F1326),"")</f>
        <v>4.0999999999999996</v>
      </c>
      <c r="H1326" s="14">
        <f>IFERROR(VALUE(SUBSTITUTE(Raw_Data!G1326,",","")),"")</f>
        <v>1045</v>
      </c>
      <c r="I1326" s="11">
        <f t="shared" si="80"/>
        <v>3176</v>
      </c>
      <c r="J1326" s="11">
        <f t="shared" si="81"/>
        <v>1540330</v>
      </c>
      <c r="K1326" s="1">
        <f t="shared" si="82"/>
        <v>1045.0001325999999</v>
      </c>
      <c r="L1326" s="15">
        <f t="shared" si="83"/>
        <v>0.68013260000000009</v>
      </c>
    </row>
    <row r="1327" spans="1:12" ht="15" customHeight="1" x14ac:dyDescent="0.25">
      <c r="A1327" s="10" t="str">
        <f>Raw_Data!A1327</f>
        <v>Aquaguard Aura RO+UV+UF+Taste Adjuster(MTDS) with Active Copper &amp; Zinc 7L water purifier,8 stages of purification,suitable for borewell,tanker,municipal water(Black) from Eureka Forbes</v>
      </c>
      <c r="B1327" s="10" t="str">
        <f>IFERROR(TRIM(LEFT(Raw_Data!A1327,FIND(" ",Raw_Data!A1327)-1)),Raw_Data!A1327)</f>
        <v>Aquaguard</v>
      </c>
      <c r="C1327" s="10" t="str">
        <f>IFERROR(LEFT(Raw_Data!B1327,FIND("|",Raw_Data!B1327)-1),Raw_Data!B1327)</f>
        <v>Home&amp;Kitchen</v>
      </c>
      <c r="D1327" s="11">
        <f>IFERROR(VALUE(SUBSTITUTE(SUBSTITUTE(TRIM(Raw_Data!C1327),"₹",""),",","")),"")</f>
        <v>15999</v>
      </c>
      <c r="E1327" s="11">
        <f>IFERROR(VALUE(SUBSTITUTE(SUBSTITUTE(TRIM(Raw_Data!D1327),"₹",""),",","")),"")</f>
        <v>24500</v>
      </c>
      <c r="F1327" s="12">
        <f>IFERROR(VALUE(SUBSTITUTE(Raw_Data!E1327,"%",""))/100,"")</f>
        <v>0.35</v>
      </c>
      <c r="G1327" s="13">
        <f>IFERROR(VALUE(Raw_Data!F1327),"")</f>
        <v>4</v>
      </c>
      <c r="H1327" s="14">
        <f>IFERROR(VALUE(SUBSTITUTE(Raw_Data!G1327,",","")),"")</f>
        <v>11206</v>
      </c>
      <c r="I1327" s="11">
        <f t="shared" si="80"/>
        <v>8501</v>
      </c>
      <c r="J1327" s="11">
        <f t="shared" si="81"/>
        <v>179284794</v>
      </c>
      <c r="K1327" s="1">
        <f t="shared" si="82"/>
        <v>11206.000132700001</v>
      </c>
      <c r="L1327" s="15">
        <f t="shared" si="83"/>
        <v>0.35013269999999996</v>
      </c>
    </row>
    <row r="1328" spans="1:12" ht="15" customHeight="1" x14ac:dyDescent="0.25">
      <c r="A1328" s="10" t="str">
        <f>Raw_Data!A1328</f>
        <v>Havells Instanio 3-Litre 4.5KW Instant Water Heater (Geyser), White Blue</v>
      </c>
      <c r="B1328" s="10" t="str">
        <f>IFERROR(TRIM(LEFT(Raw_Data!A1328,FIND(" ",Raw_Data!A1328)-1)),Raw_Data!A1328)</f>
        <v>Havells</v>
      </c>
      <c r="C1328" s="10" t="str">
        <f>IFERROR(LEFT(Raw_Data!B1328,FIND("|",Raw_Data!B1328)-1),Raw_Data!B1328)</f>
        <v>Home&amp;Kitchen</v>
      </c>
      <c r="D1328" s="11">
        <f>IFERROR(VALUE(SUBSTITUTE(SUBSTITUTE(TRIM(Raw_Data!C1328),"₹",""),",","")),"")</f>
        <v>3645</v>
      </c>
      <c r="E1328" s="11">
        <f>IFERROR(VALUE(SUBSTITUTE(SUBSTITUTE(TRIM(Raw_Data!D1328),"₹",""),",","")),"")</f>
        <v>6070</v>
      </c>
      <c r="F1328" s="12">
        <f>IFERROR(VALUE(SUBSTITUTE(Raw_Data!E1328,"%",""))/100,"")</f>
        <v>0.4</v>
      </c>
      <c r="G1328" s="13">
        <f>IFERROR(VALUE(Raw_Data!F1328),"")</f>
        <v>4.2</v>
      </c>
      <c r="H1328" s="14">
        <f>IFERROR(VALUE(SUBSTITUTE(Raw_Data!G1328,",","")),"")</f>
        <v>561</v>
      </c>
      <c r="I1328" s="11">
        <f t="shared" si="80"/>
        <v>2425</v>
      </c>
      <c r="J1328" s="11">
        <f t="shared" si="81"/>
        <v>2044845</v>
      </c>
      <c r="K1328" s="1">
        <f t="shared" si="82"/>
        <v>561.00013279999996</v>
      </c>
      <c r="L1328" s="15">
        <f t="shared" si="83"/>
        <v>0.40013280000000001</v>
      </c>
    </row>
    <row r="1329" spans="1:12" ht="15" customHeight="1" x14ac:dyDescent="0.25">
      <c r="A1329" s="10" t="str">
        <f>Raw_Data!A1329</f>
        <v>Milk Frother, Immersion Blender Cordlesss Foam Maker USB Rechargeable Small Mixer Handheld with 2 Stainless Whisks，Wisker for Stirring 3-Speed Adjustable Mini Frother for Cappuccino Latte Coffee Egg</v>
      </c>
      <c r="B1329" s="10" t="str">
        <f>IFERROR(TRIM(LEFT(Raw_Data!A1329,FIND(" ",Raw_Data!A1329)-1)),Raw_Data!A1329)</f>
        <v>Milk</v>
      </c>
      <c r="C1329" s="10" t="str">
        <f>IFERROR(LEFT(Raw_Data!B1329,FIND("|",Raw_Data!B1329)-1),Raw_Data!B1329)</f>
        <v>Home&amp;Kitchen</v>
      </c>
      <c r="D1329" s="11">
        <f>IFERROR(VALUE(SUBSTITUTE(SUBSTITUTE(TRIM(Raw_Data!C1329),"₹",""),",","")),"")</f>
        <v>375</v>
      </c>
      <c r="E1329" s="11">
        <f>IFERROR(VALUE(SUBSTITUTE(SUBSTITUTE(TRIM(Raw_Data!D1329),"₹",""),",","")),"")</f>
        <v>999</v>
      </c>
      <c r="F1329" s="12">
        <f>IFERROR(VALUE(SUBSTITUTE(Raw_Data!E1329,"%",""))/100,"")</f>
        <v>0.62</v>
      </c>
      <c r="G1329" s="13">
        <f>IFERROR(VALUE(Raw_Data!F1329),"")</f>
        <v>3.6</v>
      </c>
      <c r="H1329" s="14">
        <f>IFERROR(VALUE(SUBSTITUTE(Raw_Data!G1329,",","")),"")</f>
        <v>1988</v>
      </c>
      <c r="I1329" s="11">
        <f t="shared" si="80"/>
        <v>624</v>
      </c>
      <c r="J1329" s="11">
        <f t="shared" si="81"/>
        <v>745500</v>
      </c>
      <c r="K1329" s="1">
        <f t="shared" si="82"/>
        <v>1988.0001328999999</v>
      </c>
      <c r="L1329" s="15">
        <f t="shared" si="83"/>
        <v>0.62013289999999999</v>
      </c>
    </row>
    <row r="1330" spans="1:12" ht="15" customHeight="1" x14ac:dyDescent="0.25">
      <c r="A1330" s="10" t="str">
        <f>Raw_Data!A1330</f>
        <v>Panasonic SR-WA22H (E) Automatic Rice Cooker, Apple Green, 2.2 Liters</v>
      </c>
      <c r="B1330" s="10" t="str">
        <f>IFERROR(TRIM(LEFT(Raw_Data!A1330,FIND(" ",Raw_Data!A1330)-1)),Raw_Data!A1330)</f>
        <v>Panasonic</v>
      </c>
      <c r="C1330" s="10" t="str">
        <f>IFERROR(LEFT(Raw_Data!B1330,FIND("|",Raw_Data!B1330)-1),Raw_Data!B1330)</f>
        <v>Home&amp;Kitchen</v>
      </c>
      <c r="D1330" s="11">
        <f>IFERROR(VALUE(SUBSTITUTE(SUBSTITUTE(TRIM(Raw_Data!C1330),"₹",""),",","")),"")</f>
        <v>2976</v>
      </c>
      <c r="E1330" s="11">
        <f>IFERROR(VALUE(SUBSTITUTE(SUBSTITUTE(TRIM(Raw_Data!D1330),"₹",""),",","")),"")</f>
        <v>3945</v>
      </c>
      <c r="F1330" s="12">
        <f>IFERROR(VALUE(SUBSTITUTE(Raw_Data!E1330,"%",""))/100,"")</f>
        <v>0.25</v>
      </c>
      <c r="G1330" s="13">
        <f>IFERROR(VALUE(Raw_Data!F1330),"")</f>
        <v>4.2</v>
      </c>
      <c r="H1330" s="14">
        <f>IFERROR(VALUE(SUBSTITUTE(Raw_Data!G1330,",","")),"")</f>
        <v>3740</v>
      </c>
      <c r="I1330" s="11">
        <f t="shared" si="80"/>
        <v>969</v>
      </c>
      <c r="J1330" s="11">
        <f t="shared" si="81"/>
        <v>11130240</v>
      </c>
      <c r="K1330" s="1">
        <f t="shared" si="82"/>
        <v>3740.000133</v>
      </c>
      <c r="L1330" s="15">
        <f t="shared" si="83"/>
        <v>0.25013299999999999</v>
      </c>
    </row>
    <row r="1331" spans="1:12" ht="15" customHeight="1" x14ac:dyDescent="0.25">
      <c r="A1331" s="10" t="str">
        <f>Raw_Data!A1331</f>
        <v>InstaCuppa Milk Frother for Coffee - Handheld Battery-Operated Electric Milk and Coffee Frother, Stainless Steel Whisk and Stand, Portable Foam Maker for Coffee, Cappuccino, Lattes, and Egg Beaters</v>
      </c>
      <c r="B1331" s="10" t="str">
        <f>IFERROR(TRIM(LEFT(Raw_Data!A1331,FIND(" ",Raw_Data!A1331)-1)),Raw_Data!A1331)</f>
        <v>InstaCuppa</v>
      </c>
      <c r="C1331" s="10" t="str">
        <f>IFERROR(LEFT(Raw_Data!B1331,FIND("|",Raw_Data!B1331)-1),Raw_Data!B1331)</f>
        <v>Home&amp;Kitchen</v>
      </c>
      <c r="D1331" s="11">
        <f>IFERROR(VALUE(SUBSTITUTE(SUBSTITUTE(TRIM(Raw_Data!C1331),"₹",""),",","")),"")</f>
        <v>1099</v>
      </c>
      <c r="E1331" s="11">
        <f>IFERROR(VALUE(SUBSTITUTE(SUBSTITUTE(TRIM(Raw_Data!D1331),"₹",""),",","")),"")</f>
        <v>1499</v>
      </c>
      <c r="F1331" s="12">
        <f>IFERROR(VALUE(SUBSTITUTE(Raw_Data!E1331,"%",""))/100,"")</f>
        <v>0.27</v>
      </c>
      <c r="G1331" s="13">
        <f>IFERROR(VALUE(Raw_Data!F1331),"")</f>
        <v>4.0999999999999996</v>
      </c>
      <c r="H1331" s="14">
        <f>IFERROR(VALUE(SUBSTITUTE(Raw_Data!G1331,",","")),"")</f>
        <v>4401</v>
      </c>
      <c r="I1331" s="11">
        <f t="shared" si="80"/>
        <v>400</v>
      </c>
      <c r="J1331" s="11">
        <f t="shared" si="81"/>
        <v>4836699</v>
      </c>
      <c r="K1331" s="1">
        <f t="shared" si="82"/>
        <v>4401.0001331000003</v>
      </c>
      <c r="L1331" s="15">
        <f t="shared" si="83"/>
        <v>0.27013310000000001</v>
      </c>
    </row>
    <row r="1332" spans="1:12" ht="15" customHeight="1" x14ac:dyDescent="0.25">
      <c r="A1332" s="10" t="str">
        <f>Raw_Data!A1332</f>
        <v>Goodscity Garment Steamer for Clothes, Steam Iron Press - Vertical &amp; Horizontal Steaming up to 22g/min, 1200 Watt, 230 ml Water tank &amp; 30 sec Fast Heating (GC 111)</v>
      </c>
      <c r="B1332" s="10" t="str">
        <f>IFERROR(TRIM(LEFT(Raw_Data!A1332,FIND(" ",Raw_Data!A1332)-1)),Raw_Data!A1332)</f>
        <v>Goodscity</v>
      </c>
      <c r="C1332" s="10" t="str">
        <f>IFERROR(LEFT(Raw_Data!B1332,FIND("|",Raw_Data!B1332)-1),Raw_Data!B1332)</f>
        <v>Home&amp;Kitchen</v>
      </c>
      <c r="D1332" s="11">
        <f>IFERROR(VALUE(SUBSTITUTE(SUBSTITUTE(TRIM(Raw_Data!C1332),"₹",""),",","")),"")</f>
        <v>2575</v>
      </c>
      <c r="E1332" s="11">
        <f>IFERROR(VALUE(SUBSTITUTE(SUBSTITUTE(TRIM(Raw_Data!D1332),"₹",""),",","")),"")</f>
        <v>6700</v>
      </c>
      <c r="F1332" s="12">
        <f>IFERROR(VALUE(SUBSTITUTE(Raw_Data!E1332,"%",""))/100,"")</f>
        <v>0.62</v>
      </c>
      <c r="G1332" s="13">
        <f>IFERROR(VALUE(Raw_Data!F1332),"")</f>
        <v>4.2</v>
      </c>
      <c r="H1332" s="14">
        <f>IFERROR(VALUE(SUBSTITUTE(Raw_Data!G1332,",","")),"")</f>
        <v>611</v>
      </c>
      <c r="I1332" s="11">
        <f t="shared" si="80"/>
        <v>4125</v>
      </c>
      <c r="J1332" s="11">
        <f t="shared" si="81"/>
        <v>1573325</v>
      </c>
      <c r="K1332" s="1">
        <f t="shared" si="82"/>
        <v>611.00013320000005</v>
      </c>
      <c r="L1332" s="15">
        <f t="shared" si="83"/>
        <v>0.62013319999999994</v>
      </c>
    </row>
    <row r="1333" spans="1:12" ht="15" customHeight="1" x14ac:dyDescent="0.25">
      <c r="A1333" s="10" t="str">
        <f>Raw_Data!A1333</f>
        <v>Solidaire 550-Watt Mixer Grinder with 3 Jars (Black) (SLD-550-B)</v>
      </c>
      <c r="B1333" s="10" t="str">
        <f>IFERROR(TRIM(LEFT(Raw_Data!A1333,FIND(" ",Raw_Data!A1333)-1)),Raw_Data!A1333)</f>
        <v>Solidaire</v>
      </c>
      <c r="C1333" s="10" t="str">
        <f>IFERROR(LEFT(Raw_Data!B1333,FIND("|",Raw_Data!B1333)-1),Raw_Data!B1333)</f>
        <v>Home&amp;Kitchen</v>
      </c>
      <c r="D1333" s="11">
        <f>IFERROR(VALUE(SUBSTITUTE(SUBSTITUTE(TRIM(Raw_Data!C1333),"₹",""),",","")),"")</f>
        <v>1649</v>
      </c>
      <c r="E1333" s="11">
        <f>IFERROR(VALUE(SUBSTITUTE(SUBSTITUTE(TRIM(Raw_Data!D1333),"₹",""),",","")),"")</f>
        <v>2800</v>
      </c>
      <c r="F1333" s="12">
        <f>IFERROR(VALUE(SUBSTITUTE(Raw_Data!E1333,"%",""))/100,"")</f>
        <v>0.41</v>
      </c>
      <c r="G1333" s="13">
        <f>IFERROR(VALUE(Raw_Data!F1333),"")</f>
        <v>3.9</v>
      </c>
      <c r="H1333" s="14">
        <f>IFERROR(VALUE(SUBSTITUTE(Raw_Data!G1333,",","")),"")</f>
        <v>2162</v>
      </c>
      <c r="I1333" s="11">
        <f t="shared" si="80"/>
        <v>1151</v>
      </c>
      <c r="J1333" s="11">
        <f t="shared" si="81"/>
        <v>3565138</v>
      </c>
      <c r="K1333" s="1">
        <f t="shared" si="82"/>
        <v>2162.0001333</v>
      </c>
      <c r="L1333" s="15">
        <f t="shared" si="83"/>
        <v>0.41013329999999998</v>
      </c>
    </row>
    <row r="1334" spans="1:12" ht="15" customHeight="1" x14ac:dyDescent="0.25">
      <c r="A1334" s="10" t="str">
        <f>Raw_Data!A1334</f>
        <v>Amazon Basics 300 W Hand Blender with Stainless Steel Stem for Hot/Cold Blending and In-Built Cord Hook, ISI-Marked, Black</v>
      </c>
      <c r="B1334" s="10" t="str">
        <f>IFERROR(TRIM(LEFT(Raw_Data!A1334,FIND(" ",Raw_Data!A1334)-1)),Raw_Data!A1334)</f>
        <v>Amazon</v>
      </c>
      <c r="C1334" s="10" t="str">
        <f>IFERROR(LEFT(Raw_Data!B1334,FIND("|",Raw_Data!B1334)-1),Raw_Data!B1334)</f>
        <v>Home&amp;Kitchen</v>
      </c>
      <c r="D1334" s="11">
        <f>IFERROR(VALUE(SUBSTITUTE(SUBSTITUTE(TRIM(Raw_Data!C1334),"₹",""),",","")),"")</f>
        <v>799</v>
      </c>
      <c r="E1334" s="11">
        <f>IFERROR(VALUE(SUBSTITUTE(SUBSTITUTE(TRIM(Raw_Data!D1334),"₹",""),",","")),"")</f>
        <v>1699</v>
      </c>
      <c r="F1334" s="12">
        <f>IFERROR(VALUE(SUBSTITUTE(Raw_Data!E1334,"%",""))/100,"")</f>
        <v>0.53</v>
      </c>
      <c r="G1334" s="13">
        <f>IFERROR(VALUE(Raw_Data!F1334),"")</f>
        <v>4</v>
      </c>
      <c r="H1334" s="14">
        <f>IFERROR(VALUE(SUBSTITUTE(Raw_Data!G1334,",","")),"")</f>
        <v>97</v>
      </c>
      <c r="I1334" s="11">
        <f t="shared" si="80"/>
        <v>900</v>
      </c>
      <c r="J1334" s="11">
        <f t="shared" si="81"/>
        <v>77503</v>
      </c>
      <c r="K1334" s="1">
        <f t="shared" si="82"/>
        <v>97.000133399999996</v>
      </c>
      <c r="L1334" s="15">
        <f t="shared" si="83"/>
        <v>0.53013339999999998</v>
      </c>
    </row>
    <row r="1335" spans="1:12" ht="15" customHeight="1" x14ac:dyDescent="0.25">
      <c r="A1335" s="10" t="str">
        <f>Raw_Data!A1335</f>
        <v>Orpat HHB-100E 250-Watt Hand Blender (White)</v>
      </c>
      <c r="B1335" s="10" t="str">
        <f>IFERROR(TRIM(LEFT(Raw_Data!A1335,FIND(" ",Raw_Data!A1335)-1)),Raw_Data!A1335)</f>
        <v>Orpat</v>
      </c>
      <c r="C1335" s="10" t="str">
        <f>IFERROR(LEFT(Raw_Data!B1335,FIND("|",Raw_Data!B1335)-1),Raw_Data!B1335)</f>
        <v>Home&amp;Kitchen</v>
      </c>
      <c r="D1335" s="11">
        <f>IFERROR(VALUE(SUBSTITUTE(SUBSTITUTE(TRIM(Raw_Data!C1335),"₹",""),",","")),"")</f>
        <v>765</v>
      </c>
      <c r="E1335" s="11">
        <f>IFERROR(VALUE(SUBSTITUTE(SUBSTITUTE(TRIM(Raw_Data!D1335),"₹",""),",","")),"")</f>
        <v>970</v>
      </c>
      <c r="F1335" s="12">
        <f>IFERROR(VALUE(SUBSTITUTE(Raw_Data!E1335,"%",""))/100,"")</f>
        <v>0.21</v>
      </c>
      <c r="G1335" s="13">
        <f>IFERROR(VALUE(Raw_Data!F1335),"")</f>
        <v>4.2</v>
      </c>
      <c r="H1335" s="14">
        <f>IFERROR(VALUE(SUBSTITUTE(Raw_Data!G1335,",","")),"")</f>
        <v>6055</v>
      </c>
      <c r="I1335" s="11">
        <f t="shared" si="80"/>
        <v>205</v>
      </c>
      <c r="J1335" s="11">
        <f t="shared" si="81"/>
        <v>4632075</v>
      </c>
      <c r="K1335" s="1">
        <f t="shared" si="82"/>
        <v>6055.0001334999997</v>
      </c>
      <c r="L1335" s="15">
        <f t="shared" si="83"/>
        <v>0.2101335</v>
      </c>
    </row>
    <row r="1336" spans="1:12" ht="15" customHeight="1" x14ac:dyDescent="0.25">
      <c r="A1336" s="10" t="str">
        <f>Raw_Data!A1336</f>
        <v>HealthSense Rechargeable Lint Remover for Clothes | Fuzz and Fur Remover | Electric Fabric Shaver, Trimmer for Clothes, Carpet, Sofa, Sweaters, Curtains | One-Year Warranty Included - New-Feel LR350</v>
      </c>
      <c r="B1336" s="10" t="str">
        <f>IFERROR(TRIM(LEFT(Raw_Data!A1336,FIND(" ",Raw_Data!A1336)-1)),Raw_Data!A1336)</f>
        <v>HealthSense</v>
      </c>
      <c r="C1336" s="10" t="str">
        <f>IFERROR(LEFT(Raw_Data!B1336,FIND("|",Raw_Data!B1336)-1),Raw_Data!B1336)</f>
        <v>Home&amp;Kitchen</v>
      </c>
      <c r="D1336" s="11">
        <f>IFERROR(VALUE(SUBSTITUTE(SUBSTITUTE(TRIM(Raw_Data!C1336),"₹",""),",","")),"")</f>
        <v>999</v>
      </c>
      <c r="E1336" s="11">
        <f>IFERROR(VALUE(SUBSTITUTE(SUBSTITUTE(TRIM(Raw_Data!D1336),"₹",""),",","")),"")</f>
        <v>1500</v>
      </c>
      <c r="F1336" s="12">
        <f>IFERROR(VALUE(SUBSTITUTE(Raw_Data!E1336,"%",""))/100,"")</f>
        <v>0.33</v>
      </c>
      <c r="G1336" s="13">
        <f>IFERROR(VALUE(Raw_Data!F1336),"")</f>
        <v>4.2</v>
      </c>
      <c r="H1336" s="14">
        <f>IFERROR(VALUE(SUBSTITUTE(Raw_Data!G1336,",","")),"")</f>
        <v>386</v>
      </c>
      <c r="I1336" s="11">
        <f t="shared" si="80"/>
        <v>501</v>
      </c>
      <c r="J1336" s="11">
        <f t="shared" si="81"/>
        <v>385614</v>
      </c>
      <c r="K1336" s="1">
        <f t="shared" si="82"/>
        <v>386.00013360000003</v>
      </c>
      <c r="L1336" s="15">
        <f t="shared" si="83"/>
        <v>0.33013360000000003</v>
      </c>
    </row>
    <row r="1337" spans="1:12" ht="15" customHeight="1" x14ac:dyDescent="0.25">
      <c r="A1337" s="10" t="str">
        <f>Raw_Data!A1337</f>
        <v>AGARO Classic Portable Yogurt Maker, 1.2L Capacity, Electric, Automatic, Grey and White, Medium (33603)</v>
      </c>
      <c r="B1337" s="10" t="str">
        <f>IFERROR(TRIM(LEFT(Raw_Data!A1337,FIND(" ",Raw_Data!A1337)-1)),Raw_Data!A1337)</f>
        <v>AGARO</v>
      </c>
      <c r="C1337" s="10" t="str">
        <f>IFERROR(LEFT(Raw_Data!B1337,FIND("|",Raw_Data!B1337)-1),Raw_Data!B1337)</f>
        <v>Home&amp;Kitchen</v>
      </c>
      <c r="D1337" s="11">
        <f>IFERROR(VALUE(SUBSTITUTE(SUBSTITUTE(TRIM(Raw_Data!C1337),"₹",""),",","")),"")</f>
        <v>587</v>
      </c>
      <c r="E1337" s="11">
        <f>IFERROR(VALUE(SUBSTITUTE(SUBSTITUTE(TRIM(Raw_Data!D1337),"₹",""),",","")),"")</f>
        <v>1295</v>
      </c>
      <c r="F1337" s="12">
        <f>IFERROR(VALUE(SUBSTITUTE(Raw_Data!E1337,"%",""))/100,"")</f>
        <v>0.55000000000000004</v>
      </c>
      <c r="G1337" s="13">
        <f>IFERROR(VALUE(Raw_Data!F1337),"")</f>
        <v>4.0999999999999996</v>
      </c>
      <c r="H1337" s="14">
        <f>IFERROR(VALUE(SUBSTITUTE(Raw_Data!G1337,",","")),"")</f>
        <v>557</v>
      </c>
      <c r="I1337" s="11">
        <f t="shared" si="80"/>
        <v>708</v>
      </c>
      <c r="J1337" s="11">
        <f t="shared" si="81"/>
        <v>326959</v>
      </c>
      <c r="K1337" s="1">
        <f t="shared" si="82"/>
        <v>557.00013369999999</v>
      </c>
      <c r="L1337" s="15">
        <f t="shared" si="83"/>
        <v>0.55013370000000006</v>
      </c>
    </row>
    <row r="1338" spans="1:12" ht="15" customHeight="1" x14ac:dyDescent="0.25">
      <c r="A1338" s="10" t="str">
        <f>Raw_Data!A1338</f>
        <v>AGARO Imperial 240-Watt Slow Juicer with Cold Press Technology</v>
      </c>
      <c r="B1338" s="10" t="str">
        <f>IFERROR(TRIM(LEFT(Raw_Data!A1338,FIND(" ",Raw_Data!A1338)-1)),Raw_Data!A1338)</f>
        <v>AGARO</v>
      </c>
      <c r="C1338" s="10" t="str">
        <f>IFERROR(LEFT(Raw_Data!B1338,FIND("|",Raw_Data!B1338)-1),Raw_Data!B1338)</f>
        <v>Home&amp;Kitchen</v>
      </c>
      <c r="D1338" s="11">
        <f>IFERROR(VALUE(SUBSTITUTE(SUBSTITUTE(TRIM(Raw_Data!C1338),"₹",""),",","")),"")</f>
        <v>12609</v>
      </c>
      <c r="E1338" s="11">
        <f>IFERROR(VALUE(SUBSTITUTE(SUBSTITUTE(TRIM(Raw_Data!D1338),"₹",""),",","")),"")</f>
        <v>23999</v>
      </c>
      <c r="F1338" s="12">
        <f>IFERROR(VALUE(SUBSTITUTE(Raw_Data!E1338,"%",""))/100,"")</f>
        <v>0.47</v>
      </c>
      <c r="G1338" s="13">
        <f>IFERROR(VALUE(Raw_Data!F1338),"")</f>
        <v>4.4000000000000004</v>
      </c>
      <c r="H1338" s="14">
        <f>IFERROR(VALUE(SUBSTITUTE(Raw_Data!G1338,",","")),"")</f>
        <v>2288</v>
      </c>
      <c r="I1338" s="11">
        <f t="shared" si="80"/>
        <v>11390</v>
      </c>
      <c r="J1338" s="11">
        <f t="shared" si="81"/>
        <v>28849392</v>
      </c>
      <c r="K1338" s="1">
        <f t="shared" si="82"/>
        <v>2288.0001338000002</v>
      </c>
      <c r="L1338" s="15">
        <f t="shared" si="83"/>
        <v>0.47013379999999999</v>
      </c>
    </row>
    <row r="1339" spans="1:12" ht="15" customHeight="1" x14ac:dyDescent="0.25">
      <c r="A1339" s="10" t="str">
        <f>Raw_Data!A1339</f>
        <v>Wipro Smartlife Super Deluxe Dry Iron- 1000W</v>
      </c>
      <c r="B1339" s="10" t="str">
        <f>IFERROR(TRIM(LEFT(Raw_Data!A1339,FIND(" ",Raw_Data!A1339)-1)),Raw_Data!A1339)</f>
        <v>Wipro</v>
      </c>
      <c r="C1339" s="10" t="str">
        <f>IFERROR(LEFT(Raw_Data!B1339,FIND("|",Raw_Data!B1339)-1),Raw_Data!B1339)</f>
        <v>Home&amp;Kitchen</v>
      </c>
      <c r="D1339" s="11">
        <f>IFERROR(VALUE(SUBSTITUTE(SUBSTITUTE(TRIM(Raw_Data!C1339),"₹",""),",","")),"")</f>
        <v>699</v>
      </c>
      <c r="E1339" s="11">
        <f>IFERROR(VALUE(SUBSTITUTE(SUBSTITUTE(TRIM(Raw_Data!D1339),"₹",""),",","")),"")</f>
        <v>850</v>
      </c>
      <c r="F1339" s="12">
        <f>IFERROR(VALUE(SUBSTITUTE(Raw_Data!E1339,"%",""))/100,"")</f>
        <v>0.18</v>
      </c>
      <c r="G1339" s="13">
        <f>IFERROR(VALUE(Raw_Data!F1339),"")</f>
        <v>4.0999999999999996</v>
      </c>
      <c r="H1339" s="14">
        <f>IFERROR(VALUE(SUBSTITUTE(Raw_Data!G1339,",","")),"")</f>
        <v>1106</v>
      </c>
      <c r="I1339" s="11">
        <f t="shared" si="80"/>
        <v>151</v>
      </c>
      <c r="J1339" s="11">
        <f t="shared" si="81"/>
        <v>773094</v>
      </c>
      <c r="K1339" s="1">
        <f t="shared" si="82"/>
        <v>1106.0001339</v>
      </c>
      <c r="L1339" s="15">
        <f t="shared" si="83"/>
        <v>0.18013389999999999</v>
      </c>
    </row>
    <row r="1340" spans="1:12" ht="15" customHeight="1" x14ac:dyDescent="0.25">
      <c r="A1340" s="10" t="str">
        <f>Raw_Data!A1340</f>
        <v>AmazonBasics Cylinder Bagless Vacuum Cleaner with Power Suction, Low Sound, High Energy Efficiency and 2 Years Warranty (1.5L, Black)</v>
      </c>
      <c r="B1340" s="10" t="str">
        <f>IFERROR(TRIM(LEFT(Raw_Data!A1340,FIND(" ",Raw_Data!A1340)-1)),Raw_Data!A1340)</f>
        <v>AmazonBasics</v>
      </c>
      <c r="C1340" s="10" t="str">
        <f>IFERROR(LEFT(Raw_Data!B1340,FIND("|",Raw_Data!B1340)-1),Raw_Data!B1340)</f>
        <v>Home&amp;Kitchen</v>
      </c>
      <c r="D1340" s="11">
        <f>IFERROR(VALUE(SUBSTITUTE(SUBSTITUTE(TRIM(Raw_Data!C1340),"₹",""),",","")),"")</f>
        <v>3799</v>
      </c>
      <c r="E1340" s="11">
        <f>IFERROR(VALUE(SUBSTITUTE(SUBSTITUTE(TRIM(Raw_Data!D1340),"₹",""),",","")),"")</f>
        <v>6000</v>
      </c>
      <c r="F1340" s="12">
        <f>IFERROR(VALUE(SUBSTITUTE(Raw_Data!E1340,"%",""))/100,"")</f>
        <v>0.37</v>
      </c>
      <c r="G1340" s="13">
        <f>IFERROR(VALUE(Raw_Data!F1340),"")</f>
        <v>4.2</v>
      </c>
      <c r="H1340" s="14">
        <f>IFERROR(VALUE(SUBSTITUTE(Raw_Data!G1340,",","")),"")</f>
        <v>11935</v>
      </c>
      <c r="I1340" s="11">
        <f t="shared" si="80"/>
        <v>2201</v>
      </c>
      <c r="J1340" s="11">
        <f t="shared" si="81"/>
        <v>45341065</v>
      </c>
      <c r="K1340" s="1">
        <f t="shared" si="82"/>
        <v>11935.000134</v>
      </c>
      <c r="L1340" s="15">
        <f t="shared" si="83"/>
        <v>0.37013400000000002</v>
      </c>
    </row>
    <row r="1341" spans="1:12" ht="15" customHeight="1" x14ac:dyDescent="0.25">
      <c r="A1341" s="10" t="str">
        <f>Raw_Data!A1341</f>
        <v>Crompton IHL 251 1500-Watt Immersion Water Heater with Copper Heating Element and IP 68 Protection</v>
      </c>
      <c r="B1341" s="10" t="str">
        <f>IFERROR(TRIM(LEFT(Raw_Data!A1341,FIND(" ",Raw_Data!A1341)-1)),Raw_Data!A1341)</f>
        <v>Crompton</v>
      </c>
      <c r="C1341" s="10" t="str">
        <f>IFERROR(LEFT(Raw_Data!B1341,FIND("|",Raw_Data!B1341)-1),Raw_Data!B1341)</f>
        <v>Home&amp;Kitchen</v>
      </c>
      <c r="D1341" s="11">
        <f>IFERROR(VALUE(SUBSTITUTE(SUBSTITUTE(TRIM(Raw_Data!C1341),"₹",""),",","")),"")</f>
        <v>640</v>
      </c>
      <c r="E1341" s="11">
        <f>IFERROR(VALUE(SUBSTITUTE(SUBSTITUTE(TRIM(Raw_Data!D1341),"₹",""),",","")),"")</f>
        <v>1020</v>
      </c>
      <c r="F1341" s="12">
        <f>IFERROR(VALUE(SUBSTITUTE(Raw_Data!E1341,"%",""))/100,"")</f>
        <v>0.37</v>
      </c>
      <c r="G1341" s="13">
        <f>IFERROR(VALUE(Raw_Data!F1341),"")</f>
        <v>4.0999999999999996</v>
      </c>
      <c r="H1341" s="14">
        <f>IFERROR(VALUE(SUBSTITUTE(Raw_Data!G1341,",","")),"")</f>
        <v>5059</v>
      </c>
      <c r="I1341" s="11">
        <f t="shared" si="80"/>
        <v>380</v>
      </c>
      <c r="J1341" s="11">
        <f t="shared" si="81"/>
        <v>3237760</v>
      </c>
      <c r="K1341" s="1">
        <f t="shared" si="82"/>
        <v>5059.0001340999997</v>
      </c>
      <c r="L1341" s="15">
        <f t="shared" si="83"/>
        <v>0.37013410000000002</v>
      </c>
    </row>
    <row r="1342" spans="1:12" ht="15" customHeight="1" x14ac:dyDescent="0.25">
      <c r="A1342" s="10" t="str">
        <f>Raw_Data!A1342</f>
        <v>SaiEllin Room Heater For Home 2000 Watts Room Heater For Bedroom | ISI Approved With 1 Year Warranty | For 250 Sq. Feet Blower Heater &amp; Room Heaters Home For Winters</v>
      </c>
      <c r="B1342" s="10" t="str">
        <f>IFERROR(TRIM(LEFT(Raw_Data!A1342,FIND(" ",Raw_Data!A1342)-1)),Raw_Data!A1342)</f>
        <v>SaiEllin</v>
      </c>
      <c r="C1342" s="10" t="str">
        <f>IFERROR(LEFT(Raw_Data!B1342,FIND("|",Raw_Data!B1342)-1),Raw_Data!B1342)</f>
        <v>Home&amp;Kitchen</v>
      </c>
      <c r="D1342" s="11">
        <f>IFERROR(VALUE(SUBSTITUTE(SUBSTITUTE(TRIM(Raw_Data!C1342),"₹",""),",","")),"")</f>
        <v>979</v>
      </c>
      <c r="E1342" s="11">
        <f>IFERROR(VALUE(SUBSTITUTE(SUBSTITUTE(TRIM(Raw_Data!D1342),"₹",""),",","")),"")</f>
        <v>1999</v>
      </c>
      <c r="F1342" s="12">
        <f>IFERROR(VALUE(SUBSTITUTE(Raw_Data!E1342,"%",""))/100,"")</f>
        <v>0.51</v>
      </c>
      <c r="G1342" s="13">
        <f>IFERROR(VALUE(Raw_Data!F1342),"")</f>
        <v>3.9</v>
      </c>
      <c r="H1342" s="14">
        <f>IFERROR(VALUE(SUBSTITUTE(Raw_Data!G1342,",","")),"")</f>
        <v>157</v>
      </c>
      <c r="I1342" s="11">
        <f t="shared" si="80"/>
        <v>1020</v>
      </c>
      <c r="J1342" s="11">
        <f t="shared" si="81"/>
        <v>153703</v>
      </c>
      <c r="K1342" s="1">
        <f t="shared" si="82"/>
        <v>157.00013419999999</v>
      </c>
      <c r="L1342" s="15">
        <f t="shared" si="83"/>
        <v>0.51013419999999998</v>
      </c>
    </row>
    <row r="1343" spans="1:12" ht="15" customHeight="1" x14ac:dyDescent="0.25">
      <c r="A1343" s="10" t="str">
        <f>Raw_Data!A1343</f>
        <v>Bajaj Majesty Duetto Gas 6 Ltr Vertical Water Heater ( LPG), White</v>
      </c>
      <c r="B1343" s="10" t="str">
        <f>IFERROR(TRIM(LEFT(Raw_Data!A1343,FIND(" ",Raw_Data!A1343)-1)),Raw_Data!A1343)</f>
        <v>Bajaj</v>
      </c>
      <c r="C1343" s="10" t="str">
        <f>IFERROR(LEFT(Raw_Data!B1343,FIND("|",Raw_Data!B1343)-1),Raw_Data!B1343)</f>
        <v>Home&amp;Kitchen</v>
      </c>
      <c r="D1343" s="11">
        <f>IFERROR(VALUE(SUBSTITUTE(SUBSTITUTE(TRIM(Raw_Data!C1343),"₹",""),",","")),"")</f>
        <v>5365</v>
      </c>
      <c r="E1343" s="11">
        <f>IFERROR(VALUE(SUBSTITUTE(SUBSTITUTE(TRIM(Raw_Data!D1343),"₹",""),",","")),"")</f>
        <v>7445</v>
      </c>
      <c r="F1343" s="12">
        <f>IFERROR(VALUE(SUBSTITUTE(Raw_Data!E1343,"%",""))/100,"")</f>
        <v>0.28000000000000003</v>
      </c>
      <c r="G1343" s="13">
        <f>IFERROR(VALUE(Raw_Data!F1343),"")</f>
        <v>3.9</v>
      </c>
      <c r="H1343" s="14">
        <f>IFERROR(VALUE(SUBSTITUTE(Raw_Data!G1343,",","")),"")</f>
        <v>3584</v>
      </c>
      <c r="I1343" s="11">
        <f t="shared" si="80"/>
        <v>2080</v>
      </c>
      <c r="J1343" s="11">
        <f t="shared" si="81"/>
        <v>19228160</v>
      </c>
      <c r="K1343" s="1">
        <f t="shared" si="82"/>
        <v>3584.0001342999999</v>
      </c>
      <c r="L1343" s="15">
        <f t="shared" si="83"/>
        <v>0.2801343</v>
      </c>
    </row>
    <row r="1344" spans="1:12" ht="15" customHeight="1" x14ac:dyDescent="0.25">
      <c r="A1344" s="10" t="str">
        <f>Raw_Data!A1344</f>
        <v>Black + Decker BD BXIR2201IN 2200-Watt Cord &amp; Cordless Steam Iron (Green)</v>
      </c>
      <c r="B1344" s="10" t="str">
        <f>IFERROR(TRIM(LEFT(Raw_Data!A1344,FIND(" ",Raw_Data!A1344)-1)),Raw_Data!A1344)</f>
        <v>Black</v>
      </c>
      <c r="C1344" s="10" t="str">
        <f>IFERROR(LEFT(Raw_Data!B1344,FIND("|",Raw_Data!B1344)-1),Raw_Data!B1344)</f>
        <v>Home&amp;Kitchen</v>
      </c>
      <c r="D1344" s="11">
        <f>IFERROR(VALUE(SUBSTITUTE(SUBSTITUTE(TRIM(Raw_Data!C1344),"₹",""),",","")),"")</f>
        <v>3199</v>
      </c>
      <c r="E1344" s="11">
        <f>IFERROR(VALUE(SUBSTITUTE(SUBSTITUTE(TRIM(Raw_Data!D1344),"₹",""),",","")),"")</f>
        <v>3500</v>
      </c>
      <c r="F1344" s="12">
        <f>IFERROR(VALUE(SUBSTITUTE(Raw_Data!E1344,"%",""))/100,"")</f>
        <v>0.09</v>
      </c>
      <c r="G1344" s="13">
        <f>IFERROR(VALUE(Raw_Data!F1344),"")</f>
        <v>4.2</v>
      </c>
      <c r="H1344" s="14">
        <f>IFERROR(VALUE(SUBSTITUTE(Raw_Data!G1344,",","")),"")</f>
        <v>1899</v>
      </c>
      <c r="I1344" s="11">
        <f t="shared" si="80"/>
        <v>301</v>
      </c>
      <c r="J1344" s="11">
        <f t="shared" si="81"/>
        <v>6074901</v>
      </c>
      <c r="K1344" s="1">
        <f t="shared" si="82"/>
        <v>1899.0001344</v>
      </c>
      <c r="L1344" s="15">
        <f t="shared" si="83"/>
        <v>9.0134400000000003E-2</v>
      </c>
    </row>
    <row r="1345" spans="1:12" ht="15" customHeight="1" x14ac:dyDescent="0.25">
      <c r="A1345" s="10" t="str">
        <f>Raw_Data!A1345</f>
        <v>Inalsa Hand Blender| Hand Mixer|Beater - Easy Mix, Powerful 250 Watt Motor | Variable 7 Speed Control | 1 Year Warranty | (White/Red)</v>
      </c>
      <c r="B1345" s="10" t="str">
        <f>IFERROR(TRIM(LEFT(Raw_Data!A1345,FIND(" ",Raw_Data!A1345)-1)),Raw_Data!A1345)</f>
        <v>Inalsa</v>
      </c>
      <c r="C1345" s="10" t="str">
        <f>IFERROR(LEFT(Raw_Data!B1345,FIND("|",Raw_Data!B1345)-1),Raw_Data!B1345)</f>
        <v>Home&amp;Kitchen</v>
      </c>
      <c r="D1345" s="11">
        <f>IFERROR(VALUE(SUBSTITUTE(SUBSTITUTE(TRIM(Raw_Data!C1345),"₹",""),",","")),"")</f>
        <v>979</v>
      </c>
      <c r="E1345" s="11">
        <f>IFERROR(VALUE(SUBSTITUTE(SUBSTITUTE(TRIM(Raw_Data!D1345),"₹",""),",","")),"")</f>
        <v>1395</v>
      </c>
      <c r="F1345" s="12">
        <f>IFERROR(VALUE(SUBSTITUTE(Raw_Data!E1345,"%",""))/100,"")</f>
        <v>0.3</v>
      </c>
      <c r="G1345" s="13">
        <f>IFERROR(VALUE(Raw_Data!F1345),"")</f>
        <v>4.2</v>
      </c>
      <c r="H1345" s="14">
        <f>IFERROR(VALUE(SUBSTITUTE(Raw_Data!G1345,",","")),"")</f>
        <v>15252</v>
      </c>
      <c r="I1345" s="11">
        <f t="shared" si="80"/>
        <v>416</v>
      </c>
      <c r="J1345" s="11">
        <f t="shared" si="81"/>
        <v>14931708</v>
      </c>
      <c r="K1345" s="1">
        <f t="shared" si="82"/>
        <v>15252.0001345</v>
      </c>
      <c r="L1345" s="15">
        <f t="shared" si="83"/>
        <v>0.30013449999999997</v>
      </c>
    </row>
    <row r="1346" spans="1:12" ht="15" customHeight="1" x14ac:dyDescent="0.25">
      <c r="A1346" s="10" t="str">
        <f>Raw_Data!A1346</f>
        <v>Longway Blaze 2 Rod Quartz Room Heater (White, Gray, 800 watts)</v>
      </c>
      <c r="B1346" s="10" t="str">
        <f>IFERROR(TRIM(LEFT(Raw_Data!A1346,FIND(" ",Raw_Data!A1346)-1)),Raw_Data!A1346)</f>
        <v>Longway</v>
      </c>
      <c r="C1346" s="10" t="str">
        <f>IFERROR(LEFT(Raw_Data!B1346,FIND("|",Raw_Data!B1346)-1),Raw_Data!B1346)</f>
        <v>Home&amp;Kitchen</v>
      </c>
      <c r="D1346" s="11">
        <f>IFERROR(VALUE(SUBSTITUTE(SUBSTITUTE(TRIM(Raw_Data!C1346),"₹",""),",","")),"")</f>
        <v>929</v>
      </c>
      <c r="E1346" s="11">
        <f>IFERROR(VALUE(SUBSTITUTE(SUBSTITUTE(TRIM(Raw_Data!D1346),"₹",""),",","")),"")</f>
        <v>2199</v>
      </c>
      <c r="F1346" s="12">
        <f>IFERROR(VALUE(SUBSTITUTE(Raw_Data!E1346,"%",""))/100,"")</f>
        <v>0.57999999999999996</v>
      </c>
      <c r="G1346" s="13">
        <f>IFERROR(VALUE(Raw_Data!F1346),"")</f>
        <v>3.7</v>
      </c>
      <c r="H1346" s="14">
        <f>IFERROR(VALUE(SUBSTITUTE(Raw_Data!G1346,",","")),"")</f>
        <v>4</v>
      </c>
      <c r="I1346" s="11">
        <f t="shared" ref="I1346:I1409" si="84">IFERROR(E1346-D1346,"")</f>
        <v>1270</v>
      </c>
      <c r="J1346" s="11">
        <f t="shared" ref="J1346:J1409" si="85">IFERROR(D1346*H1346,"")</f>
        <v>3716</v>
      </c>
      <c r="K1346" s="1">
        <f t="shared" ref="K1346:K1409" si="86">IF(ISNUMBER(H1346),H1346+ROW()/10000000,"")</f>
        <v>4.0001346</v>
      </c>
      <c r="L1346" s="15">
        <f t="shared" ref="L1346:L1409" si="87">IF(ISNUMBER(F1346),F1346+ROW()/10000000,"")</f>
        <v>0.58013459999999994</v>
      </c>
    </row>
    <row r="1347" spans="1:12" ht="15" customHeight="1" x14ac:dyDescent="0.25">
      <c r="A1347" s="10" t="str">
        <f>Raw_Data!A1347</f>
        <v>Prestige PWG 07 Wet Grinder, 2L (Multicolor) with Coconut Scraper and Atta Kneader Attachments, 200 Watt</v>
      </c>
      <c r="B1347" s="10" t="str">
        <f>IFERROR(TRIM(LEFT(Raw_Data!A1347,FIND(" ",Raw_Data!A1347)-1)),Raw_Data!A1347)</f>
        <v>Prestige</v>
      </c>
      <c r="C1347" s="10" t="str">
        <f>IFERROR(LEFT(Raw_Data!B1347,FIND("|",Raw_Data!B1347)-1),Raw_Data!B1347)</f>
        <v>Home&amp;Kitchen</v>
      </c>
      <c r="D1347" s="11">
        <f>IFERROR(VALUE(SUBSTITUTE(SUBSTITUTE(TRIM(Raw_Data!C1347),"₹",""),",","")),"")</f>
        <v>3710</v>
      </c>
      <c r="E1347" s="11">
        <f>IFERROR(VALUE(SUBSTITUTE(SUBSTITUTE(TRIM(Raw_Data!D1347),"₹",""),",","")),"")</f>
        <v>4330</v>
      </c>
      <c r="F1347" s="12">
        <f>IFERROR(VALUE(SUBSTITUTE(Raw_Data!E1347,"%",""))/100,"")</f>
        <v>0.14000000000000001</v>
      </c>
      <c r="G1347" s="13">
        <f>IFERROR(VALUE(Raw_Data!F1347),"")</f>
        <v>3.7</v>
      </c>
      <c r="H1347" s="14">
        <f>IFERROR(VALUE(SUBSTITUTE(Raw_Data!G1347,",","")),"")</f>
        <v>1662</v>
      </c>
      <c r="I1347" s="11">
        <f t="shared" si="84"/>
        <v>620</v>
      </c>
      <c r="J1347" s="11">
        <f t="shared" si="85"/>
        <v>6166020</v>
      </c>
      <c r="K1347" s="1">
        <f t="shared" si="86"/>
        <v>1662.0001347</v>
      </c>
      <c r="L1347" s="15">
        <f t="shared" si="87"/>
        <v>0.1401347</v>
      </c>
    </row>
    <row r="1348" spans="1:12" ht="15" customHeight="1" x14ac:dyDescent="0.25">
      <c r="A1348" s="10" t="str">
        <f>Raw_Data!A1348</f>
        <v>Pigeon Zest Mixer Grinder 3 Speed Control 750 Watt Powerful Copper Motor with 3 Stainless Steel Jars for Dry Grinding, Wet Grinding and Making Chutney and 3 Polycarbonate lids - Blue</v>
      </c>
      <c r="B1348" s="10" t="str">
        <f>IFERROR(TRIM(LEFT(Raw_Data!A1348,FIND(" ",Raw_Data!A1348)-1)),Raw_Data!A1348)</f>
        <v>Pigeon</v>
      </c>
      <c r="C1348" s="10" t="str">
        <f>IFERROR(LEFT(Raw_Data!B1348,FIND("|",Raw_Data!B1348)-1),Raw_Data!B1348)</f>
        <v>Home&amp;Kitchen</v>
      </c>
      <c r="D1348" s="11">
        <f>IFERROR(VALUE(SUBSTITUTE(SUBSTITUTE(TRIM(Raw_Data!C1348),"₹",""),",","")),"")</f>
        <v>2033</v>
      </c>
      <c r="E1348" s="11">
        <f>IFERROR(VALUE(SUBSTITUTE(SUBSTITUTE(TRIM(Raw_Data!D1348),"₹",""),",","")),"")</f>
        <v>4295</v>
      </c>
      <c r="F1348" s="12">
        <f>IFERROR(VALUE(SUBSTITUTE(Raw_Data!E1348,"%",""))/100,"")</f>
        <v>0.53</v>
      </c>
      <c r="G1348" s="13">
        <f>IFERROR(VALUE(Raw_Data!F1348),"")</f>
        <v>3.4</v>
      </c>
      <c r="H1348" s="14">
        <f>IFERROR(VALUE(SUBSTITUTE(Raw_Data!G1348,",","")),"")</f>
        <v>422</v>
      </c>
      <c r="I1348" s="11">
        <f t="shared" si="84"/>
        <v>2262</v>
      </c>
      <c r="J1348" s="11">
        <f t="shared" si="85"/>
        <v>857926</v>
      </c>
      <c r="K1348" s="1">
        <f t="shared" si="86"/>
        <v>422.00013480000001</v>
      </c>
      <c r="L1348" s="15">
        <f t="shared" si="87"/>
        <v>0.53013480000000002</v>
      </c>
    </row>
    <row r="1349" spans="1:12" ht="15" customHeight="1" x14ac:dyDescent="0.25">
      <c r="A1349" s="10" t="str">
        <f>Raw_Data!A1349</f>
        <v>Borosil Volcano 13 Fin Oil Filled Radiator Room Heater, 2900 W, Black</v>
      </c>
      <c r="B1349" s="10" t="str">
        <f>IFERROR(TRIM(LEFT(Raw_Data!A1349,FIND(" ",Raw_Data!A1349)-1)),Raw_Data!A1349)</f>
        <v>Borosil</v>
      </c>
      <c r="C1349" s="10" t="str">
        <f>IFERROR(LEFT(Raw_Data!B1349,FIND("|",Raw_Data!B1349)-1),Raw_Data!B1349)</f>
        <v>Home&amp;Kitchen</v>
      </c>
      <c r="D1349" s="11">
        <f>IFERROR(VALUE(SUBSTITUTE(SUBSTITUTE(TRIM(Raw_Data!C1349),"₹",""),",","")),"")</f>
        <v>9495</v>
      </c>
      <c r="E1349" s="11">
        <f>IFERROR(VALUE(SUBSTITUTE(SUBSTITUTE(TRIM(Raw_Data!D1349),"₹",""),",","")),"")</f>
        <v>18990</v>
      </c>
      <c r="F1349" s="12">
        <f>IFERROR(VALUE(SUBSTITUTE(Raw_Data!E1349,"%",""))/100,"")</f>
        <v>0.5</v>
      </c>
      <c r="G1349" s="13">
        <f>IFERROR(VALUE(Raw_Data!F1349),"")</f>
        <v>4.2</v>
      </c>
      <c r="H1349" s="14">
        <f>IFERROR(VALUE(SUBSTITUTE(Raw_Data!G1349,",","")),"")</f>
        <v>79</v>
      </c>
      <c r="I1349" s="11">
        <f t="shared" si="84"/>
        <v>9495</v>
      </c>
      <c r="J1349" s="11">
        <f t="shared" si="85"/>
        <v>750105</v>
      </c>
      <c r="K1349" s="1">
        <f t="shared" si="86"/>
        <v>79.000134900000006</v>
      </c>
      <c r="L1349" s="15">
        <f t="shared" si="87"/>
        <v>0.50013490000000005</v>
      </c>
    </row>
    <row r="1350" spans="1:12" ht="15" customHeight="1" x14ac:dyDescent="0.25">
      <c r="A1350" s="10" t="str">
        <f>Raw_Data!A1350</f>
        <v>Crompton Solarium Qube 15-L 5 Star Rated Storage Water Heater (Geyser) with Free Installation and Connection Pipes (White and Black)</v>
      </c>
      <c r="B1350" s="10" t="str">
        <f>IFERROR(TRIM(LEFT(Raw_Data!A1350,FIND(" ",Raw_Data!A1350)-1)),Raw_Data!A1350)</f>
        <v>Crompton</v>
      </c>
      <c r="C1350" s="10" t="str">
        <f>IFERROR(LEFT(Raw_Data!B1350,FIND("|",Raw_Data!B1350)-1),Raw_Data!B1350)</f>
        <v>Home&amp;Kitchen</v>
      </c>
      <c r="D1350" s="11">
        <f>IFERROR(VALUE(SUBSTITUTE(SUBSTITUTE(TRIM(Raw_Data!C1350),"₹",""),",","")),"")</f>
        <v>7799</v>
      </c>
      <c r="E1350" s="11">
        <f>IFERROR(VALUE(SUBSTITUTE(SUBSTITUTE(TRIM(Raw_Data!D1350),"₹",""),",","")),"")</f>
        <v>12500</v>
      </c>
      <c r="F1350" s="12">
        <f>IFERROR(VALUE(SUBSTITUTE(Raw_Data!E1350,"%",""))/100,"")</f>
        <v>0.38</v>
      </c>
      <c r="G1350" s="13">
        <f>IFERROR(VALUE(Raw_Data!F1350),"")</f>
        <v>4</v>
      </c>
      <c r="H1350" s="14">
        <f>IFERROR(VALUE(SUBSTITUTE(Raw_Data!G1350,",","")),"")</f>
        <v>5160</v>
      </c>
      <c r="I1350" s="11">
        <f t="shared" si="84"/>
        <v>4701</v>
      </c>
      <c r="J1350" s="11">
        <f t="shared" si="85"/>
        <v>40242840</v>
      </c>
      <c r="K1350" s="1">
        <f t="shared" si="86"/>
        <v>5160.0001350000002</v>
      </c>
      <c r="L1350" s="15">
        <f t="shared" si="87"/>
        <v>0.380135</v>
      </c>
    </row>
    <row r="1351" spans="1:12" ht="15" customHeight="1" x14ac:dyDescent="0.25">
      <c r="A1351" s="10" t="str">
        <f>Raw_Data!A1351</f>
        <v>Singer Aroma 1.8 Liter Electric Kettle High Grade Stainless Steel with Cool and Touch Body and Cordless Base, 1500 watts, Auto Shut Off with Dry Boiling (Silver/Black)</v>
      </c>
      <c r="B1351" s="10" t="str">
        <f>IFERROR(TRIM(LEFT(Raw_Data!A1351,FIND(" ",Raw_Data!A1351)-1)),Raw_Data!A1351)</f>
        <v>Singer</v>
      </c>
      <c r="C1351" s="10" t="str">
        <f>IFERROR(LEFT(Raw_Data!B1351,FIND("|",Raw_Data!B1351)-1),Raw_Data!B1351)</f>
        <v>Home&amp;Kitchen</v>
      </c>
      <c r="D1351" s="11">
        <f>IFERROR(VALUE(SUBSTITUTE(SUBSTITUTE(TRIM(Raw_Data!C1351),"₹",""),",","")),"")</f>
        <v>949</v>
      </c>
      <c r="E1351" s="11">
        <f>IFERROR(VALUE(SUBSTITUTE(SUBSTITUTE(TRIM(Raw_Data!D1351),"₹",""),",","")),"")</f>
        <v>2385</v>
      </c>
      <c r="F1351" s="12">
        <f>IFERROR(VALUE(SUBSTITUTE(Raw_Data!E1351,"%",""))/100,"")</f>
        <v>0.6</v>
      </c>
      <c r="G1351" s="13">
        <f>IFERROR(VALUE(Raw_Data!F1351),"")</f>
        <v>4.0999999999999996</v>
      </c>
      <c r="H1351" s="14">
        <f>IFERROR(VALUE(SUBSTITUTE(Raw_Data!G1351,",","")),"")</f>
        <v>2311</v>
      </c>
      <c r="I1351" s="11">
        <f t="shared" si="84"/>
        <v>1436</v>
      </c>
      <c r="J1351" s="11">
        <f t="shared" si="85"/>
        <v>2193139</v>
      </c>
      <c r="K1351" s="1">
        <f t="shared" si="86"/>
        <v>2311.0001351000001</v>
      </c>
      <c r="L1351" s="15">
        <f t="shared" si="87"/>
        <v>0.60013510000000003</v>
      </c>
    </row>
    <row r="1352" spans="1:12" ht="15" customHeight="1" x14ac:dyDescent="0.25">
      <c r="A1352" s="10" t="str">
        <f>Raw_Data!A1352</f>
        <v>Orient Electric Aura Neo Instant 3L Water Heater (Geyser), 5-level Safety Shield, Stainless Steel Tank (White &amp; Turquoise)</v>
      </c>
      <c r="B1352" s="10" t="str">
        <f>IFERROR(TRIM(LEFT(Raw_Data!A1352,FIND(" ",Raw_Data!A1352)-1)),Raw_Data!A1352)</f>
        <v>Orient</v>
      </c>
      <c r="C1352" s="10" t="str">
        <f>IFERROR(LEFT(Raw_Data!B1352,FIND("|",Raw_Data!B1352)-1),Raw_Data!B1352)</f>
        <v>Home&amp;Kitchen</v>
      </c>
      <c r="D1352" s="11">
        <f>IFERROR(VALUE(SUBSTITUTE(SUBSTITUTE(TRIM(Raw_Data!C1352),"₹",""),",","")),"")</f>
        <v>2790</v>
      </c>
      <c r="E1352" s="11">
        <f>IFERROR(VALUE(SUBSTITUTE(SUBSTITUTE(TRIM(Raw_Data!D1352),"₹",""),",","")),"")</f>
        <v>4890</v>
      </c>
      <c r="F1352" s="12">
        <f>IFERROR(VALUE(SUBSTITUTE(Raw_Data!E1352,"%",""))/100,"")</f>
        <v>0.43</v>
      </c>
      <c r="G1352" s="13">
        <f>IFERROR(VALUE(Raw_Data!F1352),"")</f>
        <v>3.9</v>
      </c>
      <c r="H1352" s="14">
        <f>IFERROR(VALUE(SUBSTITUTE(Raw_Data!G1352,",","")),"")</f>
        <v>588</v>
      </c>
      <c r="I1352" s="11">
        <f t="shared" si="84"/>
        <v>2100</v>
      </c>
      <c r="J1352" s="11">
        <f t="shared" si="85"/>
        <v>1640520</v>
      </c>
      <c r="K1352" s="1">
        <f t="shared" si="86"/>
        <v>588.00013520000005</v>
      </c>
      <c r="L1352" s="15">
        <f t="shared" si="87"/>
        <v>0.4301352</v>
      </c>
    </row>
    <row r="1353" spans="1:12" ht="15" customHeight="1" x14ac:dyDescent="0.25">
      <c r="A1353" s="10" t="str">
        <f>Raw_Data!A1353</f>
        <v>Crompton Brio 1000-Watts Dry Iron with Weilburger Coating (Sky Blue and White)</v>
      </c>
      <c r="B1353" s="10" t="str">
        <f>IFERROR(TRIM(LEFT(Raw_Data!A1353,FIND(" ",Raw_Data!A1353)-1)),Raw_Data!A1353)</f>
        <v>Crompton</v>
      </c>
      <c r="C1353" s="10" t="str">
        <f>IFERROR(LEFT(Raw_Data!B1353,FIND("|",Raw_Data!B1353)-1),Raw_Data!B1353)</f>
        <v>Home&amp;Kitchen</v>
      </c>
      <c r="D1353" s="11">
        <f>IFERROR(VALUE(SUBSTITUTE(SUBSTITUTE(TRIM(Raw_Data!C1353),"₹",""),",","")),"")</f>
        <v>645</v>
      </c>
      <c r="E1353" s="11">
        <f>IFERROR(VALUE(SUBSTITUTE(SUBSTITUTE(TRIM(Raw_Data!D1353),"₹",""),",","")),"")</f>
        <v>1100</v>
      </c>
      <c r="F1353" s="12">
        <f>IFERROR(VALUE(SUBSTITUTE(Raw_Data!E1353,"%",""))/100,"")</f>
        <v>0.41</v>
      </c>
      <c r="G1353" s="13">
        <f>IFERROR(VALUE(Raw_Data!F1353),"")</f>
        <v>4</v>
      </c>
      <c r="H1353" s="14">
        <f>IFERROR(VALUE(SUBSTITUTE(Raw_Data!G1353,",","")),"")</f>
        <v>3271</v>
      </c>
      <c r="I1353" s="11">
        <f t="shared" si="84"/>
        <v>455</v>
      </c>
      <c r="J1353" s="11">
        <f t="shared" si="85"/>
        <v>2109795</v>
      </c>
      <c r="K1353" s="1">
        <f t="shared" si="86"/>
        <v>3271.0001352999998</v>
      </c>
      <c r="L1353" s="15">
        <f t="shared" si="87"/>
        <v>0.41013529999999998</v>
      </c>
    </row>
    <row r="1354" spans="1:12" ht="15" customHeight="1" x14ac:dyDescent="0.25">
      <c r="A1354" s="10" t="str">
        <f>Raw_Data!A1354</f>
        <v>Butterfly Hero Mixer Grinder, 500W, 3 Jars (Grey)</v>
      </c>
      <c r="B1354" s="10" t="str">
        <f>IFERROR(TRIM(LEFT(Raw_Data!A1354,FIND(" ",Raw_Data!A1354)-1)),Raw_Data!A1354)</f>
        <v>Butterfly</v>
      </c>
      <c r="C1354" s="10" t="str">
        <f>IFERROR(LEFT(Raw_Data!B1354,FIND("|",Raw_Data!B1354)-1),Raw_Data!B1354)</f>
        <v>Home&amp;Kitchen</v>
      </c>
      <c r="D1354" s="11">
        <f>IFERROR(VALUE(SUBSTITUTE(SUBSTITUTE(TRIM(Raw_Data!C1354),"₹",""),",","")),"")</f>
        <v>2237.81</v>
      </c>
      <c r="E1354" s="11">
        <f>IFERROR(VALUE(SUBSTITUTE(SUBSTITUTE(TRIM(Raw_Data!D1354),"₹",""),",","")),"")</f>
        <v>3899</v>
      </c>
      <c r="F1354" s="12">
        <f>IFERROR(VALUE(SUBSTITUTE(Raw_Data!E1354,"%",""))/100,"")</f>
        <v>0.43</v>
      </c>
      <c r="G1354" s="13">
        <f>IFERROR(VALUE(Raw_Data!F1354),"")</f>
        <v>3.9</v>
      </c>
      <c r="H1354" s="14">
        <f>IFERROR(VALUE(SUBSTITUTE(Raw_Data!G1354,",","")),"")</f>
        <v>11004</v>
      </c>
      <c r="I1354" s="11">
        <f t="shared" si="84"/>
        <v>1661.19</v>
      </c>
      <c r="J1354" s="11">
        <f t="shared" si="85"/>
        <v>24624861.239999998</v>
      </c>
      <c r="K1354" s="1">
        <f t="shared" si="86"/>
        <v>11004.0001354</v>
      </c>
      <c r="L1354" s="15">
        <f t="shared" si="87"/>
        <v>0.4301354</v>
      </c>
    </row>
    <row r="1355" spans="1:12" ht="15" customHeight="1" x14ac:dyDescent="0.25">
      <c r="A1355" s="10" t="str">
        <f>Raw_Data!A1355</f>
        <v>Racold Eterno Pro 25L Vertical 5 Star Storage Water Heater (Geyser) with free Standard Installation and free Installation Pipes</v>
      </c>
      <c r="B1355" s="10" t="str">
        <f>IFERROR(TRIM(LEFT(Raw_Data!A1355,FIND(" ",Raw_Data!A1355)-1)),Raw_Data!A1355)</f>
        <v>Racold</v>
      </c>
      <c r="C1355" s="10" t="str">
        <f>IFERROR(LEFT(Raw_Data!B1355,FIND("|",Raw_Data!B1355)-1),Raw_Data!B1355)</f>
        <v>Home&amp;Kitchen</v>
      </c>
      <c r="D1355" s="11">
        <f>IFERROR(VALUE(SUBSTITUTE(SUBSTITUTE(TRIM(Raw_Data!C1355),"₹",""),",","")),"")</f>
        <v>8699</v>
      </c>
      <c r="E1355" s="11">
        <f>IFERROR(VALUE(SUBSTITUTE(SUBSTITUTE(TRIM(Raw_Data!D1355),"₹",""),",","")),"")</f>
        <v>16899</v>
      </c>
      <c r="F1355" s="12">
        <f>IFERROR(VALUE(SUBSTITUTE(Raw_Data!E1355,"%",""))/100,"")</f>
        <v>0.49</v>
      </c>
      <c r="G1355" s="13">
        <f>IFERROR(VALUE(Raw_Data!F1355),"")</f>
        <v>4.2</v>
      </c>
      <c r="H1355" s="14">
        <f>IFERROR(VALUE(SUBSTITUTE(Raw_Data!G1355,",","")),"")</f>
        <v>3195</v>
      </c>
      <c r="I1355" s="11">
        <f t="shared" si="84"/>
        <v>8200</v>
      </c>
      <c r="J1355" s="11">
        <f t="shared" si="85"/>
        <v>27793305</v>
      </c>
      <c r="K1355" s="1">
        <f t="shared" si="86"/>
        <v>3195.0001354999999</v>
      </c>
      <c r="L1355" s="15">
        <f t="shared" si="87"/>
        <v>0.4901355</v>
      </c>
    </row>
    <row r="1356" spans="1:12" ht="15" customHeight="1" x14ac:dyDescent="0.25">
      <c r="A1356" s="10" t="str">
        <f>Raw_Data!A1356</f>
        <v>LG 1.5 Ton 5 Star AI DUAL Inverter Split AC (Copper, Super Convertible 6-in-1 Cooling, HD Filter with Anti-Virus Protection, 2022 Model, PS-Q19YNZE, White)</v>
      </c>
      <c r="B1356" s="10" t="str">
        <f>IFERROR(TRIM(LEFT(Raw_Data!A1356,FIND(" ",Raw_Data!A1356)-1)),Raw_Data!A1356)</f>
        <v>LG</v>
      </c>
      <c r="C1356" s="10" t="str">
        <f>IFERROR(LEFT(Raw_Data!B1356,FIND("|",Raw_Data!B1356)-1),Raw_Data!B1356)</f>
        <v>Home&amp;Kitchen</v>
      </c>
      <c r="D1356" s="11">
        <f>IFERROR(VALUE(SUBSTITUTE(SUBSTITUTE(TRIM(Raw_Data!C1356),"₹",""),",","")),"")</f>
        <v>42990</v>
      </c>
      <c r="E1356" s="11">
        <f>IFERROR(VALUE(SUBSTITUTE(SUBSTITUTE(TRIM(Raw_Data!D1356),"₹",""),",","")),"")</f>
        <v>75990</v>
      </c>
      <c r="F1356" s="12">
        <f>IFERROR(VALUE(SUBSTITUTE(Raw_Data!E1356,"%",""))/100,"")</f>
        <v>0.43</v>
      </c>
      <c r="G1356" s="13">
        <f>IFERROR(VALUE(Raw_Data!F1356),"")</f>
        <v>4.3</v>
      </c>
      <c r="H1356" s="14">
        <f>IFERROR(VALUE(SUBSTITUTE(Raw_Data!G1356,",","")),"")</f>
        <v>3231</v>
      </c>
      <c r="I1356" s="11">
        <f t="shared" si="84"/>
        <v>33000</v>
      </c>
      <c r="J1356" s="11">
        <f t="shared" si="85"/>
        <v>138900690</v>
      </c>
      <c r="K1356" s="1">
        <f t="shared" si="86"/>
        <v>3231.0001355999998</v>
      </c>
      <c r="L1356" s="15">
        <f t="shared" si="87"/>
        <v>0.43013560000000001</v>
      </c>
    </row>
    <row r="1357" spans="1:12" ht="15" customHeight="1" x14ac:dyDescent="0.25">
      <c r="A1357" s="10" t="str">
        <f>Raw_Data!A1357</f>
        <v>Eureka Forbes Aquasure Amrit Twin Cartridge (Pack of 2), White</v>
      </c>
      <c r="B1357" s="10" t="str">
        <f>IFERROR(TRIM(LEFT(Raw_Data!A1357,FIND(" ",Raw_Data!A1357)-1)),Raw_Data!A1357)</f>
        <v>Eureka</v>
      </c>
      <c r="C1357" s="10" t="str">
        <f>IFERROR(LEFT(Raw_Data!B1357,FIND("|",Raw_Data!B1357)-1),Raw_Data!B1357)</f>
        <v>Home&amp;Kitchen</v>
      </c>
      <c r="D1357" s="11">
        <f>IFERROR(VALUE(SUBSTITUTE(SUBSTITUTE(TRIM(Raw_Data!C1357),"₹",""),",","")),"")</f>
        <v>825</v>
      </c>
      <c r="E1357" s="11">
        <f>IFERROR(VALUE(SUBSTITUTE(SUBSTITUTE(TRIM(Raw_Data!D1357),"₹",""),",","")),"")</f>
        <v>825</v>
      </c>
      <c r="F1357" s="12">
        <f>IFERROR(VALUE(SUBSTITUTE(Raw_Data!E1357,"%",""))/100,"")</f>
        <v>0</v>
      </c>
      <c r="G1357" s="13">
        <f>IFERROR(VALUE(Raw_Data!F1357),"")</f>
        <v>4</v>
      </c>
      <c r="H1357" s="14">
        <f>IFERROR(VALUE(SUBSTITUTE(Raw_Data!G1357,",","")),"")</f>
        <v>3246</v>
      </c>
      <c r="I1357" s="11">
        <f t="shared" si="84"/>
        <v>0</v>
      </c>
      <c r="J1357" s="11">
        <f t="shared" si="85"/>
        <v>2677950</v>
      </c>
      <c r="K1357" s="1">
        <f t="shared" si="86"/>
        <v>3246.0001357000001</v>
      </c>
      <c r="L1357" s="15">
        <f t="shared" si="87"/>
        <v>1.3569999999999999E-4</v>
      </c>
    </row>
    <row r="1358" spans="1:12" ht="15" customHeight="1" x14ac:dyDescent="0.25">
      <c r="A1358" s="10" t="str">
        <f>Raw_Data!A1358</f>
        <v>Green Tales Heat Seal Mini Food Sealer-Impulse Machine for Sealing Plastic Bags Packaging</v>
      </c>
      <c r="B1358" s="10" t="str">
        <f>IFERROR(TRIM(LEFT(Raw_Data!A1358,FIND(" ",Raw_Data!A1358)-1)),Raw_Data!A1358)</f>
        <v>Green</v>
      </c>
      <c r="C1358" s="10" t="str">
        <f>IFERROR(LEFT(Raw_Data!B1358,FIND("|",Raw_Data!B1358)-1),Raw_Data!B1358)</f>
        <v>Home&amp;Kitchen</v>
      </c>
      <c r="D1358" s="11">
        <f>IFERROR(VALUE(SUBSTITUTE(SUBSTITUTE(TRIM(Raw_Data!C1358),"₹",""),",","")),"")</f>
        <v>161</v>
      </c>
      <c r="E1358" s="11">
        <f>IFERROR(VALUE(SUBSTITUTE(SUBSTITUTE(TRIM(Raw_Data!D1358),"₹",""),",","")),"")</f>
        <v>300</v>
      </c>
      <c r="F1358" s="12">
        <f>IFERROR(VALUE(SUBSTITUTE(Raw_Data!E1358,"%",""))/100,"")</f>
        <v>0.46</v>
      </c>
      <c r="G1358" s="13">
        <f>IFERROR(VALUE(Raw_Data!F1358),"")</f>
        <v>2.6</v>
      </c>
      <c r="H1358" s="14">
        <f>IFERROR(VALUE(SUBSTITUTE(Raw_Data!G1358,",","")),"")</f>
        <v>24</v>
      </c>
      <c r="I1358" s="11">
        <f t="shared" si="84"/>
        <v>139</v>
      </c>
      <c r="J1358" s="11">
        <f t="shared" si="85"/>
        <v>3864</v>
      </c>
      <c r="K1358" s="1">
        <f t="shared" si="86"/>
        <v>24.000135799999999</v>
      </c>
      <c r="L1358" s="15">
        <f t="shared" si="87"/>
        <v>0.46013580000000004</v>
      </c>
    </row>
    <row r="1359" spans="1:12" ht="15" customHeight="1" x14ac:dyDescent="0.25">
      <c r="A1359" s="10" t="str">
        <f>Raw_Data!A1359</f>
        <v>SaleOn Instant Coal Heater 500W Charcoal Burner Electric Stove Hot Plate - Mix Colors - Pack of 1 - Only Charcoal Heater</v>
      </c>
      <c r="B1359" s="10" t="str">
        <f>IFERROR(TRIM(LEFT(Raw_Data!A1359,FIND(" ",Raw_Data!A1359)-1)),Raw_Data!A1359)</f>
        <v>SaleOn</v>
      </c>
      <c r="C1359" s="10" t="str">
        <f>IFERROR(LEFT(Raw_Data!B1359,FIND("|",Raw_Data!B1359)-1),Raw_Data!B1359)</f>
        <v>Home&amp;Kitchen</v>
      </c>
      <c r="D1359" s="11">
        <f>IFERROR(VALUE(SUBSTITUTE(SUBSTITUTE(TRIM(Raw_Data!C1359),"₹",""),",","")),"")</f>
        <v>697</v>
      </c>
      <c r="E1359" s="11">
        <f>IFERROR(VALUE(SUBSTITUTE(SUBSTITUTE(TRIM(Raw_Data!D1359),"₹",""),",","")),"")</f>
        <v>1499</v>
      </c>
      <c r="F1359" s="12">
        <f>IFERROR(VALUE(SUBSTITUTE(Raw_Data!E1359,"%",""))/100,"")</f>
        <v>0.54</v>
      </c>
      <c r="G1359" s="13">
        <f>IFERROR(VALUE(Raw_Data!F1359),"")</f>
        <v>3.8</v>
      </c>
      <c r="H1359" s="14">
        <f>IFERROR(VALUE(SUBSTITUTE(Raw_Data!G1359,",","")),"")</f>
        <v>144</v>
      </c>
      <c r="I1359" s="11">
        <f t="shared" si="84"/>
        <v>802</v>
      </c>
      <c r="J1359" s="11">
        <f t="shared" si="85"/>
        <v>100368</v>
      </c>
      <c r="K1359" s="1">
        <f t="shared" si="86"/>
        <v>144.0001359</v>
      </c>
      <c r="L1359" s="15">
        <f t="shared" si="87"/>
        <v>0.5401359</v>
      </c>
    </row>
    <row r="1360" spans="1:12" ht="15" customHeight="1" x14ac:dyDescent="0.25">
      <c r="A1360" s="10" t="str">
        <f>Raw_Data!A1360</f>
        <v>Sujata Chutney Steel Jar, 400 ml, (White), Stainless Steel</v>
      </c>
      <c r="B1360" s="10" t="str">
        <f>IFERROR(TRIM(LEFT(Raw_Data!A1360,FIND(" ",Raw_Data!A1360)-1)),Raw_Data!A1360)</f>
        <v>Sujata</v>
      </c>
      <c r="C1360" s="10" t="str">
        <f>IFERROR(LEFT(Raw_Data!B1360,FIND("|",Raw_Data!B1360)-1),Raw_Data!B1360)</f>
        <v>Home&amp;Kitchen</v>
      </c>
      <c r="D1360" s="11">
        <f>IFERROR(VALUE(SUBSTITUTE(SUBSTITUTE(TRIM(Raw_Data!C1360),"₹",""),",","")),"")</f>
        <v>688</v>
      </c>
      <c r="E1360" s="11">
        <f>IFERROR(VALUE(SUBSTITUTE(SUBSTITUTE(TRIM(Raw_Data!D1360),"₹",""),",","")),"")</f>
        <v>747</v>
      </c>
      <c r="F1360" s="12">
        <f>IFERROR(VALUE(SUBSTITUTE(Raw_Data!E1360,"%",""))/100,"")</f>
        <v>0.08</v>
      </c>
      <c r="G1360" s="13">
        <f>IFERROR(VALUE(Raw_Data!F1360),"")</f>
        <v>4.5</v>
      </c>
      <c r="H1360" s="14">
        <f>IFERROR(VALUE(SUBSTITUTE(Raw_Data!G1360,",","")),"")</f>
        <v>2280</v>
      </c>
      <c r="I1360" s="11">
        <f t="shared" si="84"/>
        <v>59</v>
      </c>
      <c r="J1360" s="11">
        <f t="shared" si="85"/>
        <v>1568640</v>
      </c>
      <c r="K1360" s="1">
        <f t="shared" si="86"/>
        <v>2280.0001360000001</v>
      </c>
      <c r="L1360" s="15">
        <f t="shared" si="87"/>
        <v>8.0135999999999999E-2</v>
      </c>
    </row>
    <row r="1361" spans="1:12" ht="15" customHeight="1" x14ac:dyDescent="0.25">
      <c r="A1361" s="10" t="str">
        <f>Raw_Data!A1361</f>
        <v>KHAITAN AVAANTE KA-2013 1200 Watt 3-Rod Halogen Heater (1200 Watts, Grey)</v>
      </c>
      <c r="B1361" s="10" t="str">
        <f>IFERROR(TRIM(LEFT(Raw_Data!A1361,FIND(" ",Raw_Data!A1361)-1)),Raw_Data!A1361)</f>
        <v>KHAITAN</v>
      </c>
      <c r="C1361" s="10" t="str">
        <f>IFERROR(LEFT(Raw_Data!B1361,FIND("|",Raw_Data!B1361)-1),Raw_Data!B1361)</f>
        <v>Home&amp;Kitchen</v>
      </c>
      <c r="D1361" s="11">
        <f>IFERROR(VALUE(SUBSTITUTE(SUBSTITUTE(TRIM(Raw_Data!C1361),"₹",""),",","")),"")</f>
        <v>2199</v>
      </c>
      <c r="E1361" s="11">
        <f>IFERROR(VALUE(SUBSTITUTE(SUBSTITUTE(TRIM(Raw_Data!D1361),"₹",""),",","")),"")</f>
        <v>3999</v>
      </c>
      <c r="F1361" s="12">
        <f>IFERROR(VALUE(SUBSTITUTE(Raw_Data!E1361,"%",""))/100,"")</f>
        <v>0.45</v>
      </c>
      <c r="G1361" s="13">
        <f>IFERROR(VALUE(Raw_Data!F1361),"")</f>
        <v>3.5</v>
      </c>
      <c r="H1361" s="14">
        <f>IFERROR(VALUE(SUBSTITUTE(Raw_Data!G1361,",","")),"")</f>
        <v>340</v>
      </c>
      <c r="I1361" s="11">
        <f t="shared" si="84"/>
        <v>1800</v>
      </c>
      <c r="J1361" s="11">
        <f t="shared" si="85"/>
        <v>747660</v>
      </c>
      <c r="K1361" s="1">
        <f t="shared" si="86"/>
        <v>340.00013610000002</v>
      </c>
      <c r="L1361" s="15">
        <f t="shared" si="87"/>
        <v>0.45013609999999998</v>
      </c>
    </row>
    <row r="1362" spans="1:12" ht="15" customHeight="1" x14ac:dyDescent="0.25">
      <c r="A1362" s="10" t="str">
        <f>Raw_Data!A1362</f>
        <v>Kenstar 2400 Watts 9 Fins Oil Filled Radiator with PTC Fan Heater (BLACK GOLD)</v>
      </c>
      <c r="B1362" s="10" t="str">
        <f>IFERROR(TRIM(LEFT(Raw_Data!A1362,FIND(" ",Raw_Data!A1362)-1)),Raw_Data!A1362)</f>
        <v>Kenstar</v>
      </c>
      <c r="C1362" s="10" t="str">
        <f>IFERROR(LEFT(Raw_Data!B1362,FIND("|",Raw_Data!B1362)-1),Raw_Data!B1362)</f>
        <v>Home&amp;Kitchen</v>
      </c>
      <c r="D1362" s="11">
        <f>IFERROR(VALUE(SUBSTITUTE(SUBSTITUTE(TRIM(Raw_Data!C1362),"₹",""),",","")),"")</f>
        <v>6850</v>
      </c>
      <c r="E1362" s="11">
        <f>IFERROR(VALUE(SUBSTITUTE(SUBSTITUTE(TRIM(Raw_Data!D1362),"₹",""),",","")),"")</f>
        <v>11990</v>
      </c>
      <c r="F1362" s="12">
        <f>IFERROR(VALUE(SUBSTITUTE(Raw_Data!E1362,"%",""))/100,"")</f>
        <v>0.43</v>
      </c>
      <c r="G1362" s="13">
        <f>IFERROR(VALUE(Raw_Data!F1362),"")</f>
        <v>3.9</v>
      </c>
      <c r="H1362" s="14">
        <f>IFERROR(VALUE(SUBSTITUTE(Raw_Data!G1362,",","")),"")</f>
        <v>144</v>
      </c>
      <c r="I1362" s="11">
        <f t="shared" si="84"/>
        <v>5140</v>
      </c>
      <c r="J1362" s="11">
        <f t="shared" si="85"/>
        <v>986400</v>
      </c>
      <c r="K1362" s="1">
        <f t="shared" si="86"/>
        <v>144.00013619999999</v>
      </c>
      <c r="L1362" s="15">
        <f t="shared" si="87"/>
        <v>0.43013619999999997</v>
      </c>
    </row>
    <row r="1363" spans="1:12" ht="15" customHeight="1" x14ac:dyDescent="0.25">
      <c r="A1363" s="10" t="str">
        <f>Raw_Data!A1363</f>
        <v>NEXOMS Instant Heating Water Tap Wall Mounted with 3 Pin Indian Plug (16Amp)</v>
      </c>
      <c r="B1363" s="10" t="str">
        <f>IFERROR(TRIM(LEFT(Raw_Data!A1363,FIND(" ",Raw_Data!A1363)-1)),Raw_Data!A1363)</f>
        <v>NEXOMS</v>
      </c>
      <c r="C1363" s="10" t="str">
        <f>IFERROR(LEFT(Raw_Data!B1363,FIND("|",Raw_Data!B1363)-1),Raw_Data!B1363)</f>
        <v>Home&amp;Kitchen</v>
      </c>
      <c r="D1363" s="11">
        <f>IFERROR(VALUE(SUBSTITUTE(SUBSTITUTE(TRIM(Raw_Data!C1363),"₹",""),",","")),"")</f>
        <v>2699</v>
      </c>
      <c r="E1363" s="11">
        <f>IFERROR(VALUE(SUBSTITUTE(SUBSTITUTE(TRIM(Raw_Data!D1363),"₹",""),",","")),"")</f>
        <v>3799</v>
      </c>
      <c r="F1363" s="12">
        <f>IFERROR(VALUE(SUBSTITUTE(Raw_Data!E1363,"%",""))/100,"")</f>
        <v>0.28999999999999998</v>
      </c>
      <c r="G1363" s="13">
        <f>IFERROR(VALUE(Raw_Data!F1363),"")</f>
        <v>4</v>
      </c>
      <c r="H1363" s="14">
        <f>IFERROR(VALUE(SUBSTITUTE(Raw_Data!G1363,",","")),"")</f>
        <v>727</v>
      </c>
      <c r="I1363" s="11">
        <f t="shared" si="84"/>
        <v>1100</v>
      </c>
      <c r="J1363" s="11">
        <f t="shared" si="85"/>
        <v>1962173</v>
      </c>
      <c r="K1363" s="1">
        <f t="shared" si="86"/>
        <v>727.00013630000001</v>
      </c>
      <c r="L1363" s="15">
        <f t="shared" si="87"/>
        <v>0.29013629999999996</v>
      </c>
    </row>
    <row r="1364" spans="1:12" ht="15" customHeight="1" x14ac:dyDescent="0.25">
      <c r="A1364" s="10" t="str">
        <f>Raw_Data!A1364</f>
        <v>JIALTO Mini Waffle Maker 4 Inch- 350 Watts: Stainless Steel Non-Stick Electric Iron Machine for Individual Belgian Waffles, Pan Cakes, Paninis or Other Snacks - Aqua blue</v>
      </c>
      <c r="B1364" s="10" t="str">
        <f>IFERROR(TRIM(LEFT(Raw_Data!A1364,FIND(" ",Raw_Data!A1364)-1)),Raw_Data!A1364)</f>
        <v>JIALTO</v>
      </c>
      <c r="C1364" s="10" t="str">
        <f>IFERROR(LEFT(Raw_Data!B1364,FIND("|",Raw_Data!B1364)-1),Raw_Data!B1364)</f>
        <v>Home&amp;Kitchen</v>
      </c>
      <c r="D1364" s="11">
        <f>IFERROR(VALUE(SUBSTITUTE(SUBSTITUTE(TRIM(Raw_Data!C1364),"₹",""),",","")),"")</f>
        <v>899</v>
      </c>
      <c r="E1364" s="11">
        <f>IFERROR(VALUE(SUBSTITUTE(SUBSTITUTE(TRIM(Raw_Data!D1364),"₹",""),",","")),"")</f>
        <v>1999</v>
      </c>
      <c r="F1364" s="12">
        <f>IFERROR(VALUE(SUBSTITUTE(Raw_Data!E1364,"%",""))/100,"")</f>
        <v>0.55000000000000004</v>
      </c>
      <c r="G1364" s="13">
        <f>IFERROR(VALUE(Raw_Data!F1364),"")</f>
        <v>4</v>
      </c>
      <c r="H1364" s="14">
        <f>IFERROR(VALUE(SUBSTITUTE(Raw_Data!G1364,",","")),"")</f>
        <v>832</v>
      </c>
      <c r="I1364" s="11">
        <f t="shared" si="84"/>
        <v>1100</v>
      </c>
      <c r="J1364" s="11">
        <f t="shared" si="85"/>
        <v>747968</v>
      </c>
      <c r="K1364" s="1">
        <f t="shared" si="86"/>
        <v>832.00013639999997</v>
      </c>
      <c r="L1364" s="15">
        <f t="shared" si="87"/>
        <v>0.55013640000000008</v>
      </c>
    </row>
    <row r="1365" spans="1:12" ht="15" customHeight="1" x14ac:dyDescent="0.25">
      <c r="A1365" s="10" t="str">
        <f>Raw_Data!A1365</f>
        <v>Candes BlowHot All in One Silent Blower Fan Room Heater (ABS Body, White, Brown) 2000 Watts</v>
      </c>
      <c r="B1365" s="10" t="str">
        <f>IFERROR(TRIM(LEFT(Raw_Data!A1365,FIND(" ",Raw_Data!A1365)-1)),Raw_Data!A1365)</f>
        <v>Candes</v>
      </c>
      <c r="C1365" s="10" t="str">
        <f>IFERROR(LEFT(Raw_Data!B1365,FIND("|",Raw_Data!B1365)-1),Raw_Data!B1365)</f>
        <v>Home&amp;Kitchen</v>
      </c>
      <c r="D1365" s="11">
        <f>IFERROR(VALUE(SUBSTITUTE(SUBSTITUTE(TRIM(Raw_Data!C1365),"₹",""),",","")),"")</f>
        <v>1090</v>
      </c>
      <c r="E1365" s="11">
        <f>IFERROR(VALUE(SUBSTITUTE(SUBSTITUTE(TRIM(Raw_Data!D1365),"₹",""),",","")),"")</f>
        <v>2999</v>
      </c>
      <c r="F1365" s="12">
        <f>IFERROR(VALUE(SUBSTITUTE(Raw_Data!E1365,"%",""))/100,"")</f>
        <v>0.64</v>
      </c>
      <c r="G1365" s="13">
        <f>IFERROR(VALUE(Raw_Data!F1365),"")</f>
        <v>3.5</v>
      </c>
      <c r="H1365" s="14">
        <f>IFERROR(VALUE(SUBSTITUTE(Raw_Data!G1365,",","")),"")</f>
        <v>57</v>
      </c>
      <c r="I1365" s="11">
        <f t="shared" si="84"/>
        <v>1909</v>
      </c>
      <c r="J1365" s="11">
        <f t="shared" si="85"/>
        <v>62130</v>
      </c>
      <c r="K1365" s="1">
        <f t="shared" si="86"/>
        <v>57.000136500000004</v>
      </c>
      <c r="L1365" s="15">
        <f t="shared" si="87"/>
        <v>0.6401365</v>
      </c>
    </row>
    <row r="1366" spans="1:12" ht="15" customHeight="1" x14ac:dyDescent="0.25">
      <c r="A1366" s="10" t="str">
        <f>Raw_Data!A1366</f>
        <v>Ionix Jewellery Scale | Weight Scale | Digital Weight Machine | weight machine for gold | Electronic weighing machines for Jewellery 0.01G to 200G Small Weight Machine for Shop - Silver</v>
      </c>
      <c r="B1366" s="10" t="str">
        <f>IFERROR(TRIM(LEFT(Raw_Data!A1366,FIND(" ",Raw_Data!A1366)-1)),Raw_Data!A1366)</f>
        <v>Ionix</v>
      </c>
      <c r="C1366" s="10" t="str">
        <f>IFERROR(LEFT(Raw_Data!B1366,FIND("|",Raw_Data!B1366)-1),Raw_Data!B1366)</f>
        <v>Home&amp;Kitchen</v>
      </c>
      <c r="D1366" s="11">
        <f>IFERROR(VALUE(SUBSTITUTE(SUBSTITUTE(TRIM(Raw_Data!C1366),"₹",""),",","")),"")</f>
        <v>295</v>
      </c>
      <c r="E1366" s="11">
        <f>IFERROR(VALUE(SUBSTITUTE(SUBSTITUTE(TRIM(Raw_Data!D1366),"₹",""),",","")),"")</f>
        <v>599</v>
      </c>
      <c r="F1366" s="12">
        <f>IFERROR(VALUE(SUBSTITUTE(Raw_Data!E1366,"%",""))/100,"")</f>
        <v>0.51</v>
      </c>
      <c r="G1366" s="13">
        <f>IFERROR(VALUE(Raw_Data!F1366),"")</f>
        <v>4</v>
      </c>
      <c r="H1366" s="14">
        <f>IFERROR(VALUE(SUBSTITUTE(Raw_Data!G1366,",","")),"")</f>
        <v>1644</v>
      </c>
      <c r="I1366" s="11">
        <f t="shared" si="84"/>
        <v>304</v>
      </c>
      <c r="J1366" s="11">
        <f t="shared" si="85"/>
        <v>484980</v>
      </c>
      <c r="K1366" s="1">
        <f t="shared" si="86"/>
        <v>1644.0001365999999</v>
      </c>
      <c r="L1366" s="15">
        <f t="shared" si="87"/>
        <v>0.51013660000000005</v>
      </c>
    </row>
    <row r="1367" spans="1:12" ht="15" customHeight="1" x14ac:dyDescent="0.25">
      <c r="A1367" s="10" t="str">
        <f>Raw_Data!A1367</f>
        <v>Kitchen Kit Electric Kettle, 1.8L Stainless Steel Tea Kettle, Fast Boil Water Warmer with Auto Shut Off and Boil Dry Protection Tech</v>
      </c>
      <c r="B1367" s="10" t="str">
        <f>IFERROR(TRIM(LEFT(Raw_Data!A1367,FIND(" ",Raw_Data!A1367)-1)),Raw_Data!A1367)</f>
        <v>Kitchen</v>
      </c>
      <c r="C1367" s="10" t="str">
        <f>IFERROR(LEFT(Raw_Data!B1367,FIND("|",Raw_Data!B1367)-1),Raw_Data!B1367)</f>
        <v>Home&amp;Kitchen</v>
      </c>
      <c r="D1367" s="11">
        <f>IFERROR(VALUE(SUBSTITUTE(SUBSTITUTE(TRIM(Raw_Data!C1367),"₹",""),",","")),"")</f>
        <v>479</v>
      </c>
      <c r="E1367" s="11">
        <f>IFERROR(VALUE(SUBSTITUTE(SUBSTITUTE(TRIM(Raw_Data!D1367),"₹",""),",","")),"")</f>
        <v>1999</v>
      </c>
      <c r="F1367" s="12">
        <f>IFERROR(VALUE(SUBSTITUTE(Raw_Data!E1367,"%",""))/100,"")</f>
        <v>0.76</v>
      </c>
      <c r="G1367" s="13">
        <f>IFERROR(VALUE(Raw_Data!F1367),"")</f>
        <v>3.4</v>
      </c>
      <c r="H1367" s="14">
        <f>IFERROR(VALUE(SUBSTITUTE(Raw_Data!G1367,",","")),"")</f>
        <v>1066</v>
      </c>
      <c r="I1367" s="11">
        <f t="shared" si="84"/>
        <v>1520</v>
      </c>
      <c r="J1367" s="11">
        <f t="shared" si="85"/>
        <v>510614</v>
      </c>
      <c r="K1367" s="1">
        <f t="shared" si="86"/>
        <v>1066.0001367</v>
      </c>
      <c r="L1367" s="15">
        <f t="shared" si="87"/>
        <v>0.7601367</v>
      </c>
    </row>
    <row r="1368" spans="1:12" ht="15" customHeight="1" x14ac:dyDescent="0.25">
      <c r="A1368" s="10" t="str">
        <f>Raw_Data!A1368</f>
        <v>Racold Pronto Pro 3Litres 3KW Vertical Instant Water Heater (Geyser)</v>
      </c>
      <c r="B1368" s="10" t="str">
        <f>IFERROR(TRIM(LEFT(Raw_Data!A1368,FIND(" ",Raw_Data!A1368)-1)),Raw_Data!A1368)</f>
        <v>Racold</v>
      </c>
      <c r="C1368" s="10" t="str">
        <f>IFERROR(LEFT(Raw_Data!B1368,FIND("|",Raw_Data!B1368)-1),Raw_Data!B1368)</f>
        <v>Home&amp;Kitchen</v>
      </c>
      <c r="D1368" s="11">
        <f>IFERROR(VALUE(SUBSTITUTE(SUBSTITUTE(TRIM(Raw_Data!C1368),"₹",""),",","")),"")</f>
        <v>2949</v>
      </c>
      <c r="E1368" s="11">
        <f>IFERROR(VALUE(SUBSTITUTE(SUBSTITUTE(TRIM(Raw_Data!D1368),"₹",""),",","")),"")</f>
        <v>4849</v>
      </c>
      <c r="F1368" s="12">
        <f>IFERROR(VALUE(SUBSTITUTE(Raw_Data!E1368,"%",""))/100,"")</f>
        <v>0.39</v>
      </c>
      <c r="G1368" s="13">
        <f>IFERROR(VALUE(Raw_Data!F1368),"")</f>
        <v>4.2</v>
      </c>
      <c r="H1368" s="14">
        <f>IFERROR(VALUE(SUBSTITUTE(Raw_Data!G1368,",","")),"")</f>
        <v>7968</v>
      </c>
      <c r="I1368" s="11">
        <f t="shared" si="84"/>
        <v>1900</v>
      </c>
      <c r="J1368" s="11">
        <f t="shared" si="85"/>
        <v>23497632</v>
      </c>
      <c r="K1368" s="1">
        <f t="shared" si="86"/>
        <v>7968.0001368000003</v>
      </c>
      <c r="L1368" s="15">
        <f t="shared" si="87"/>
        <v>0.39013680000000001</v>
      </c>
    </row>
    <row r="1369" spans="1:12" ht="15" customHeight="1" x14ac:dyDescent="0.25">
      <c r="A1369" s="10" t="str">
        <f>Raw_Data!A1369</f>
        <v>ESN 999 Supreme Quality 1500W Immersion Water Heater Rod (Black)</v>
      </c>
      <c r="B1369" s="10" t="str">
        <f>IFERROR(TRIM(LEFT(Raw_Data!A1369,FIND(" ",Raw_Data!A1369)-1)),Raw_Data!A1369)</f>
        <v>ESN</v>
      </c>
      <c r="C1369" s="10" t="str">
        <f>IFERROR(LEFT(Raw_Data!B1369,FIND("|",Raw_Data!B1369)-1),Raw_Data!B1369)</f>
        <v>Home&amp;Kitchen</v>
      </c>
      <c r="D1369" s="11">
        <f>IFERROR(VALUE(SUBSTITUTE(SUBSTITUTE(TRIM(Raw_Data!C1369),"₹",""),",","")),"")</f>
        <v>335</v>
      </c>
      <c r="E1369" s="11">
        <f>IFERROR(VALUE(SUBSTITUTE(SUBSTITUTE(TRIM(Raw_Data!D1369),"₹",""),",","")),"")</f>
        <v>510</v>
      </c>
      <c r="F1369" s="12">
        <f>IFERROR(VALUE(SUBSTITUTE(Raw_Data!E1369,"%",""))/100,"")</f>
        <v>0.34</v>
      </c>
      <c r="G1369" s="13">
        <f>IFERROR(VALUE(Raw_Data!F1369),"")</f>
        <v>3.8</v>
      </c>
      <c r="H1369" s="14">
        <f>IFERROR(VALUE(SUBSTITUTE(Raw_Data!G1369,",","")),"")</f>
        <v>3195</v>
      </c>
      <c r="I1369" s="11">
        <f t="shared" si="84"/>
        <v>175</v>
      </c>
      <c r="J1369" s="11">
        <f t="shared" si="85"/>
        <v>1070325</v>
      </c>
      <c r="K1369" s="1">
        <f t="shared" si="86"/>
        <v>3195.0001369000001</v>
      </c>
      <c r="L1369" s="15">
        <f t="shared" si="87"/>
        <v>0.34013690000000002</v>
      </c>
    </row>
    <row r="1370" spans="1:12" ht="15" customHeight="1" x14ac:dyDescent="0.25">
      <c r="A1370" s="10" t="str">
        <f>Raw_Data!A1370</f>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v>
      </c>
      <c r="B1370" s="10" t="str">
        <f>IFERROR(TRIM(LEFT(Raw_Data!A1370,FIND(" ",Raw_Data!A1370)-1)),Raw_Data!A1370)</f>
        <v>Pajaka®</v>
      </c>
      <c r="C1370" s="10" t="str">
        <f>IFERROR(LEFT(Raw_Data!B1370,FIND("|",Raw_Data!B1370)-1),Raw_Data!B1370)</f>
        <v>Home&amp;Kitchen</v>
      </c>
      <c r="D1370" s="11">
        <f>IFERROR(VALUE(SUBSTITUTE(SUBSTITUTE(TRIM(Raw_Data!C1370),"₹",""),",","")),"")</f>
        <v>293</v>
      </c>
      <c r="E1370" s="11">
        <f>IFERROR(VALUE(SUBSTITUTE(SUBSTITUTE(TRIM(Raw_Data!D1370),"₹",""),",","")),"")</f>
        <v>499</v>
      </c>
      <c r="F1370" s="12">
        <f>IFERROR(VALUE(SUBSTITUTE(Raw_Data!E1370,"%",""))/100,"")</f>
        <v>0.41</v>
      </c>
      <c r="G1370" s="13">
        <f>IFERROR(VALUE(Raw_Data!F1370),"")</f>
        <v>4.0999999999999996</v>
      </c>
      <c r="H1370" s="14">
        <f>IFERROR(VALUE(SUBSTITUTE(Raw_Data!G1370,",","")),"")</f>
        <v>1456</v>
      </c>
      <c r="I1370" s="11">
        <f t="shared" si="84"/>
        <v>206</v>
      </c>
      <c r="J1370" s="11">
        <f t="shared" si="85"/>
        <v>426608</v>
      </c>
      <c r="K1370" s="1">
        <f t="shared" si="86"/>
        <v>1456.000137</v>
      </c>
      <c r="L1370" s="15">
        <f t="shared" si="87"/>
        <v>0.41013699999999997</v>
      </c>
    </row>
    <row r="1371" spans="1:12" ht="15" customHeight="1" x14ac:dyDescent="0.25">
      <c r="A1371" s="10" t="str">
        <f>Raw_Data!A1371</f>
        <v>Saiyam Stainless Steel Espresso Maker Stovetop Coffee Percolator Italian Coffee Maker Moka Pot (4 Cup - 200 ml, Silver)</v>
      </c>
      <c r="B1371" s="10" t="str">
        <f>IFERROR(TRIM(LEFT(Raw_Data!A1371,FIND(" ",Raw_Data!A1371)-1)),Raw_Data!A1371)</f>
        <v>Saiyam</v>
      </c>
      <c r="C1371" s="10" t="str">
        <f>IFERROR(LEFT(Raw_Data!B1371,FIND("|",Raw_Data!B1371)-1),Raw_Data!B1371)</f>
        <v>Home&amp;Kitchen</v>
      </c>
      <c r="D1371" s="11">
        <f>IFERROR(VALUE(SUBSTITUTE(SUBSTITUTE(TRIM(Raw_Data!C1371),"₹",""),",","")),"")</f>
        <v>599</v>
      </c>
      <c r="E1371" s="11">
        <f>IFERROR(VALUE(SUBSTITUTE(SUBSTITUTE(TRIM(Raw_Data!D1371),"₹",""),",","")),"")</f>
        <v>1299</v>
      </c>
      <c r="F1371" s="12">
        <f>IFERROR(VALUE(SUBSTITUTE(Raw_Data!E1371,"%",""))/100,"")</f>
        <v>0.54</v>
      </c>
      <c r="G1371" s="13">
        <f>IFERROR(VALUE(Raw_Data!F1371),"")</f>
        <v>4.2</v>
      </c>
      <c r="H1371" s="14">
        <f>IFERROR(VALUE(SUBSTITUTE(Raw_Data!G1371,",","")),"")</f>
        <v>590</v>
      </c>
      <c r="I1371" s="11">
        <f t="shared" si="84"/>
        <v>700</v>
      </c>
      <c r="J1371" s="11">
        <f t="shared" si="85"/>
        <v>353410</v>
      </c>
      <c r="K1371" s="1">
        <f t="shared" si="86"/>
        <v>590.00013709999996</v>
      </c>
      <c r="L1371" s="15">
        <f t="shared" si="87"/>
        <v>0.54013710000000004</v>
      </c>
    </row>
    <row r="1372" spans="1:12" ht="15" customHeight="1" x14ac:dyDescent="0.25">
      <c r="A1372" s="10" t="str">
        <f>Raw_Data!A1372</f>
        <v>KONVIO NEER 10 Inch Spun Filter (PP SPUN) Cartridge Compatible for 10 Inch Pre-Filter Housing of Water Purifier | Pack of 4 Spun</v>
      </c>
      <c r="B1372" s="10" t="str">
        <f>IFERROR(TRIM(LEFT(Raw_Data!A1372,FIND(" ",Raw_Data!A1372)-1)),Raw_Data!A1372)</f>
        <v>KONVIO</v>
      </c>
      <c r="C1372" s="10" t="str">
        <f>IFERROR(LEFT(Raw_Data!B1372,FIND("|",Raw_Data!B1372)-1),Raw_Data!B1372)</f>
        <v>Home&amp;Kitchen</v>
      </c>
      <c r="D1372" s="11">
        <f>IFERROR(VALUE(SUBSTITUTE(SUBSTITUTE(TRIM(Raw_Data!C1372),"₹",""),",","")),"")</f>
        <v>499</v>
      </c>
      <c r="E1372" s="11">
        <f>IFERROR(VALUE(SUBSTITUTE(SUBSTITUTE(TRIM(Raw_Data!D1372),"₹",""),",","")),"")</f>
        <v>999</v>
      </c>
      <c r="F1372" s="12">
        <f>IFERROR(VALUE(SUBSTITUTE(Raw_Data!E1372,"%",""))/100,"")</f>
        <v>0.5</v>
      </c>
      <c r="G1372" s="13">
        <f>IFERROR(VALUE(Raw_Data!F1372),"")</f>
        <v>4.3</v>
      </c>
      <c r="H1372" s="14">
        <f>IFERROR(VALUE(SUBSTITUTE(Raw_Data!G1372,",","")),"")</f>
        <v>1436</v>
      </c>
      <c r="I1372" s="11">
        <f t="shared" si="84"/>
        <v>500</v>
      </c>
      <c r="J1372" s="11">
        <f t="shared" si="85"/>
        <v>716564</v>
      </c>
      <c r="K1372" s="1">
        <f t="shared" si="86"/>
        <v>1436.0001371999999</v>
      </c>
      <c r="L1372" s="15">
        <f t="shared" si="87"/>
        <v>0.50013719999999995</v>
      </c>
    </row>
    <row r="1373" spans="1:12" ht="15" customHeight="1" x14ac:dyDescent="0.25">
      <c r="A1373" s="10" t="str">
        <f>Raw_Data!A1373</f>
        <v>Havells Glydo 1000 watt Dry Iron With American Heritage Non Stick Sole Plate, Aerodynamic Design, Easy Grip Temperature Knob &amp; 2 years Warranty. (Charcoal Blue)</v>
      </c>
      <c r="B1373" s="10" t="str">
        <f>IFERROR(TRIM(LEFT(Raw_Data!A1373,FIND(" ",Raw_Data!A1373)-1)),Raw_Data!A1373)</f>
        <v>Havells</v>
      </c>
      <c r="C1373" s="10" t="str">
        <f>IFERROR(LEFT(Raw_Data!B1373,FIND("|",Raw_Data!B1373)-1),Raw_Data!B1373)</f>
        <v>Home&amp;Kitchen</v>
      </c>
      <c r="D1373" s="11">
        <f>IFERROR(VALUE(SUBSTITUTE(SUBSTITUTE(TRIM(Raw_Data!C1373),"₹",""),",","")),"")</f>
        <v>849</v>
      </c>
      <c r="E1373" s="11">
        <f>IFERROR(VALUE(SUBSTITUTE(SUBSTITUTE(TRIM(Raw_Data!D1373),"₹",""),",","")),"")</f>
        <v>1190</v>
      </c>
      <c r="F1373" s="12">
        <f>IFERROR(VALUE(SUBSTITUTE(Raw_Data!E1373,"%",""))/100,"")</f>
        <v>0.28999999999999998</v>
      </c>
      <c r="G1373" s="13">
        <f>IFERROR(VALUE(Raw_Data!F1373),"")</f>
        <v>4.2</v>
      </c>
      <c r="H1373" s="14">
        <f>IFERROR(VALUE(SUBSTITUTE(Raw_Data!G1373,",","")),"")</f>
        <v>4184</v>
      </c>
      <c r="I1373" s="11">
        <f t="shared" si="84"/>
        <v>341</v>
      </c>
      <c r="J1373" s="11">
        <f t="shared" si="85"/>
        <v>3552216</v>
      </c>
      <c r="K1373" s="1">
        <f t="shared" si="86"/>
        <v>4184.0001372999996</v>
      </c>
      <c r="L1373" s="15">
        <f t="shared" si="87"/>
        <v>0.29013729999999999</v>
      </c>
    </row>
    <row r="1374" spans="1:12" ht="15" customHeight="1" x14ac:dyDescent="0.25">
      <c r="A1374" s="10" t="str">
        <f>Raw_Data!A1374</f>
        <v>Raffles Premium Stainless Steel South Indian Coffee Filter/Drip Coffee Maker, 2-3 Cups, 150 ml</v>
      </c>
      <c r="B1374" s="10" t="str">
        <f>IFERROR(TRIM(LEFT(Raw_Data!A1374,FIND(" ",Raw_Data!A1374)-1)),Raw_Data!A1374)</f>
        <v>Raffles</v>
      </c>
      <c r="C1374" s="10" t="str">
        <f>IFERROR(LEFT(Raw_Data!B1374,FIND("|",Raw_Data!B1374)-1),Raw_Data!B1374)</f>
        <v>Home&amp;Kitchen</v>
      </c>
      <c r="D1374" s="11">
        <f>IFERROR(VALUE(SUBSTITUTE(SUBSTITUTE(TRIM(Raw_Data!C1374),"₹",""),",","")),"")</f>
        <v>249</v>
      </c>
      <c r="E1374" s="11">
        <f>IFERROR(VALUE(SUBSTITUTE(SUBSTITUTE(TRIM(Raw_Data!D1374),"₹",""),",","")),"")</f>
        <v>400</v>
      </c>
      <c r="F1374" s="12">
        <f>IFERROR(VALUE(SUBSTITUTE(Raw_Data!E1374,"%",""))/100,"")</f>
        <v>0.38</v>
      </c>
      <c r="G1374" s="13">
        <f>IFERROR(VALUE(Raw_Data!F1374),"")</f>
        <v>4.0999999999999996</v>
      </c>
      <c r="H1374" s="14">
        <f>IFERROR(VALUE(SUBSTITUTE(Raw_Data!G1374,",","")),"")</f>
        <v>693</v>
      </c>
      <c r="I1374" s="11">
        <f t="shared" si="84"/>
        <v>151</v>
      </c>
      <c r="J1374" s="11">
        <f t="shared" si="85"/>
        <v>172557</v>
      </c>
      <c r="K1374" s="1">
        <f t="shared" si="86"/>
        <v>693.00013739999997</v>
      </c>
      <c r="L1374" s="15">
        <f t="shared" si="87"/>
        <v>0.38013740000000001</v>
      </c>
    </row>
    <row r="1375" spans="1:12" ht="15" customHeight="1" x14ac:dyDescent="0.25">
      <c r="A1375" s="10" t="str">
        <f>Raw_Data!A1375</f>
        <v>IONIX Activated Carbon Faucet Water Filters Universal Interface Home Kitchen Faucet Tap Water | Tap filter Multilayer | Clean Purifier Filter Cartridge Five Layer Water Filter-Pack of 1</v>
      </c>
      <c r="B1375" s="10" t="str">
        <f>IFERROR(TRIM(LEFT(Raw_Data!A1375,FIND(" ",Raw_Data!A1375)-1)),Raw_Data!A1375)</f>
        <v>IONIX</v>
      </c>
      <c r="C1375" s="10" t="str">
        <f>IFERROR(LEFT(Raw_Data!B1375,FIND("|",Raw_Data!B1375)-1),Raw_Data!B1375)</f>
        <v>Home&amp;Kitchen</v>
      </c>
      <c r="D1375" s="11">
        <f>IFERROR(VALUE(SUBSTITUTE(SUBSTITUTE(TRIM(Raw_Data!C1375),"₹",""),",","")),"")</f>
        <v>185</v>
      </c>
      <c r="E1375" s="11">
        <f>IFERROR(VALUE(SUBSTITUTE(SUBSTITUTE(TRIM(Raw_Data!D1375),"₹",""),",","")),"")</f>
        <v>599</v>
      </c>
      <c r="F1375" s="12">
        <f>IFERROR(VALUE(SUBSTITUTE(Raw_Data!E1375,"%",""))/100,"")</f>
        <v>0.69</v>
      </c>
      <c r="G1375" s="13">
        <f>IFERROR(VALUE(Raw_Data!F1375),"")</f>
        <v>3.9</v>
      </c>
      <c r="H1375" s="14">
        <f>IFERROR(VALUE(SUBSTITUTE(Raw_Data!G1375,",","")),"")</f>
        <v>1306</v>
      </c>
      <c r="I1375" s="11">
        <f t="shared" si="84"/>
        <v>414</v>
      </c>
      <c r="J1375" s="11">
        <f t="shared" si="85"/>
        <v>241610</v>
      </c>
      <c r="K1375" s="1">
        <f t="shared" si="86"/>
        <v>1306.0001374999999</v>
      </c>
      <c r="L1375" s="15">
        <f t="shared" si="87"/>
        <v>0.69013749999999996</v>
      </c>
    </row>
    <row r="1376" spans="1:12" ht="15" customHeight="1" x14ac:dyDescent="0.25">
      <c r="A1376" s="10" t="str">
        <f>Raw_Data!A1376</f>
        <v>KNYUC MART Mini Electric Handy Room Heater Compact Plug-in, The Wall Outlet 400 Watts, Handy Air Warmer Blower Adjustable Timer Digital Display</v>
      </c>
      <c r="B1376" s="10" t="str">
        <f>IFERROR(TRIM(LEFT(Raw_Data!A1376,FIND(" ",Raw_Data!A1376)-1)),Raw_Data!A1376)</f>
        <v>KNYUC</v>
      </c>
      <c r="C1376" s="10" t="str">
        <f>IFERROR(LEFT(Raw_Data!B1376,FIND("|",Raw_Data!B1376)-1),Raw_Data!B1376)</f>
        <v>Home&amp;Kitchen</v>
      </c>
      <c r="D1376" s="11">
        <f>IFERROR(VALUE(SUBSTITUTE(SUBSTITUTE(TRIM(Raw_Data!C1376),"₹",""),",","")),"")</f>
        <v>778</v>
      </c>
      <c r="E1376" s="11">
        <f>IFERROR(VALUE(SUBSTITUTE(SUBSTITUTE(TRIM(Raw_Data!D1376),"₹",""),",","")),"")</f>
        <v>999</v>
      </c>
      <c r="F1376" s="12">
        <f>IFERROR(VALUE(SUBSTITUTE(Raw_Data!E1376,"%",""))/100,"")</f>
        <v>0.22</v>
      </c>
      <c r="G1376" s="13">
        <f>IFERROR(VALUE(Raw_Data!F1376),"")</f>
        <v>3.3</v>
      </c>
      <c r="H1376" s="14">
        <f>IFERROR(VALUE(SUBSTITUTE(Raw_Data!G1376,",","")),"")</f>
        <v>8</v>
      </c>
      <c r="I1376" s="11">
        <f t="shared" si="84"/>
        <v>221</v>
      </c>
      <c r="J1376" s="11">
        <f t="shared" si="85"/>
        <v>6224</v>
      </c>
      <c r="K1376" s="1">
        <f t="shared" si="86"/>
        <v>8.0001376000000004</v>
      </c>
      <c r="L1376" s="15">
        <f t="shared" si="87"/>
        <v>0.22013759999999999</v>
      </c>
    </row>
    <row r="1377" spans="1:12" ht="15" customHeight="1" x14ac:dyDescent="0.25">
      <c r="A1377" s="10" t="str">
        <f>Raw_Data!A1377</f>
        <v>INKULTURE Stainless_Steel Measuring Cups &amp; Spoon Combo for Dry or Liquid/Kitchen Gadgets for Cooking &amp; Baking Cakes/Measuring Cup Set Combo with Handles (Set of 4 Cups &amp; 4 Spoons)</v>
      </c>
      <c r="B1377" s="10" t="str">
        <f>IFERROR(TRIM(LEFT(Raw_Data!A1377,FIND(" ",Raw_Data!A1377)-1)),Raw_Data!A1377)</f>
        <v>INKULTURE</v>
      </c>
      <c r="C1377" s="10" t="str">
        <f>IFERROR(LEFT(Raw_Data!B1377,FIND("|",Raw_Data!B1377)-1),Raw_Data!B1377)</f>
        <v>Home&amp;Kitchen</v>
      </c>
      <c r="D1377" s="11">
        <f>IFERROR(VALUE(SUBSTITUTE(SUBSTITUTE(TRIM(Raw_Data!C1377),"₹",""),",","")),"")</f>
        <v>279</v>
      </c>
      <c r="E1377" s="11">
        <f>IFERROR(VALUE(SUBSTITUTE(SUBSTITUTE(TRIM(Raw_Data!D1377),"₹",""),",","")),"")</f>
        <v>699</v>
      </c>
      <c r="F1377" s="12">
        <f>IFERROR(VALUE(SUBSTITUTE(Raw_Data!E1377,"%",""))/100,"")</f>
        <v>0.6</v>
      </c>
      <c r="G1377" s="13">
        <f>IFERROR(VALUE(Raw_Data!F1377),"")</f>
        <v>4.3</v>
      </c>
      <c r="H1377" s="14">
        <f>IFERROR(VALUE(SUBSTITUTE(Raw_Data!G1377,",","")),"")</f>
        <v>2326</v>
      </c>
      <c r="I1377" s="11">
        <f t="shared" si="84"/>
        <v>420</v>
      </c>
      <c r="J1377" s="11">
        <f t="shared" si="85"/>
        <v>648954</v>
      </c>
      <c r="K1377" s="1">
        <f t="shared" si="86"/>
        <v>2326.0001376999999</v>
      </c>
      <c r="L1377" s="15">
        <f t="shared" si="87"/>
        <v>0.6001377</v>
      </c>
    </row>
    <row r="1378" spans="1:12" ht="15" customHeight="1" x14ac:dyDescent="0.25">
      <c r="A1378" s="10" t="str">
        <f>Raw_Data!A1378</f>
        <v>Macmillan Aquafresh 5 Micron PS-05 10" in PP Spun Filter Candle Set for All Type RO Water Purifier 10 inch (4)</v>
      </c>
      <c r="B1378" s="10" t="str">
        <f>IFERROR(TRIM(LEFT(Raw_Data!A1378,FIND(" ",Raw_Data!A1378)-1)),Raw_Data!A1378)</f>
        <v>Macmillan</v>
      </c>
      <c r="C1378" s="10" t="str">
        <f>IFERROR(LEFT(Raw_Data!B1378,FIND("|",Raw_Data!B1378)-1),Raw_Data!B1378)</f>
        <v>Home&amp;Kitchen</v>
      </c>
      <c r="D1378" s="11">
        <f>IFERROR(VALUE(SUBSTITUTE(SUBSTITUTE(TRIM(Raw_Data!C1378),"₹",""),",","")),"")</f>
        <v>215</v>
      </c>
      <c r="E1378" s="11">
        <f>IFERROR(VALUE(SUBSTITUTE(SUBSTITUTE(TRIM(Raw_Data!D1378),"₹",""),",","")),"")</f>
        <v>1499</v>
      </c>
      <c r="F1378" s="12">
        <f>IFERROR(VALUE(SUBSTITUTE(Raw_Data!E1378,"%",""))/100,"")</f>
        <v>0.86</v>
      </c>
      <c r="G1378" s="13">
        <f>IFERROR(VALUE(Raw_Data!F1378),"")</f>
        <v>3.9</v>
      </c>
      <c r="H1378" s="14">
        <f>IFERROR(VALUE(SUBSTITUTE(Raw_Data!G1378,",","")),"")</f>
        <v>1004</v>
      </c>
      <c r="I1378" s="11">
        <f t="shared" si="84"/>
        <v>1284</v>
      </c>
      <c r="J1378" s="11">
        <f t="shared" si="85"/>
        <v>215860</v>
      </c>
      <c r="K1378" s="1">
        <f t="shared" si="86"/>
        <v>1004.0001377999999</v>
      </c>
      <c r="L1378" s="15">
        <f t="shared" si="87"/>
        <v>0.86013779999999995</v>
      </c>
    </row>
    <row r="1379" spans="1:12" ht="15" customHeight="1" x14ac:dyDescent="0.25">
      <c r="A1379" s="10" t="str">
        <f>Raw_Data!A1379</f>
        <v>Havells D'zire 1000 watt Dry Iron With American Heritage Sole Plate, Aerodynamic Design, Easy Grip Temperature Knob &amp; 2 years Warranty. (Mint)</v>
      </c>
      <c r="B1379" s="10" t="str">
        <f>IFERROR(TRIM(LEFT(Raw_Data!A1379,FIND(" ",Raw_Data!A1379)-1)),Raw_Data!A1379)</f>
        <v>Havells</v>
      </c>
      <c r="C1379" s="10" t="str">
        <f>IFERROR(LEFT(Raw_Data!B1379,FIND("|",Raw_Data!B1379)-1),Raw_Data!B1379)</f>
        <v>Home&amp;Kitchen</v>
      </c>
      <c r="D1379" s="11">
        <f>IFERROR(VALUE(SUBSTITUTE(SUBSTITUTE(TRIM(Raw_Data!C1379),"₹",""),",","")),"")</f>
        <v>889</v>
      </c>
      <c r="E1379" s="11">
        <f>IFERROR(VALUE(SUBSTITUTE(SUBSTITUTE(TRIM(Raw_Data!D1379),"₹",""),",","")),"")</f>
        <v>1295</v>
      </c>
      <c r="F1379" s="12">
        <f>IFERROR(VALUE(SUBSTITUTE(Raw_Data!E1379,"%",""))/100,"")</f>
        <v>0.31</v>
      </c>
      <c r="G1379" s="13">
        <f>IFERROR(VALUE(Raw_Data!F1379),"")</f>
        <v>4.3</v>
      </c>
      <c r="H1379" s="14">
        <f>IFERROR(VALUE(SUBSTITUTE(Raw_Data!G1379,",","")),"")</f>
        <v>6400</v>
      </c>
      <c r="I1379" s="11">
        <f t="shared" si="84"/>
        <v>406</v>
      </c>
      <c r="J1379" s="11">
        <f t="shared" si="85"/>
        <v>5689600</v>
      </c>
      <c r="K1379" s="1">
        <f t="shared" si="86"/>
        <v>6400.0001378999996</v>
      </c>
      <c r="L1379" s="15">
        <f t="shared" si="87"/>
        <v>0.31013790000000002</v>
      </c>
    </row>
    <row r="1380" spans="1:12" ht="15" customHeight="1" x14ac:dyDescent="0.25">
      <c r="A1380" s="10" t="str">
        <f>Raw_Data!A1380</f>
        <v>TE™ Instant Electric Heating Hot and Cold Water Geyser Tap Water with Digital Display (White)</v>
      </c>
      <c r="B1380" s="10" t="str">
        <f>IFERROR(TRIM(LEFT(Raw_Data!A1380,FIND(" ",Raw_Data!A1380)-1)),Raw_Data!A1380)</f>
        <v>TE™</v>
      </c>
      <c r="C1380" s="10" t="str">
        <f>IFERROR(LEFT(Raw_Data!B1380,FIND("|",Raw_Data!B1380)-1),Raw_Data!B1380)</f>
        <v>Home&amp;Kitchen</v>
      </c>
      <c r="D1380" s="11">
        <f>IFERROR(VALUE(SUBSTITUTE(SUBSTITUTE(TRIM(Raw_Data!C1380),"₹",""),",","")),"")</f>
        <v>1449</v>
      </c>
      <c r="E1380" s="11">
        <f>IFERROR(VALUE(SUBSTITUTE(SUBSTITUTE(TRIM(Raw_Data!D1380),"₹",""),",","")),"")</f>
        <v>4999</v>
      </c>
      <c r="F1380" s="12">
        <f>IFERROR(VALUE(SUBSTITUTE(Raw_Data!E1380,"%",""))/100,"")</f>
        <v>0.71</v>
      </c>
      <c r="G1380" s="13">
        <f>IFERROR(VALUE(Raw_Data!F1380),"")</f>
        <v>3.6</v>
      </c>
      <c r="H1380" s="14">
        <f>IFERROR(VALUE(SUBSTITUTE(Raw_Data!G1380,",","")),"")</f>
        <v>63</v>
      </c>
      <c r="I1380" s="11">
        <f t="shared" si="84"/>
        <v>3550</v>
      </c>
      <c r="J1380" s="11">
        <f t="shared" si="85"/>
        <v>91287</v>
      </c>
      <c r="K1380" s="1">
        <f t="shared" si="86"/>
        <v>63.000138</v>
      </c>
      <c r="L1380" s="15">
        <f t="shared" si="87"/>
        <v>0.71013799999999994</v>
      </c>
    </row>
    <row r="1381" spans="1:12" ht="15" customHeight="1" x14ac:dyDescent="0.25">
      <c r="A1381" s="10" t="str">
        <f>Raw_Data!A1381</f>
        <v>ZIGMA WinoteK WinoteK Sun Instant Water Geyser, Water Heater, Portable Water Heater, Geysers Made of First Class ABS Plastic, automatic Reset Model, AE10-3 W (Yellow)</v>
      </c>
      <c r="B1381" s="10" t="str">
        <f>IFERROR(TRIM(LEFT(Raw_Data!A1381,FIND(" ",Raw_Data!A1381)-1)),Raw_Data!A1381)</f>
        <v>ZIGMA</v>
      </c>
      <c r="C1381" s="10" t="str">
        <f>IFERROR(LEFT(Raw_Data!B1381,FIND("|",Raw_Data!B1381)-1),Raw_Data!B1381)</f>
        <v>Home&amp;Kitchen</v>
      </c>
      <c r="D1381" s="11">
        <f>IFERROR(VALUE(SUBSTITUTE(SUBSTITUTE(TRIM(Raw_Data!C1381),"₹",""),",","")),"")</f>
        <v>1190</v>
      </c>
      <c r="E1381" s="11">
        <f>IFERROR(VALUE(SUBSTITUTE(SUBSTITUTE(TRIM(Raw_Data!D1381),"₹",""),",","")),"")</f>
        <v>2550</v>
      </c>
      <c r="F1381" s="12">
        <f>IFERROR(VALUE(SUBSTITUTE(Raw_Data!E1381,"%",""))/100,"")</f>
        <v>0.53</v>
      </c>
      <c r="G1381" s="13">
        <f>IFERROR(VALUE(Raw_Data!F1381),"")</f>
        <v>3.8</v>
      </c>
      <c r="H1381" s="14">
        <f>IFERROR(VALUE(SUBSTITUTE(Raw_Data!G1381,",","")),"")</f>
        <v>1181</v>
      </c>
      <c r="I1381" s="11">
        <f t="shared" si="84"/>
        <v>1360</v>
      </c>
      <c r="J1381" s="11">
        <f t="shared" si="85"/>
        <v>1405390</v>
      </c>
      <c r="K1381" s="1">
        <f t="shared" si="86"/>
        <v>1181.0001381</v>
      </c>
      <c r="L1381" s="15">
        <f t="shared" si="87"/>
        <v>0.53013810000000006</v>
      </c>
    </row>
    <row r="1382" spans="1:12" ht="15" customHeight="1" x14ac:dyDescent="0.25">
      <c r="A1382" s="10" t="str">
        <f>Raw_Data!A1382</f>
        <v>KENT 11054 Alkaline Water Filter Pitcher 3.5 L | Chemical-Free Water with Balanced pH Levels 8.0 to 9.5 | Solves Acidity Issue | Equipped with Carbon and Sediment Filter - Grey</v>
      </c>
      <c r="B1382" s="10" t="str">
        <f>IFERROR(TRIM(LEFT(Raw_Data!A1382,FIND(" ",Raw_Data!A1382)-1)),Raw_Data!A1382)</f>
        <v>KENT</v>
      </c>
      <c r="C1382" s="10" t="str">
        <f>IFERROR(LEFT(Raw_Data!B1382,FIND("|",Raw_Data!B1382)-1),Raw_Data!B1382)</f>
        <v>Home&amp;Kitchen</v>
      </c>
      <c r="D1382" s="11">
        <f>IFERROR(VALUE(SUBSTITUTE(SUBSTITUTE(TRIM(Raw_Data!C1382),"₹",""),",","")),"")</f>
        <v>1799</v>
      </c>
      <c r="E1382" s="11">
        <f>IFERROR(VALUE(SUBSTITUTE(SUBSTITUTE(TRIM(Raw_Data!D1382),"₹",""),",","")),"")</f>
        <v>1950</v>
      </c>
      <c r="F1382" s="12">
        <f>IFERROR(VALUE(SUBSTITUTE(Raw_Data!E1382,"%",""))/100,"")</f>
        <v>0.08</v>
      </c>
      <c r="G1382" s="13">
        <f>IFERROR(VALUE(Raw_Data!F1382),"")</f>
        <v>3.9</v>
      </c>
      <c r="H1382" s="14">
        <f>IFERROR(VALUE(SUBSTITUTE(Raw_Data!G1382,",","")),"")</f>
        <v>1888</v>
      </c>
      <c r="I1382" s="11">
        <f t="shared" si="84"/>
        <v>151</v>
      </c>
      <c r="J1382" s="11">
        <f t="shared" si="85"/>
        <v>3396512</v>
      </c>
      <c r="K1382" s="1">
        <f t="shared" si="86"/>
        <v>1888.0001382</v>
      </c>
      <c r="L1382" s="15">
        <f t="shared" si="87"/>
        <v>8.0138200000000007E-2</v>
      </c>
    </row>
    <row r="1383" spans="1:12" ht="15" customHeight="1" x14ac:dyDescent="0.25">
      <c r="A1383" s="10" t="str">
        <f>Raw_Data!A1383</f>
        <v>Sujata Dynamix DX Mixer Grinder, 900W, 3 Jars (White)</v>
      </c>
      <c r="B1383" s="10" t="str">
        <f>IFERROR(TRIM(LEFT(Raw_Data!A1383,FIND(" ",Raw_Data!A1383)-1)),Raw_Data!A1383)</f>
        <v>Sujata</v>
      </c>
      <c r="C1383" s="10" t="str">
        <f>IFERROR(LEFT(Raw_Data!B1383,FIND("|",Raw_Data!B1383)-1),Raw_Data!B1383)</f>
        <v>Home&amp;Kitchen</v>
      </c>
      <c r="D1383" s="11">
        <f>IFERROR(VALUE(SUBSTITUTE(SUBSTITUTE(TRIM(Raw_Data!C1383),"₹",""),",","")),"")</f>
        <v>6120</v>
      </c>
      <c r="E1383" s="11">
        <f>IFERROR(VALUE(SUBSTITUTE(SUBSTITUTE(TRIM(Raw_Data!D1383),"₹",""),",","")),"")</f>
        <v>8478</v>
      </c>
      <c r="F1383" s="12">
        <f>IFERROR(VALUE(SUBSTITUTE(Raw_Data!E1383,"%",""))/100,"")</f>
        <v>0.28000000000000003</v>
      </c>
      <c r="G1383" s="13">
        <f>IFERROR(VALUE(Raw_Data!F1383),"")</f>
        <v>4.5999999999999996</v>
      </c>
      <c r="H1383" s="14">
        <f>IFERROR(VALUE(SUBSTITUTE(Raw_Data!G1383,",","")),"")</f>
        <v>6550</v>
      </c>
      <c r="I1383" s="11">
        <f t="shared" si="84"/>
        <v>2358</v>
      </c>
      <c r="J1383" s="11">
        <f t="shared" si="85"/>
        <v>40086000</v>
      </c>
      <c r="K1383" s="1">
        <f t="shared" si="86"/>
        <v>6550.0001382999999</v>
      </c>
      <c r="L1383" s="15">
        <f t="shared" si="87"/>
        <v>0.28013830000000001</v>
      </c>
    </row>
    <row r="1384" spans="1:12" ht="15" customHeight="1" x14ac:dyDescent="0.25">
      <c r="A1384" s="10" t="str">
        <f>Raw_Data!A1384</f>
        <v>Lifelong LLMG74 750 Watt Mixer Grinder with 3 Jars (White and Grey)</v>
      </c>
      <c r="B1384" s="10" t="str">
        <f>IFERROR(TRIM(LEFT(Raw_Data!A1384,FIND(" ",Raw_Data!A1384)-1)),Raw_Data!A1384)</f>
        <v>Lifelong</v>
      </c>
      <c r="C1384" s="10" t="str">
        <f>IFERROR(LEFT(Raw_Data!B1384,FIND("|",Raw_Data!B1384)-1),Raw_Data!B1384)</f>
        <v>Home&amp;Kitchen</v>
      </c>
      <c r="D1384" s="11">
        <f>IFERROR(VALUE(SUBSTITUTE(SUBSTITUTE(TRIM(Raw_Data!C1384),"₹",""),",","")),"")</f>
        <v>1799</v>
      </c>
      <c r="E1384" s="11">
        <f>IFERROR(VALUE(SUBSTITUTE(SUBSTITUTE(TRIM(Raw_Data!D1384),"₹",""),",","")),"")</f>
        <v>3299</v>
      </c>
      <c r="F1384" s="12">
        <f>IFERROR(VALUE(SUBSTITUTE(Raw_Data!E1384,"%",""))/100,"")</f>
        <v>0.45</v>
      </c>
      <c r="G1384" s="13">
        <f>IFERROR(VALUE(Raw_Data!F1384),"")</f>
        <v>3.8</v>
      </c>
      <c r="H1384" s="14">
        <f>IFERROR(VALUE(SUBSTITUTE(Raw_Data!G1384,",","")),"")</f>
        <v>1846</v>
      </c>
      <c r="I1384" s="11">
        <f t="shared" si="84"/>
        <v>1500</v>
      </c>
      <c r="J1384" s="11">
        <f t="shared" si="85"/>
        <v>3320954</v>
      </c>
      <c r="K1384" s="1">
        <f t="shared" si="86"/>
        <v>1846.0001384</v>
      </c>
      <c r="L1384" s="15">
        <f t="shared" si="87"/>
        <v>0.45013839999999999</v>
      </c>
    </row>
    <row r="1385" spans="1:12" ht="15" customHeight="1" x14ac:dyDescent="0.25">
      <c r="A1385" s="10" t="str">
        <f>Raw_Data!A1385</f>
        <v>TTK Prestige Limited Orion Mixer Grinder 500 Watts, 3 Jars (1200ml, 1000ml, 500ml) (Red)</v>
      </c>
      <c r="B1385" s="10" t="str">
        <f>IFERROR(TRIM(LEFT(Raw_Data!A1385,FIND(" ",Raw_Data!A1385)-1)),Raw_Data!A1385)</f>
        <v>TTK</v>
      </c>
      <c r="C1385" s="10" t="str">
        <f>IFERROR(LEFT(Raw_Data!B1385,FIND("|",Raw_Data!B1385)-1),Raw_Data!B1385)</f>
        <v>Home&amp;Kitchen</v>
      </c>
      <c r="D1385" s="11">
        <f>IFERROR(VALUE(SUBSTITUTE(SUBSTITUTE(TRIM(Raw_Data!C1385),"₹",""),",","")),"")</f>
        <v>2199</v>
      </c>
      <c r="E1385" s="11">
        <f>IFERROR(VALUE(SUBSTITUTE(SUBSTITUTE(TRIM(Raw_Data!D1385),"₹",""),",","")),"")</f>
        <v>3895</v>
      </c>
      <c r="F1385" s="12">
        <f>IFERROR(VALUE(SUBSTITUTE(Raw_Data!E1385,"%",""))/100,"")</f>
        <v>0.44</v>
      </c>
      <c r="G1385" s="13">
        <f>IFERROR(VALUE(Raw_Data!F1385),"")</f>
        <v>3.9</v>
      </c>
      <c r="H1385" s="14">
        <f>IFERROR(VALUE(SUBSTITUTE(Raw_Data!G1385,",","")),"")</f>
        <v>1085</v>
      </c>
      <c r="I1385" s="11">
        <f t="shared" si="84"/>
        <v>1696</v>
      </c>
      <c r="J1385" s="11">
        <f t="shared" si="85"/>
        <v>2385915</v>
      </c>
      <c r="K1385" s="1">
        <f t="shared" si="86"/>
        <v>1085.0001385</v>
      </c>
      <c r="L1385" s="15">
        <f t="shared" si="87"/>
        <v>0.44013849999999999</v>
      </c>
    </row>
    <row r="1386" spans="1:12" ht="15" customHeight="1" x14ac:dyDescent="0.25">
      <c r="A1386" s="10" t="str">
        <f>Raw_Data!A1386</f>
        <v>AGARO Regal Electric Rice Cooker, 3L Ceramic Inner Bowl, Cooks Up to 600 Gms Raw Rice, SS Steamer, Preset Cooking Functions, Preset Timer, Keep Warm Function, LED Display, Black</v>
      </c>
      <c r="B1386" s="10" t="str">
        <f>IFERROR(TRIM(LEFT(Raw_Data!A1386,FIND(" ",Raw_Data!A1386)-1)),Raw_Data!A1386)</f>
        <v>AGARO</v>
      </c>
      <c r="C1386" s="10" t="str">
        <f>IFERROR(LEFT(Raw_Data!B1386,FIND("|",Raw_Data!B1386)-1),Raw_Data!B1386)</f>
        <v>Home&amp;Kitchen</v>
      </c>
      <c r="D1386" s="11">
        <f>IFERROR(VALUE(SUBSTITUTE(SUBSTITUTE(TRIM(Raw_Data!C1386),"₹",""),",","")),"")</f>
        <v>3685</v>
      </c>
      <c r="E1386" s="11">
        <f>IFERROR(VALUE(SUBSTITUTE(SUBSTITUTE(TRIM(Raw_Data!D1386),"₹",""),",","")),"")</f>
        <v>5495</v>
      </c>
      <c r="F1386" s="12">
        <f>IFERROR(VALUE(SUBSTITUTE(Raw_Data!E1386,"%",""))/100,"")</f>
        <v>0.33</v>
      </c>
      <c r="G1386" s="13">
        <f>IFERROR(VALUE(Raw_Data!F1386),"")</f>
        <v>4.0999999999999996</v>
      </c>
      <c r="H1386" s="14">
        <f>IFERROR(VALUE(SUBSTITUTE(Raw_Data!G1386,",","")),"")</f>
        <v>290</v>
      </c>
      <c r="I1386" s="11">
        <f t="shared" si="84"/>
        <v>1810</v>
      </c>
      <c r="J1386" s="11">
        <f t="shared" si="85"/>
        <v>1068650</v>
      </c>
      <c r="K1386" s="1">
        <f t="shared" si="86"/>
        <v>290.00013860000001</v>
      </c>
      <c r="L1386" s="15">
        <f t="shared" si="87"/>
        <v>0.3301386</v>
      </c>
    </row>
    <row r="1387" spans="1:12" ht="15" customHeight="1" x14ac:dyDescent="0.25">
      <c r="A1387" s="10" t="str">
        <f>Raw_Data!A1387</f>
        <v>VAPJA® Portable Mini Juicer Cup Blender USB Rechargeable with 4 Blades for Shakes and Smoothies Fruits Vegetables Juice Maker Grinder Mixer Strong Cutting Bottle Sports Travel Outdoors Gym (BOTTLE)</v>
      </c>
      <c r="B1387" s="10" t="str">
        <f>IFERROR(TRIM(LEFT(Raw_Data!A1387,FIND(" ",Raw_Data!A1387)-1)),Raw_Data!A1387)</f>
        <v>VAPJA®</v>
      </c>
      <c r="C1387" s="10" t="str">
        <f>IFERROR(LEFT(Raw_Data!B1387,FIND("|",Raw_Data!B1387)-1),Raw_Data!B1387)</f>
        <v>Home&amp;Kitchen</v>
      </c>
      <c r="D1387" s="11">
        <f>IFERROR(VALUE(SUBSTITUTE(SUBSTITUTE(TRIM(Raw_Data!C1387),"₹",""),",","")),"")</f>
        <v>649</v>
      </c>
      <c r="E1387" s="11">
        <f>IFERROR(VALUE(SUBSTITUTE(SUBSTITUTE(TRIM(Raw_Data!D1387),"₹",""),",","")),"")</f>
        <v>999</v>
      </c>
      <c r="F1387" s="12">
        <f>IFERROR(VALUE(SUBSTITUTE(Raw_Data!E1387,"%",""))/100,"")</f>
        <v>0.35</v>
      </c>
      <c r="G1387" s="13">
        <f>IFERROR(VALUE(Raw_Data!F1387),"")</f>
        <v>3.6</v>
      </c>
      <c r="H1387" s="14">
        <f>IFERROR(VALUE(SUBSTITUTE(Raw_Data!G1387,",","")),"")</f>
        <v>4</v>
      </c>
      <c r="I1387" s="11">
        <f t="shared" si="84"/>
        <v>350</v>
      </c>
      <c r="J1387" s="11">
        <f t="shared" si="85"/>
        <v>2596</v>
      </c>
      <c r="K1387" s="1">
        <f t="shared" si="86"/>
        <v>4.0001386999999999</v>
      </c>
      <c r="L1387" s="15">
        <f t="shared" si="87"/>
        <v>0.35013869999999997</v>
      </c>
    </row>
    <row r="1388" spans="1:12" ht="15" customHeight="1" x14ac:dyDescent="0.25">
      <c r="A1388" s="10" t="str">
        <f>Raw_Data!A1388</f>
        <v>Philips HD6975/00 25 Litre Digital Oven Toaster Grill, Grey, 25 liter</v>
      </c>
      <c r="B1388" s="10" t="str">
        <f>IFERROR(TRIM(LEFT(Raw_Data!A1388,FIND(" ",Raw_Data!A1388)-1)),Raw_Data!A1388)</f>
        <v>Philips</v>
      </c>
      <c r="C1388" s="10" t="str">
        <f>IFERROR(LEFT(Raw_Data!B1388,FIND("|",Raw_Data!B1388)-1),Raw_Data!B1388)</f>
        <v>Home&amp;Kitchen</v>
      </c>
      <c r="D1388" s="11">
        <f>IFERROR(VALUE(SUBSTITUTE(SUBSTITUTE(TRIM(Raw_Data!C1388),"₹",""),",","")),"")</f>
        <v>8599</v>
      </c>
      <c r="E1388" s="11">
        <f>IFERROR(VALUE(SUBSTITUTE(SUBSTITUTE(TRIM(Raw_Data!D1388),"₹",""),",","")),"")</f>
        <v>8995</v>
      </c>
      <c r="F1388" s="12">
        <f>IFERROR(VALUE(SUBSTITUTE(Raw_Data!E1388,"%",""))/100,"")</f>
        <v>0.04</v>
      </c>
      <c r="G1388" s="13">
        <f>IFERROR(VALUE(Raw_Data!F1388),"")</f>
        <v>4.4000000000000004</v>
      </c>
      <c r="H1388" s="14">
        <f>IFERROR(VALUE(SUBSTITUTE(Raw_Data!G1388,",","")),"")</f>
        <v>9734</v>
      </c>
      <c r="I1388" s="11">
        <f t="shared" si="84"/>
        <v>396</v>
      </c>
      <c r="J1388" s="11">
        <f t="shared" si="85"/>
        <v>83702666</v>
      </c>
      <c r="K1388" s="1">
        <f t="shared" si="86"/>
        <v>9734.0001388000001</v>
      </c>
      <c r="L1388" s="15">
        <f t="shared" si="87"/>
        <v>4.0138800000000002E-2</v>
      </c>
    </row>
    <row r="1389" spans="1:12" ht="15" customHeight="1" x14ac:dyDescent="0.25">
      <c r="A1389" s="10" t="str">
        <f>Raw_Data!A1389</f>
        <v>Usha EI 3710 Heavy Weight 1000-Watt Dry Iron with Golden American Heritage Soleplate, 1.75 Kg(White)</v>
      </c>
      <c r="B1389" s="10" t="str">
        <f>IFERROR(TRIM(LEFT(Raw_Data!A1389,FIND(" ",Raw_Data!A1389)-1)),Raw_Data!A1389)</f>
        <v>Usha</v>
      </c>
      <c r="C1389" s="10" t="str">
        <f>IFERROR(LEFT(Raw_Data!B1389,FIND("|",Raw_Data!B1389)-1),Raw_Data!B1389)</f>
        <v>Home&amp;Kitchen</v>
      </c>
      <c r="D1389" s="11">
        <f>IFERROR(VALUE(SUBSTITUTE(SUBSTITUTE(TRIM(Raw_Data!C1389),"₹",""),",","")),"")</f>
        <v>1110</v>
      </c>
      <c r="E1389" s="11">
        <f>IFERROR(VALUE(SUBSTITUTE(SUBSTITUTE(TRIM(Raw_Data!D1389),"₹",""),",","")),"")</f>
        <v>1599</v>
      </c>
      <c r="F1389" s="12">
        <f>IFERROR(VALUE(SUBSTITUTE(Raw_Data!E1389,"%",""))/100,"")</f>
        <v>0.31</v>
      </c>
      <c r="G1389" s="13">
        <f>IFERROR(VALUE(Raw_Data!F1389),"")</f>
        <v>4.3</v>
      </c>
      <c r="H1389" s="14">
        <f>IFERROR(VALUE(SUBSTITUTE(Raw_Data!G1389,",","")),"")</f>
        <v>4022</v>
      </c>
      <c r="I1389" s="11">
        <f t="shared" si="84"/>
        <v>489</v>
      </c>
      <c r="J1389" s="11">
        <f t="shared" si="85"/>
        <v>4464420</v>
      </c>
      <c r="K1389" s="1">
        <f t="shared" si="86"/>
        <v>4022.0001388999999</v>
      </c>
      <c r="L1389" s="15">
        <f t="shared" si="87"/>
        <v>0.3101389</v>
      </c>
    </row>
    <row r="1390" spans="1:12" ht="15" customHeight="1" x14ac:dyDescent="0.25">
      <c r="A1390" s="10" t="str">
        <f>Raw_Data!A1390</f>
        <v>Campfire Spring Chef Prolix Instant Portable Water Heater Geyser 1Ltr. for Use Home Stainless Steel Baking Rack | Restaurant | Office | Labs | Clinics | Saloon | with Installation Kit (With MCB)</v>
      </c>
      <c r="B1390" s="10" t="str">
        <f>IFERROR(TRIM(LEFT(Raw_Data!A1390,FIND(" ",Raw_Data!A1390)-1)),Raw_Data!A1390)</f>
        <v>Campfire</v>
      </c>
      <c r="C1390" s="10" t="str">
        <f>IFERROR(LEFT(Raw_Data!B1390,FIND("|",Raw_Data!B1390)-1),Raw_Data!B1390)</f>
        <v>Home&amp;Kitchen</v>
      </c>
      <c r="D1390" s="11">
        <f>IFERROR(VALUE(SUBSTITUTE(SUBSTITUTE(TRIM(Raw_Data!C1390),"₹",""),",","")),"")</f>
        <v>1499</v>
      </c>
      <c r="E1390" s="11">
        <f>IFERROR(VALUE(SUBSTITUTE(SUBSTITUTE(TRIM(Raw_Data!D1390),"₹",""),",","")),"")</f>
        <v>3500</v>
      </c>
      <c r="F1390" s="12">
        <f>IFERROR(VALUE(SUBSTITUTE(Raw_Data!E1390,"%",""))/100,"")</f>
        <v>0.56999999999999995</v>
      </c>
      <c r="G1390" s="13">
        <f>IFERROR(VALUE(Raw_Data!F1390),"")</f>
        <v>4.7</v>
      </c>
      <c r="H1390" s="14">
        <f>IFERROR(VALUE(SUBSTITUTE(Raw_Data!G1390,",","")),"")</f>
        <v>2591</v>
      </c>
      <c r="I1390" s="11">
        <f t="shared" si="84"/>
        <v>2001</v>
      </c>
      <c r="J1390" s="11">
        <f t="shared" si="85"/>
        <v>3883909</v>
      </c>
      <c r="K1390" s="1">
        <f t="shared" si="86"/>
        <v>2591.0001390000002</v>
      </c>
      <c r="L1390" s="15">
        <f t="shared" si="87"/>
        <v>0.57013899999999995</v>
      </c>
    </row>
    <row r="1391" spans="1:12" ht="15" customHeight="1" x14ac:dyDescent="0.25">
      <c r="A1391" s="10" t="str">
        <f>Raw_Data!A1391</f>
        <v>Themisto TH-WS20 Digital Kitchen Weighing Scale Stainless Steel (5Kg)</v>
      </c>
      <c r="B1391" s="10" t="str">
        <f>IFERROR(TRIM(LEFT(Raw_Data!A1391,FIND(" ",Raw_Data!A1391)-1)),Raw_Data!A1391)</f>
        <v>Themisto</v>
      </c>
      <c r="C1391" s="10" t="str">
        <f>IFERROR(LEFT(Raw_Data!B1391,FIND("|",Raw_Data!B1391)-1),Raw_Data!B1391)</f>
        <v>Home&amp;Kitchen</v>
      </c>
      <c r="D1391" s="11">
        <f>IFERROR(VALUE(SUBSTITUTE(SUBSTITUTE(TRIM(Raw_Data!C1391),"₹",""),",","")),"")</f>
        <v>759</v>
      </c>
      <c r="E1391" s="11">
        <f>IFERROR(VALUE(SUBSTITUTE(SUBSTITUTE(TRIM(Raw_Data!D1391),"₹",""),",","")),"")</f>
        <v>1999</v>
      </c>
      <c r="F1391" s="12">
        <f>IFERROR(VALUE(SUBSTITUTE(Raw_Data!E1391,"%",""))/100,"")</f>
        <v>0.62</v>
      </c>
      <c r="G1391" s="13">
        <f>IFERROR(VALUE(Raw_Data!F1391),"")</f>
        <v>4.3</v>
      </c>
      <c r="H1391" s="14">
        <f>IFERROR(VALUE(SUBSTITUTE(Raw_Data!G1391,",","")),"")</f>
        <v>532</v>
      </c>
      <c r="I1391" s="11">
        <f t="shared" si="84"/>
        <v>1240</v>
      </c>
      <c r="J1391" s="11">
        <f t="shared" si="85"/>
        <v>403788</v>
      </c>
      <c r="K1391" s="1">
        <f t="shared" si="86"/>
        <v>532.00013909999996</v>
      </c>
      <c r="L1391" s="15">
        <f t="shared" si="87"/>
        <v>0.62013909999999994</v>
      </c>
    </row>
    <row r="1392" spans="1:12" ht="15" customHeight="1" x14ac:dyDescent="0.25">
      <c r="A1392" s="10" t="str">
        <f>Raw_Data!A1392</f>
        <v>FYA Handheld Vacuum Cleaner Cordless, Wireless Hand Vacuum&amp;Air Blower 2-in-1, Mini Portable Car Vacuum Cleaner with Powerful Suction, USB Rechargeable Vacuum for Pet Hair, Home and Car</v>
      </c>
      <c r="B1392" s="10" t="str">
        <f>IFERROR(TRIM(LEFT(Raw_Data!A1392,FIND(" ",Raw_Data!A1392)-1)),Raw_Data!A1392)</f>
        <v>FYA</v>
      </c>
      <c r="C1392" s="10" t="str">
        <f>IFERROR(LEFT(Raw_Data!B1392,FIND("|",Raw_Data!B1392)-1),Raw_Data!B1392)</f>
        <v>Home&amp;Kitchen</v>
      </c>
      <c r="D1392" s="11">
        <f>IFERROR(VALUE(SUBSTITUTE(SUBSTITUTE(TRIM(Raw_Data!C1392),"₹",""),",","")),"")</f>
        <v>2669</v>
      </c>
      <c r="E1392" s="11">
        <f>IFERROR(VALUE(SUBSTITUTE(SUBSTITUTE(TRIM(Raw_Data!D1392),"₹",""),",","")),"")</f>
        <v>3199</v>
      </c>
      <c r="F1392" s="12">
        <f>IFERROR(VALUE(SUBSTITUTE(Raw_Data!E1392,"%",""))/100,"")</f>
        <v>0.17</v>
      </c>
      <c r="G1392" s="13">
        <f>IFERROR(VALUE(Raw_Data!F1392),"")</f>
        <v>3.9</v>
      </c>
      <c r="H1392" s="14">
        <f>IFERROR(VALUE(SUBSTITUTE(Raw_Data!G1392,",","")),"")</f>
        <v>260</v>
      </c>
      <c r="I1392" s="11">
        <f t="shared" si="84"/>
        <v>530</v>
      </c>
      <c r="J1392" s="11">
        <f t="shared" si="85"/>
        <v>693940</v>
      </c>
      <c r="K1392" s="1">
        <f t="shared" si="86"/>
        <v>260.00013919999998</v>
      </c>
      <c r="L1392" s="15">
        <f t="shared" si="87"/>
        <v>0.17013920000000002</v>
      </c>
    </row>
    <row r="1393" spans="1:12" ht="15" customHeight="1" x14ac:dyDescent="0.25">
      <c r="A1393" s="10" t="str">
        <f>Raw_Data!A1393</f>
        <v>Lifelong LLSM120G Sandwich Griller , Classic Pro 750 W Sandwich Maker with 4 Slice Non-Stick Fixed Plates for Sandwiches at Home with 1 Year Warranty (Black)</v>
      </c>
      <c r="B1393" s="10" t="str">
        <f>IFERROR(TRIM(LEFT(Raw_Data!A1393,FIND(" ",Raw_Data!A1393)-1)),Raw_Data!A1393)</f>
        <v>Lifelong</v>
      </c>
      <c r="C1393" s="10" t="str">
        <f>IFERROR(LEFT(Raw_Data!B1393,FIND("|",Raw_Data!B1393)-1),Raw_Data!B1393)</f>
        <v>Home&amp;Kitchen</v>
      </c>
      <c r="D1393" s="11">
        <f>IFERROR(VALUE(SUBSTITUTE(SUBSTITUTE(TRIM(Raw_Data!C1393),"₹",""),",","")),"")</f>
        <v>929</v>
      </c>
      <c r="E1393" s="11">
        <f>IFERROR(VALUE(SUBSTITUTE(SUBSTITUTE(TRIM(Raw_Data!D1393),"₹",""),",","")),"")</f>
        <v>1300</v>
      </c>
      <c r="F1393" s="12">
        <f>IFERROR(VALUE(SUBSTITUTE(Raw_Data!E1393,"%",""))/100,"")</f>
        <v>0.28999999999999998</v>
      </c>
      <c r="G1393" s="13">
        <f>IFERROR(VALUE(Raw_Data!F1393),"")</f>
        <v>3.9</v>
      </c>
      <c r="H1393" s="14">
        <f>IFERROR(VALUE(SUBSTITUTE(Raw_Data!G1393,",","")),"")</f>
        <v>1672</v>
      </c>
      <c r="I1393" s="11">
        <f t="shared" si="84"/>
        <v>371</v>
      </c>
      <c r="J1393" s="11">
        <f t="shared" si="85"/>
        <v>1553288</v>
      </c>
      <c r="K1393" s="1">
        <f t="shared" si="86"/>
        <v>1672.0001393</v>
      </c>
      <c r="L1393" s="15">
        <f t="shared" si="87"/>
        <v>0.29013929999999999</v>
      </c>
    </row>
    <row r="1394" spans="1:12" ht="15" customHeight="1" x14ac:dyDescent="0.25">
      <c r="A1394" s="10" t="str">
        <f>Raw_Data!A1394</f>
        <v>Kuber Industries Nylon Mesh Laundry Basket|Sturdy Material &amp; Durable Handles|Netted Lightweight Laundry Bag, Size 36 x 36 x 58, Capicity 30 Ltr (Pink)</v>
      </c>
      <c r="B1394" s="10" t="str">
        <f>IFERROR(TRIM(LEFT(Raw_Data!A1394,FIND(" ",Raw_Data!A1394)-1)),Raw_Data!A1394)</f>
        <v>Kuber</v>
      </c>
      <c r="C1394" s="10" t="str">
        <f>IFERROR(LEFT(Raw_Data!B1394,FIND("|",Raw_Data!B1394)-1),Raw_Data!B1394)</f>
        <v>Home&amp;Kitchen</v>
      </c>
      <c r="D1394" s="11">
        <f>IFERROR(VALUE(SUBSTITUTE(SUBSTITUTE(TRIM(Raw_Data!C1394),"₹",""),",","")),"")</f>
        <v>199</v>
      </c>
      <c r="E1394" s="11">
        <f>IFERROR(VALUE(SUBSTITUTE(SUBSTITUTE(TRIM(Raw_Data!D1394),"₹",""),",","")),"")</f>
        <v>399</v>
      </c>
      <c r="F1394" s="12">
        <f>IFERROR(VALUE(SUBSTITUTE(Raw_Data!E1394,"%",""))/100,"")</f>
        <v>0.5</v>
      </c>
      <c r="G1394" s="13">
        <f>IFERROR(VALUE(Raw_Data!F1394),"")</f>
        <v>3.7</v>
      </c>
      <c r="H1394" s="14">
        <f>IFERROR(VALUE(SUBSTITUTE(Raw_Data!G1394,",","")),"")</f>
        <v>7945</v>
      </c>
      <c r="I1394" s="11">
        <f t="shared" si="84"/>
        <v>200</v>
      </c>
      <c r="J1394" s="11">
        <f t="shared" si="85"/>
        <v>1581055</v>
      </c>
      <c r="K1394" s="1">
        <f t="shared" si="86"/>
        <v>7945.0001394000001</v>
      </c>
      <c r="L1394" s="15">
        <f t="shared" si="87"/>
        <v>0.50013940000000001</v>
      </c>
    </row>
    <row r="1395" spans="1:12" ht="15" customHeight="1" x14ac:dyDescent="0.25">
      <c r="A1395" s="10" t="str">
        <f>Raw_Data!A1395</f>
        <v>Bulfyss Plastic Sticky Lint Roller Hair Remover Cleaner Set of 5 Rolls 150 Sheets, 30 Sheets Each roll Lint Roller Remover for Clothes, Furniture, Carpet, Dog Fur, Sweater, Dust &amp; Dirt</v>
      </c>
      <c r="B1395" s="10" t="str">
        <f>IFERROR(TRIM(LEFT(Raw_Data!A1395,FIND(" ",Raw_Data!A1395)-1)),Raw_Data!A1395)</f>
        <v>Bulfyss</v>
      </c>
      <c r="C1395" s="10" t="str">
        <f>IFERROR(LEFT(Raw_Data!B1395,FIND("|",Raw_Data!B1395)-1),Raw_Data!B1395)</f>
        <v>Home&amp;Kitchen</v>
      </c>
      <c r="D1395" s="11">
        <f>IFERROR(VALUE(SUBSTITUTE(SUBSTITUTE(TRIM(Raw_Data!C1395),"₹",""),",","")),"")</f>
        <v>279</v>
      </c>
      <c r="E1395" s="11">
        <f>IFERROR(VALUE(SUBSTITUTE(SUBSTITUTE(TRIM(Raw_Data!D1395),"₹",""),",","")),"")</f>
        <v>599</v>
      </c>
      <c r="F1395" s="12">
        <f>IFERROR(VALUE(SUBSTITUTE(Raw_Data!E1395,"%",""))/100,"")</f>
        <v>0.53</v>
      </c>
      <c r="G1395" s="13">
        <f>IFERROR(VALUE(Raw_Data!F1395),"")</f>
        <v>3.5</v>
      </c>
      <c r="H1395" s="14">
        <f>IFERROR(VALUE(SUBSTITUTE(Raw_Data!G1395,",","")),"")</f>
        <v>1367</v>
      </c>
      <c r="I1395" s="11">
        <f t="shared" si="84"/>
        <v>320</v>
      </c>
      <c r="J1395" s="11">
        <f t="shared" si="85"/>
        <v>381393</v>
      </c>
      <c r="K1395" s="1">
        <f t="shared" si="86"/>
        <v>1367.0001394999999</v>
      </c>
      <c r="L1395" s="15">
        <f t="shared" si="87"/>
        <v>0.53013949999999999</v>
      </c>
    </row>
    <row r="1396" spans="1:12" ht="15" customHeight="1" x14ac:dyDescent="0.25">
      <c r="A1396" s="10" t="str">
        <f>Raw_Data!A1396</f>
        <v>T TOPLINE 180 W Electric Hand Mixer,Hand Blender , Egg Beater, Cake maker , Beater Cream Mix, Food Blender, Beater for Whipping Cream Beater for Cake With 7 -Speed with spatula and oil brush</v>
      </c>
      <c r="B1396" s="10" t="str">
        <f>IFERROR(TRIM(LEFT(Raw_Data!A1396,FIND(" ",Raw_Data!A1396)-1)),Raw_Data!A1396)</f>
        <v>T</v>
      </c>
      <c r="C1396" s="10" t="str">
        <f>IFERROR(LEFT(Raw_Data!B1396,FIND("|",Raw_Data!B1396)-1),Raw_Data!B1396)</f>
        <v>Home&amp;Kitchen</v>
      </c>
      <c r="D1396" s="11">
        <f>IFERROR(VALUE(SUBSTITUTE(SUBSTITUTE(TRIM(Raw_Data!C1396),"₹",""),",","")),"")</f>
        <v>549</v>
      </c>
      <c r="E1396" s="11">
        <f>IFERROR(VALUE(SUBSTITUTE(SUBSTITUTE(TRIM(Raw_Data!D1396),"₹",""),",","")),"")</f>
        <v>999</v>
      </c>
      <c r="F1396" s="12">
        <f>IFERROR(VALUE(SUBSTITUTE(Raw_Data!E1396,"%",""))/100,"")</f>
        <v>0.45</v>
      </c>
      <c r="G1396" s="13">
        <f>IFERROR(VALUE(Raw_Data!F1396),"")</f>
        <v>4</v>
      </c>
      <c r="H1396" s="14">
        <f>IFERROR(VALUE(SUBSTITUTE(Raw_Data!G1396,",","")),"")</f>
        <v>1313</v>
      </c>
      <c r="I1396" s="11">
        <f t="shared" si="84"/>
        <v>450</v>
      </c>
      <c r="J1396" s="11">
        <f t="shared" si="85"/>
        <v>720837</v>
      </c>
      <c r="K1396" s="1">
        <f t="shared" si="86"/>
        <v>1313.0001396</v>
      </c>
      <c r="L1396" s="15">
        <f t="shared" si="87"/>
        <v>0.45013960000000003</v>
      </c>
    </row>
    <row r="1397" spans="1:12" ht="15" customHeight="1" x14ac:dyDescent="0.25">
      <c r="A1397" s="10" t="str">
        <f>Raw_Data!A1397</f>
        <v>Empty Mist Trigger Plastic Spray Bottle for Multi use 200ml Pack of 2</v>
      </c>
      <c r="B1397" s="10" t="str">
        <f>IFERROR(TRIM(LEFT(Raw_Data!A1397,FIND(" ",Raw_Data!A1397)-1)),Raw_Data!A1397)</f>
        <v>Empty</v>
      </c>
      <c r="C1397" s="10" t="str">
        <f>IFERROR(LEFT(Raw_Data!B1397,FIND("|",Raw_Data!B1397)-1),Raw_Data!B1397)</f>
        <v>Home&amp;Kitchen</v>
      </c>
      <c r="D1397" s="11">
        <f>IFERROR(VALUE(SUBSTITUTE(SUBSTITUTE(TRIM(Raw_Data!C1397),"₹",""),",","")),"")</f>
        <v>85</v>
      </c>
      <c r="E1397" s="11">
        <f>IFERROR(VALUE(SUBSTITUTE(SUBSTITUTE(TRIM(Raw_Data!D1397),"₹",""),",","")),"")</f>
        <v>199</v>
      </c>
      <c r="F1397" s="12">
        <f>IFERROR(VALUE(SUBSTITUTE(Raw_Data!E1397,"%",""))/100,"")</f>
        <v>0.56999999999999995</v>
      </c>
      <c r="G1397" s="13">
        <f>IFERROR(VALUE(Raw_Data!F1397),"")</f>
        <v>4.0999999999999996</v>
      </c>
      <c r="H1397" s="14">
        <f>IFERROR(VALUE(SUBSTITUTE(Raw_Data!G1397,",","")),"")</f>
        <v>212</v>
      </c>
      <c r="I1397" s="11">
        <f t="shared" si="84"/>
        <v>114</v>
      </c>
      <c r="J1397" s="11">
        <f t="shared" si="85"/>
        <v>18020</v>
      </c>
      <c r="K1397" s="1">
        <f t="shared" si="86"/>
        <v>212.00013970000001</v>
      </c>
      <c r="L1397" s="15">
        <f t="shared" si="87"/>
        <v>0.57013969999999992</v>
      </c>
    </row>
    <row r="1398" spans="1:12" ht="15" customHeight="1" x14ac:dyDescent="0.25">
      <c r="A1398" s="10" t="str">
        <f>Raw_Data!A1398</f>
        <v>LONAXA Mini Travel Rechargeable Fruit Juicer - USB Electric Fruit &amp; Vegetable Juice Blender/Grinder for Home and Office Use (Multicolor)…</v>
      </c>
      <c r="B1398" s="10" t="str">
        <f>IFERROR(TRIM(LEFT(Raw_Data!A1398,FIND(" ",Raw_Data!A1398)-1)),Raw_Data!A1398)</f>
        <v>LONAXA</v>
      </c>
      <c r="C1398" s="10" t="str">
        <f>IFERROR(LEFT(Raw_Data!B1398,FIND("|",Raw_Data!B1398)-1),Raw_Data!B1398)</f>
        <v>Home&amp;Kitchen</v>
      </c>
      <c r="D1398" s="11">
        <f>IFERROR(VALUE(SUBSTITUTE(SUBSTITUTE(TRIM(Raw_Data!C1398),"₹",""),",","")),"")</f>
        <v>499</v>
      </c>
      <c r="E1398" s="11">
        <f>IFERROR(VALUE(SUBSTITUTE(SUBSTITUTE(TRIM(Raw_Data!D1398),"₹",""),",","")),"")</f>
        <v>1299</v>
      </c>
      <c r="F1398" s="12">
        <f>IFERROR(VALUE(SUBSTITUTE(Raw_Data!E1398,"%",""))/100,"")</f>
        <v>0.62</v>
      </c>
      <c r="G1398" s="13">
        <f>IFERROR(VALUE(Raw_Data!F1398),"")</f>
        <v>3.9</v>
      </c>
      <c r="H1398" s="14">
        <f>IFERROR(VALUE(SUBSTITUTE(Raw_Data!G1398,",","")),"")</f>
        <v>65</v>
      </c>
      <c r="I1398" s="11">
        <f t="shared" si="84"/>
        <v>800</v>
      </c>
      <c r="J1398" s="11">
        <f t="shared" si="85"/>
        <v>32435</v>
      </c>
      <c r="K1398" s="1">
        <f t="shared" si="86"/>
        <v>65.000139799999999</v>
      </c>
      <c r="L1398" s="15">
        <f t="shared" si="87"/>
        <v>0.62013980000000002</v>
      </c>
    </row>
    <row r="1399" spans="1:12" ht="15" customHeight="1" x14ac:dyDescent="0.25">
      <c r="A1399" s="10" t="str">
        <f>Raw_Data!A1399</f>
        <v>SUJATA Powermatic Plus, Juicer Mixer Grinder, 900 Watts, 2 Jars (White)</v>
      </c>
      <c r="B1399" s="10" t="str">
        <f>IFERROR(TRIM(LEFT(Raw_Data!A1399,FIND(" ",Raw_Data!A1399)-1)),Raw_Data!A1399)</f>
        <v>SUJATA</v>
      </c>
      <c r="C1399" s="10" t="str">
        <f>IFERROR(LEFT(Raw_Data!B1399,FIND("|",Raw_Data!B1399)-1),Raw_Data!B1399)</f>
        <v>Home&amp;Kitchen</v>
      </c>
      <c r="D1399" s="11">
        <f>IFERROR(VALUE(SUBSTITUTE(SUBSTITUTE(TRIM(Raw_Data!C1399),"₹",""),",","")),"")</f>
        <v>5865</v>
      </c>
      <c r="E1399" s="11">
        <f>IFERROR(VALUE(SUBSTITUTE(SUBSTITUTE(TRIM(Raw_Data!D1399),"₹",""),",","")),"")</f>
        <v>7776</v>
      </c>
      <c r="F1399" s="12">
        <f>IFERROR(VALUE(SUBSTITUTE(Raw_Data!E1399,"%",""))/100,"")</f>
        <v>0.25</v>
      </c>
      <c r="G1399" s="13">
        <f>IFERROR(VALUE(Raw_Data!F1399),"")</f>
        <v>4.4000000000000004</v>
      </c>
      <c r="H1399" s="14">
        <f>IFERROR(VALUE(SUBSTITUTE(Raw_Data!G1399,",","")),"")</f>
        <v>2737</v>
      </c>
      <c r="I1399" s="11">
        <f t="shared" si="84"/>
        <v>1911</v>
      </c>
      <c r="J1399" s="11">
        <f t="shared" si="85"/>
        <v>16052505</v>
      </c>
      <c r="K1399" s="1">
        <f t="shared" si="86"/>
        <v>2737.0001398999998</v>
      </c>
      <c r="L1399" s="15">
        <f t="shared" si="87"/>
        <v>0.25013990000000003</v>
      </c>
    </row>
    <row r="1400" spans="1:12" ht="15" customHeight="1" x14ac:dyDescent="0.25">
      <c r="A1400" s="10" t="str">
        <f>Raw_Data!A1400</f>
        <v>AGARO Royal Double Layered Kettle, 1.5 Litres, Double Layered Cool Touch , Dry Boiling Protection, Black</v>
      </c>
      <c r="B1400" s="10" t="str">
        <f>IFERROR(TRIM(LEFT(Raw_Data!A1400,FIND(" ",Raw_Data!A1400)-1)),Raw_Data!A1400)</f>
        <v>AGARO</v>
      </c>
      <c r="C1400" s="10" t="str">
        <f>IFERROR(LEFT(Raw_Data!B1400,FIND("|",Raw_Data!B1400)-1),Raw_Data!B1400)</f>
        <v>Home&amp;Kitchen</v>
      </c>
      <c r="D1400" s="11">
        <f>IFERROR(VALUE(SUBSTITUTE(SUBSTITUTE(TRIM(Raw_Data!C1400),"₹",""),",","")),"")</f>
        <v>1260</v>
      </c>
      <c r="E1400" s="11">
        <f>IFERROR(VALUE(SUBSTITUTE(SUBSTITUTE(TRIM(Raw_Data!D1400),"₹",""),",","")),"")</f>
        <v>2299</v>
      </c>
      <c r="F1400" s="12">
        <f>IFERROR(VALUE(SUBSTITUTE(Raw_Data!E1400,"%",""))/100,"")</f>
        <v>0.45</v>
      </c>
      <c r="G1400" s="13">
        <f>IFERROR(VALUE(Raw_Data!F1400),"")</f>
        <v>4.3</v>
      </c>
      <c r="H1400" s="14">
        <f>IFERROR(VALUE(SUBSTITUTE(Raw_Data!G1400,",","")),"")</f>
        <v>55</v>
      </c>
      <c r="I1400" s="11">
        <f t="shared" si="84"/>
        <v>1039</v>
      </c>
      <c r="J1400" s="11">
        <f t="shared" si="85"/>
        <v>69300</v>
      </c>
      <c r="K1400" s="1">
        <f t="shared" si="86"/>
        <v>55.000140000000002</v>
      </c>
      <c r="L1400" s="15">
        <f t="shared" si="87"/>
        <v>0.45013999999999998</v>
      </c>
    </row>
    <row r="1401" spans="1:12" ht="15" customHeight="1" x14ac:dyDescent="0.25">
      <c r="A1401" s="10" t="str">
        <f>Raw_Data!A1401</f>
        <v>Cafe JEI French Press Coffee and Tea Maker 600ml with 4 Level Filtration System, Heat Resistant Borosilicate Glass (Black, 600ml)</v>
      </c>
      <c r="B1401" s="10" t="str">
        <f>IFERROR(TRIM(LEFT(Raw_Data!A1401,FIND(" ",Raw_Data!A1401)-1)),Raw_Data!A1401)</f>
        <v>Cafe</v>
      </c>
      <c r="C1401" s="10" t="str">
        <f>IFERROR(LEFT(Raw_Data!B1401,FIND("|",Raw_Data!B1401)-1),Raw_Data!B1401)</f>
        <v>Home&amp;Kitchen</v>
      </c>
      <c r="D1401" s="11">
        <f>IFERROR(VALUE(SUBSTITUTE(SUBSTITUTE(TRIM(Raw_Data!C1401),"₹",""),",","")),"")</f>
        <v>1099</v>
      </c>
      <c r="E1401" s="11">
        <f>IFERROR(VALUE(SUBSTITUTE(SUBSTITUTE(TRIM(Raw_Data!D1401),"₹",""),",","")),"")</f>
        <v>1500</v>
      </c>
      <c r="F1401" s="12">
        <f>IFERROR(VALUE(SUBSTITUTE(Raw_Data!E1401,"%",""))/100,"")</f>
        <v>0.27</v>
      </c>
      <c r="G1401" s="13">
        <f>IFERROR(VALUE(Raw_Data!F1401),"")</f>
        <v>4.5</v>
      </c>
      <c r="H1401" s="14">
        <f>IFERROR(VALUE(SUBSTITUTE(Raw_Data!G1401,",","")),"")</f>
        <v>1065</v>
      </c>
      <c r="I1401" s="11">
        <f t="shared" si="84"/>
        <v>401</v>
      </c>
      <c r="J1401" s="11">
        <f t="shared" si="85"/>
        <v>1170435</v>
      </c>
      <c r="K1401" s="1">
        <f t="shared" si="86"/>
        <v>1065.0001401</v>
      </c>
      <c r="L1401" s="15">
        <f t="shared" si="87"/>
        <v>0.27014009999999999</v>
      </c>
    </row>
    <row r="1402" spans="1:12" ht="15" customHeight="1" x14ac:dyDescent="0.25">
      <c r="A1402" s="10" t="str">
        <f>Raw_Data!A1402</f>
        <v>Borosil Prime Grill Sandwich Maker (Grey)</v>
      </c>
      <c r="B1402" s="10" t="str">
        <f>IFERROR(TRIM(LEFT(Raw_Data!A1402,FIND(" ",Raw_Data!A1402)-1)),Raw_Data!A1402)</f>
        <v>Borosil</v>
      </c>
      <c r="C1402" s="10" t="str">
        <f>IFERROR(LEFT(Raw_Data!B1402,FIND("|",Raw_Data!B1402)-1),Raw_Data!B1402)</f>
        <v>Home&amp;Kitchen</v>
      </c>
      <c r="D1402" s="11">
        <f>IFERROR(VALUE(SUBSTITUTE(SUBSTITUTE(TRIM(Raw_Data!C1402),"₹",""),",","")),"")</f>
        <v>1928</v>
      </c>
      <c r="E1402" s="11">
        <f>IFERROR(VALUE(SUBSTITUTE(SUBSTITUTE(TRIM(Raw_Data!D1402),"₹",""),",","")),"")</f>
        <v>2590</v>
      </c>
      <c r="F1402" s="12">
        <f>IFERROR(VALUE(SUBSTITUTE(Raw_Data!E1402,"%",""))/100,"")</f>
        <v>0.26</v>
      </c>
      <c r="G1402" s="13">
        <f>IFERROR(VALUE(Raw_Data!F1402),"")</f>
        <v>4</v>
      </c>
      <c r="H1402" s="14">
        <f>IFERROR(VALUE(SUBSTITUTE(Raw_Data!G1402,",","")),"")</f>
        <v>2377</v>
      </c>
      <c r="I1402" s="11">
        <f t="shared" si="84"/>
        <v>662</v>
      </c>
      <c r="J1402" s="11">
        <f t="shared" si="85"/>
        <v>4582856</v>
      </c>
      <c r="K1402" s="1">
        <f t="shared" si="86"/>
        <v>2377.0001401999998</v>
      </c>
      <c r="L1402" s="15">
        <f t="shared" si="87"/>
        <v>0.26014019999999999</v>
      </c>
    </row>
    <row r="1403" spans="1:12" ht="15" customHeight="1" x14ac:dyDescent="0.25">
      <c r="A1403" s="10" t="str">
        <f>Raw_Data!A1403</f>
        <v>Candes 10 Litre Perfecto 5 Star Rated Automatic Instant Storage Electric Water Heater with Special Metal Body Anti Rust Coating With Installation Kit, 2KW Geyser (Ivory)</v>
      </c>
      <c r="B1403" s="10" t="str">
        <f>IFERROR(TRIM(LEFT(Raw_Data!A1403,FIND(" ",Raw_Data!A1403)-1)),Raw_Data!A1403)</f>
        <v>Candes</v>
      </c>
      <c r="C1403" s="10" t="str">
        <f>IFERROR(LEFT(Raw_Data!B1403,FIND("|",Raw_Data!B1403)-1),Raw_Data!B1403)</f>
        <v>Home&amp;Kitchen</v>
      </c>
      <c r="D1403" s="11">
        <f>IFERROR(VALUE(SUBSTITUTE(SUBSTITUTE(TRIM(Raw_Data!C1403),"₹",""),",","")),"")</f>
        <v>3249</v>
      </c>
      <c r="E1403" s="11">
        <f>IFERROR(VALUE(SUBSTITUTE(SUBSTITUTE(TRIM(Raw_Data!D1403),"₹",""),",","")),"")</f>
        <v>6299</v>
      </c>
      <c r="F1403" s="12">
        <f>IFERROR(VALUE(SUBSTITUTE(Raw_Data!E1403,"%",""))/100,"")</f>
        <v>0.48</v>
      </c>
      <c r="G1403" s="13">
        <f>IFERROR(VALUE(Raw_Data!F1403),"")</f>
        <v>3.9</v>
      </c>
      <c r="H1403" s="14">
        <f>IFERROR(VALUE(SUBSTITUTE(Raw_Data!G1403,",","")),"")</f>
        <v>2569</v>
      </c>
      <c r="I1403" s="11">
        <f t="shared" si="84"/>
        <v>3050</v>
      </c>
      <c r="J1403" s="11">
        <f t="shared" si="85"/>
        <v>8346681</v>
      </c>
      <c r="K1403" s="1">
        <f t="shared" si="86"/>
        <v>2569.0001403000001</v>
      </c>
      <c r="L1403" s="15">
        <f t="shared" si="87"/>
        <v>0.48014029999999996</v>
      </c>
    </row>
    <row r="1404" spans="1:12" ht="15" customHeight="1" x14ac:dyDescent="0.25">
      <c r="A1404" s="10" t="str">
        <f>Raw_Data!A1404</f>
        <v>Prestige PSMFB 800 Watt Sandwich Toaster with Fixed Plates, Black</v>
      </c>
      <c r="B1404" s="10" t="str">
        <f>IFERROR(TRIM(LEFT(Raw_Data!A1404,FIND(" ",Raw_Data!A1404)-1)),Raw_Data!A1404)</f>
        <v>Prestige</v>
      </c>
      <c r="C1404" s="10" t="str">
        <f>IFERROR(LEFT(Raw_Data!B1404,FIND("|",Raw_Data!B1404)-1),Raw_Data!B1404)</f>
        <v>Home&amp;Kitchen</v>
      </c>
      <c r="D1404" s="11">
        <f>IFERROR(VALUE(SUBSTITUTE(SUBSTITUTE(TRIM(Raw_Data!C1404),"₹",""),",","")),"")</f>
        <v>1199</v>
      </c>
      <c r="E1404" s="11">
        <f>IFERROR(VALUE(SUBSTITUTE(SUBSTITUTE(TRIM(Raw_Data!D1404),"₹",""),",","")),"")</f>
        <v>1795</v>
      </c>
      <c r="F1404" s="12">
        <f>IFERROR(VALUE(SUBSTITUTE(Raw_Data!E1404,"%",""))/100,"")</f>
        <v>0.33</v>
      </c>
      <c r="G1404" s="13">
        <f>IFERROR(VALUE(Raw_Data!F1404),"")</f>
        <v>4.2</v>
      </c>
      <c r="H1404" s="14">
        <f>IFERROR(VALUE(SUBSTITUTE(Raw_Data!G1404,",","")),"")</f>
        <v>5967</v>
      </c>
      <c r="I1404" s="11">
        <f t="shared" si="84"/>
        <v>596</v>
      </c>
      <c r="J1404" s="11">
        <f t="shared" si="85"/>
        <v>7154433</v>
      </c>
      <c r="K1404" s="1">
        <f t="shared" si="86"/>
        <v>5967.0001404000004</v>
      </c>
      <c r="L1404" s="15">
        <f t="shared" si="87"/>
        <v>0.3301404</v>
      </c>
    </row>
    <row r="1405" spans="1:12" ht="15" customHeight="1" x14ac:dyDescent="0.25">
      <c r="A1405" s="10" t="str">
        <f>Raw_Data!A1405</f>
        <v>iBELL MPK120L Premium Stainless Steel Multi Purpose Kettle/Cooker with Inner Pot 1.2 Litre (Silver)</v>
      </c>
      <c r="B1405" s="10" t="str">
        <f>IFERROR(TRIM(LEFT(Raw_Data!A1405,FIND(" ",Raw_Data!A1405)-1)),Raw_Data!A1405)</f>
        <v>iBELL</v>
      </c>
      <c r="C1405" s="10" t="str">
        <f>IFERROR(LEFT(Raw_Data!B1405,FIND("|",Raw_Data!B1405)-1),Raw_Data!B1405)</f>
        <v>Home&amp;Kitchen</v>
      </c>
      <c r="D1405" s="11">
        <f>IFERROR(VALUE(SUBSTITUTE(SUBSTITUTE(TRIM(Raw_Data!C1405),"₹",""),",","")),"")</f>
        <v>1456</v>
      </c>
      <c r="E1405" s="11">
        <f>IFERROR(VALUE(SUBSTITUTE(SUBSTITUTE(TRIM(Raw_Data!D1405),"₹",""),",","")),"")</f>
        <v>3190</v>
      </c>
      <c r="F1405" s="12">
        <f>IFERROR(VALUE(SUBSTITUTE(Raw_Data!E1405,"%",""))/100,"")</f>
        <v>0.54</v>
      </c>
      <c r="G1405" s="13">
        <f>IFERROR(VALUE(Raw_Data!F1405),"")</f>
        <v>4.0999999999999996</v>
      </c>
      <c r="H1405" s="14">
        <f>IFERROR(VALUE(SUBSTITUTE(Raw_Data!G1405,",","")),"")</f>
        <v>1776</v>
      </c>
      <c r="I1405" s="11">
        <f t="shared" si="84"/>
        <v>1734</v>
      </c>
      <c r="J1405" s="11">
        <f t="shared" si="85"/>
        <v>2585856</v>
      </c>
      <c r="K1405" s="1">
        <f t="shared" si="86"/>
        <v>1776.0001405</v>
      </c>
      <c r="L1405" s="15">
        <f t="shared" si="87"/>
        <v>0.54014050000000002</v>
      </c>
    </row>
    <row r="1406" spans="1:12" ht="15" customHeight="1" x14ac:dyDescent="0.25">
      <c r="A1406" s="10" t="str">
        <f>Raw_Data!A1406</f>
        <v>Maharaja Whiteline Odacio Plus 550-Watt Juicer Mixer Grinder with 3 Jars (Black/Silver)</v>
      </c>
      <c r="B1406" s="10" t="str">
        <f>IFERROR(TRIM(LEFT(Raw_Data!A1406,FIND(" ",Raw_Data!A1406)-1)),Raw_Data!A1406)</f>
        <v>Maharaja</v>
      </c>
      <c r="C1406" s="10" t="str">
        <f>IFERROR(LEFT(Raw_Data!B1406,FIND("|",Raw_Data!B1406)-1),Raw_Data!B1406)</f>
        <v>Home&amp;Kitchen</v>
      </c>
      <c r="D1406" s="11">
        <f>IFERROR(VALUE(SUBSTITUTE(SUBSTITUTE(TRIM(Raw_Data!C1406),"₹",""),",","")),"")</f>
        <v>3349</v>
      </c>
      <c r="E1406" s="11">
        <f>IFERROR(VALUE(SUBSTITUTE(SUBSTITUTE(TRIM(Raw_Data!D1406),"₹",""),",","")),"")</f>
        <v>4799</v>
      </c>
      <c r="F1406" s="12">
        <f>IFERROR(VALUE(SUBSTITUTE(Raw_Data!E1406,"%",""))/100,"")</f>
        <v>0.3</v>
      </c>
      <c r="G1406" s="13">
        <f>IFERROR(VALUE(Raw_Data!F1406),"")</f>
        <v>3.7</v>
      </c>
      <c r="H1406" s="14">
        <f>IFERROR(VALUE(SUBSTITUTE(Raw_Data!G1406,",","")),"")</f>
        <v>4200</v>
      </c>
      <c r="I1406" s="11">
        <f t="shared" si="84"/>
        <v>1450</v>
      </c>
      <c r="J1406" s="11">
        <f t="shared" si="85"/>
        <v>14065800</v>
      </c>
      <c r="K1406" s="1">
        <f t="shared" si="86"/>
        <v>4200.0001406000001</v>
      </c>
      <c r="L1406" s="15">
        <f t="shared" si="87"/>
        <v>0.30014059999999998</v>
      </c>
    </row>
    <row r="1407" spans="1:12" ht="15" customHeight="1" x14ac:dyDescent="0.25">
      <c r="A1407" s="10" t="str">
        <f>Raw_Data!A1407</f>
        <v>Shakti Technology S3 High Pressure Car Washer Machine 1800 Watts and Pressure 120 Bar for Cleaning Car, Bike &amp; Home</v>
      </c>
      <c r="B1407" s="10" t="str">
        <f>IFERROR(TRIM(LEFT(Raw_Data!A1407,FIND(" ",Raw_Data!A1407)-1)),Raw_Data!A1407)</f>
        <v>Shakti</v>
      </c>
      <c r="C1407" s="10" t="str">
        <f>IFERROR(LEFT(Raw_Data!B1407,FIND("|",Raw_Data!B1407)-1),Raw_Data!B1407)</f>
        <v>Home&amp;Kitchen</v>
      </c>
      <c r="D1407" s="11">
        <f>IFERROR(VALUE(SUBSTITUTE(SUBSTITUTE(TRIM(Raw_Data!C1407),"₹",""),",","")),"")</f>
        <v>4899</v>
      </c>
      <c r="E1407" s="11">
        <f>IFERROR(VALUE(SUBSTITUTE(SUBSTITUTE(TRIM(Raw_Data!D1407),"₹",""),",","")),"")</f>
        <v>8999</v>
      </c>
      <c r="F1407" s="12">
        <f>IFERROR(VALUE(SUBSTITUTE(Raw_Data!E1407,"%",""))/100,"")</f>
        <v>0.46</v>
      </c>
      <c r="G1407" s="13">
        <f>IFERROR(VALUE(Raw_Data!F1407),"")</f>
        <v>4.0999999999999996</v>
      </c>
      <c r="H1407" s="14">
        <f>IFERROR(VALUE(SUBSTITUTE(Raw_Data!G1407,",","")),"")</f>
        <v>297</v>
      </c>
      <c r="I1407" s="11">
        <f t="shared" si="84"/>
        <v>4100</v>
      </c>
      <c r="J1407" s="11">
        <f t="shared" si="85"/>
        <v>1455003</v>
      </c>
      <c r="K1407" s="1">
        <f t="shared" si="86"/>
        <v>297.00014069999997</v>
      </c>
      <c r="L1407" s="15">
        <f t="shared" si="87"/>
        <v>0.46014070000000001</v>
      </c>
    </row>
    <row r="1408" spans="1:12" ht="15" customHeight="1" x14ac:dyDescent="0.25">
      <c r="A1408" s="10" t="str">
        <f>Raw_Data!A1408</f>
        <v>Cello Quick Boil Popular Electric Kettle 1 Litre 1200 Watts | Stainless Steel body | Boiler for Water, Silver</v>
      </c>
      <c r="B1408" s="10" t="str">
        <f>IFERROR(TRIM(LEFT(Raw_Data!A1408,FIND(" ",Raw_Data!A1408)-1)),Raw_Data!A1408)</f>
        <v>Cello</v>
      </c>
      <c r="C1408" s="10" t="str">
        <f>IFERROR(LEFT(Raw_Data!B1408,FIND("|",Raw_Data!B1408)-1),Raw_Data!B1408)</f>
        <v>Home&amp;Kitchen</v>
      </c>
      <c r="D1408" s="11">
        <f>IFERROR(VALUE(SUBSTITUTE(SUBSTITUTE(TRIM(Raw_Data!C1408),"₹",""),",","")),"")</f>
        <v>1199</v>
      </c>
      <c r="E1408" s="11">
        <f>IFERROR(VALUE(SUBSTITUTE(SUBSTITUTE(TRIM(Raw_Data!D1408),"₹",""),",","")),"")</f>
        <v>1899</v>
      </c>
      <c r="F1408" s="12">
        <f>IFERROR(VALUE(SUBSTITUTE(Raw_Data!E1408,"%",""))/100,"")</f>
        <v>0.37</v>
      </c>
      <c r="G1408" s="13">
        <f>IFERROR(VALUE(Raw_Data!F1408),"")</f>
        <v>4.2</v>
      </c>
      <c r="H1408" s="14">
        <f>IFERROR(VALUE(SUBSTITUTE(Raw_Data!G1408,",","")),"")</f>
        <v>3858</v>
      </c>
      <c r="I1408" s="11">
        <f t="shared" si="84"/>
        <v>700</v>
      </c>
      <c r="J1408" s="11">
        <f t="shared" si="85"/>
        <v>4625742</v>
      </c>
      <c r="K1408" s="1">
        <f t="shared" si="86"/>
        <v>3858.0001407999998</v>
      </c>
      <c r="L1408" s="15">
        <f t="shared" si="87"/>
        <v>0.37014079999999999</v>
      </c>
    </row>
    <row r="1409" spans="1:12" ht="15" customHeight="1" x14ac:dyDescent="0.25">
      <c r="A1409" s="10" t="str">
        <f>Raw_Data!A1409</f>
        <v>AGARO Glory Cool Mist Ultrasonic Humidifier, 4.5Litres, For Large Area, Room, Home, Office, Adjustable Mist Output, Ceramic Ball Filter, Ultra Quiet, 360° Rotatable Nozzle, Auto Shut Off, Grey</v>
      </c>
      <c r="B1409" s="10" t="str">
        <f>IFERROR(TRIM(LEFT(Raw_Data!A1409,FIND(" ",Raw_Data!A1409)-1)),Raw_Data!A1409)</f>
        <v>AGARO</v>
      </c>
      <c r="C1409" s="10" t="str">
        <f>IFERROR(LEFT(Raw_Data!B1409,FIND("|",Raw_Data!B1409)-1),Raw_Data!B1409)</f>
        <v>Home&amp;Kitchen</v>
      </c>
      <c r="D1409" s="11">
        <f>IFERROR(VALUE(SUBSTITUTE(SUBSTITUTE(TRIM(Raw_Data!C1409),"₹",""),",","")),"")</f>
        <v>3290</v>
      </c>
      <c r="E1409" s="11">
        <f>IFERROR(VALUE(SUBSTITUTE(SUBSTITUTE(TRIM(Raw_Data!D1409),"₹",""),",","")),"")</f>
        <v>5799</v>
      </c>
      <c r="F1409" s="12">
        <f>IFERROR(VALUE(SUBSTITUTE(Raw_Data!E1409,"%",""))/100,"")</f>
        <v>0.43</v>
      </c>
      <c r="G1409" s="13">
        <f>IFERROR(VALUE(Raw_Data!F1409),"")</f>
        <v>4.3</v>
      </c>
      <c r="H1409" s="14">
        <f>IFERROR(VALUE(SUBSTITUTE(Raw_Data!G1409,",","")),"")</f>
        <v>168</v>
      </c>
      <c r="I1409" s="11">
        <f t="shared" si="84"/>
        <v>2509</v>
      </c>
      <c r="J1409" s="11">
        <f t="shared" si="85"/>
        <v>552720</v>
      </c>
      <c r="K1409" s="1">
        <f t="shared" si="86"/>
        <v>168.00014089999999</v>
      </c>
      <c r="L1409" s="15">
        <f t="shared" si="87"/>
        <v>0.43014089999999999</v>
      </c>
    </row>
    <row r="1410" spans="1:12" ht="15" customHeight="1" x14ac:dyDescent="0.25">
      <c r="A1410" s="10" t="str">
        <f>Raw_Data!A1410</f>
        <v>Wolpin 1 Lint Roller with 60 Sheets Remove Clothes Lint Dog Hair Dust (19 x 13 cm) Orange</v>
      </c>
      <c r="B1410" s="10" t="str">
        <f>IFERROR(TRIM(LEFT(Raw_Data!A1410,FIND(" ",Raw_Data!A1410)-1)),Raw_Data!A1410)</f>
        <v>Wolpin</v>
      </c>
      <c r="C1410" s="10" t="str">
        <f>IFERROR(LEFT(Raw_Data!B1410,FIND("|",Raw_Data!B1410)-1),Raw_Data!B1410)</f>
        <v>Home&amp;Kitchen</v>
      </c>
      <c r="D1410" s="11">
        <f>IFERROR(VALUE(SUBSTITUTE(SUBSTITUTE(TRIM(Raw_Data!C1410),"₹",""),",","")),"")</f>
        <v>179</v>
      </c>
      <c r="E1410" s="11">
        <f>IFERROR(VALUE(SUBSTITUTE(SUBSTITUTE(TRIM(Raw_Data!D1410),"₹",""),",","")),"")</f>
        <v>799</v>
      </c>
      <c r="F1410" s="12">
        <f>IFERROR(VALUE(SUBSTITUTE(Raw_Data!E1410,"%",""))/100,"")</f>
        <v>0.78</v>
      </c>
      <c r="G1410" s="13">
        <f>IFERROR(VALUE(Raw_Data!F1410),"")</f>
        <v>3.6</v>
      </c>
      <c r="H1410" s="14">
        <f>IFERROR(VALUE(SUBSTITUTE(Raw_Data!G1410,",","")),"")</f>
        <v>101</v>
      </c>
      <c r="I1410" s="11">
        <f t="shared" ref="I1410:I1466" si="88">IFERROR(E1410-D1410,"")</f>
        <v>620</v>
      </c>
      <c r="J1410" s="11">
        <f t="shared" ref="J1410:J1466" si="89">IFERROR(D1410*H1410,"")</f>
        <v>18079</v>
      </c>
      <c r="K1410" s="1">
        <f t="shared" ref="K1410:K1466" si="90">IF(ISNUMBER(H1410),H1410+ROW()/10000000,"")</f>
        <v>101.000141</v>
      </c>
      <c r="L1410" s="15">
        <f t="shared" ref="L1410:L1466" si="91">IF(ISNUMBER(F1410),F1410+ROW()/10000000,"")</f>
        <v>0.78014099999999997</v>
      </c>
    </row>
    <row r="1411" spans="1:12" ht="15" customHeight="1" x14ac:dyDescent="0.25">
      <c r="A1411" s="10" t="str">
        <f>Raw_Data!A1411</f>
        <v>Abode Kitchen Essential Measuring Cup &amp; Spoon for Spices | for Cooking and Baking Cake | Multipurpose Tablespoon Cups with Ring Holder | (Black)</v>
      </c>
      <c r="B1411" s="10" t="str">
        <f>IFERROR(TRIM(LEFT(Raw_Data!A1411,FIND(" ",Raw_Data!A1411)-1)),Raw_Data!A1411)</f>
        <v>Abode</v>
      </c>
      <c r="C1411" s="10" t="str">
        <f>IFERROR(LEFT(Raw_Data!B1411,FIND("|",Raw_Data!B1411)-1),Raw_Data!B1411)</f>
        <v>Home&amp;Kitchen</v>
      </c>
      <c r="D1411" s="11">
        <f>IFERROR(VALUE(SUBSTITUTE(SUBSTITUTE(TRIM(Raw_Data!C1411),"₹",""),",","")),"")</f>
        <v>149</v>
      </c>
      <c r="E1411" s="11">
        <f>IFERROR(VALUE(SUBSTITUTE(SUBSTITUTE(TRIM(Raw_Data!D1411),"₹",""),",","")),"")</f>
        <v>300</v>
      </c>
      <c r="F1411" s="12">
        <f>IFERROR(VALUE(SUBSTITUTE(Raw_Data!E1411,"%",""))/100,"")</f>
        <v>0.5</v>
      </c>
      <c r="G1411" s="13">
        <f>IFERROR(VALUE(Raw_Data!F1411),"")</f>
        <v>4.0999999999999996</v>
      </c>
      <c r="H1411" s="14">
        <f>IFERROR(VALUE(SUBSTITUTE(Raw_Data!G1411,",","")),"")</f>
        <v>4074</v>
      </c>
      <c r="I1411" s="11">
        <f t="shared" si="88"/>
        <v>151</v>
      </c>
      <c r="J1411" s="11">
        <f t="shared" si="89"/>
        <v>607026</v>
      </c>
      <c r="K1411" s="1">
        <f t="shared" si="90"/>
        <v>4074.0001410999998</v>
      </c>
      <c r="L1411" s="15">
        <f t="shared" si="91"/>
        <v>0.50014110000000001</v>
      </c>
    </row>
    <row r="1412" spans="1:12" ht="15" customHeight="1" x14ac:dyDescent="0.25">
      <c r="A1412" s="10" t="str">
        <f>Raw_Data!A1412</f>
        <v>Sujata Supermix, Mixer Grinder, 900 Watts, 3 Jars (White)</v>
      </c>
      <c r="B1412" s="10" t="str">
        <f>IFERROR(TRIM(LEFT(Raw_Data!A1412,FIND(" ",Raw_Data!A1412)-1)),Raw_Data!A1412)</f>
        <v>Sujata</v>
      </c>
      <c r="C1412" s="10" t="str">
        <f>IFERROR(LEFT(Raw_Data!B1412,FIND("|",Raw_Data!B1412)-1),Raw_Data!B1412)</f>
        <v>Home&amp;Kitchen</v>
      </c>
      <c r="D1412" s="11">
        <f>IFERROR(VALUE(SUBSTITUTE(SUBSTITUTE(TRIM(Raw_Data!C1412),"₹",""),",","")),"")</f>
        <v>5490</v>
      </c>
      <c r="E1412" s="11">
        <f>IFERROR(VALUE(SUBSTITUTE(SUBSTITUTE(TRIM(Raw_Data!D1412),"₹",""),",","")),"")</f>
        <v>7200</v>
      </c>
      <c r="F1412" s="12">
        <f>IFERROR(VALUE(SUBSTITUTE(Raw_Data!E1412,"%",""))/100,"")</f>
        <v>0.24</v>
      </c>
      <c r="G1412" s="13">
        <f>IFERROR(VALUE(Raw_Data!F1412),"")</f>
        <v>4.5</v>
      </c>
      <c r="H1412" s="14">
        <f>IFERROR(VALUE(SUBSTITUTE(Raw_Data!G1412,",","")),"")</f>
        <v>1408</v>
      </c>
      <c r="I1412" s="11">
        <f t="shared" si="88"/>
        <v>1710</v>
      </c>
      <c r="J1412" s="11">
        <f t="shared" si="89"/>
        <v>7729920</v>
      </c>
      <c r="K1412" s="1">
        <f t="shared" si="90"/>
        <v>1408.0001411999999</v>
      </c>
      <c r="L1412" s="15">
        <f t="shared" si="91"/>
        <v>0.2401412</v>
      </c>
    </row>
    <row r="1413" spans="1:12" ht="15" customHeight="1" x14ac:dyDescent="0.25">
      <c r="A1413" s="10" t="str">
        <f>Raw_Data!A1413</f>
        <v>CARDEX Digital Kitchen Weighing Machine Multipurpose Electronic Weight Scale With Back Lite LCD Display for Measuring Food, Cake, Vegetable, Fruit (KITCHEN SCALE)</v>
      </c>
      <c r="B1413" s="10" t="str">
        <f>IFERROR(TRIM(LEFT(Raw_Data!A1413,FIND(" ",Raw_Data!A1413)-1)),Raw_Data!A1413)</f>
        <v>CARDEX</v>
      </c>
      <c r="C1413" s="10" t="str">
        <f>IFERROR(LEFT(Raw_Data!B1413,FIND("|",Raw_Data!B1413)-1),Raw_Data!B1413)</f>
        <v>Home&amp;Kitchen</v>
      </c>
      <c r="D1413" s="11">
        <f>IFERROR(VALUE(SUBSTITUTE(SUBSTITUTE(TRIM(Raw_Data!C1413),"₹",""),",","")),"")</f>
        <v>379</v>
      </c>
      <c r="E1413" s="11">
        <f>IFERROR(VALUE(SUBSTITUTE(SUBSTITUTE(TRIM(Raw_Data!D1413),"₹",""),",","")),"")</f>
        <v>389</v>
      </c>
      <c r="F1413" s="12">
        <f>IFERROR(VALUE(SUBSTITUTE(Raw_Data!E1413,"%",""))/100,"")</f>
        <v>0.03</v>
      </c>
      <c r="G1413" s="13">
        <f>IFERROR(VALUE(Raw_Data!F1413),"")</f>
        <v>4.2</v>
      </c>
      <c r="H1413" s="14">
        <f>IFERROR(VALUE(SUBSTITUTE(Raw_Data!G1413,",","")),"")</f>
        <v>3739</v>
      </c>
      <c r="I1413" s="11">
        <f t="shared" si="88"/>
        <v>10</v>
      </c>
      <c r="J1413" s="11">
        <f t="shared" si="89"/>
        <v>1417081</v>
      </c>
      <c r="K1413" s="1">
        <f t="shared" si="90"/>
        <v>3739.0001413</v>
      </c>
      <c r="L1413" s="15">
        <f t="shared" si="91"/>
        <v>3.0141299999999999E-2</v>
      </c>
    </row>
    <row r="1414" spans="1:12" ht="15" customHeight="1" x14ac:dyDescent="0.25">
      <c r="A1414" s="10" t="str">
        <f>Raw_Data!A1414</f>
        <v>V-Guard Zenora RO+UF+MB Water Purifier | Suitable for water with TDS up to 2000 ppm | 8 Stage Purification with World-class RO Membrane and Advanced UF Membrane | Free PAN India Installation &amp; 1-Year Comprehensive Warranty | 7 Litre, Black</v>
      </c>
      <c r="B1414" s="10" t="str">
        <f>IFERROR(TRIM(LEFT(Raw_Data!A1414,FIND(" ",Raw_Data!A1414)-1)),Raw_Data!A1414)</f>
        <v>V-Guard</v>
      </c>
      <c r="C1414" s="10" t="str">
        <f>IFERROR(LEFT(Raw_Data!B1414,FIND("|",Raw_Data!B1414)-1),Raw_Data!B1414)</f>
        <v>Home&amp;Kitchen</v>
      </c>
      <c r="D1414" s="11">
        <f>IFERROR(VALUE(SUBSTITUTE(SUBSTITUTE(TRIM(Raw_Data!C1414),"₹",""),",","")),"")</f>
        <v>8699</v>
      </c>
      <c r="E1414" s="11">
        <f>IFERROR(VALUE(SUBSTITUTE(SUBSTITUTE(TRIM(Raw_Data!D1414),"₹",""),",","")),"")</f>
        <v>13049</v>
      </c>
      <c r="F1414" s="12">
        <f>IFERROR(VALUE(SUBSTITUTE(Raw_Data!E1414,"%",""))/100,"")</f>
        <v>0.33</v>
      </c>
      <c r="G1414" s="13">
        <f>IFERROR(VALUE(Raw_Data!F1414),"")</f>
        <v>4.3</v>
      </c>
      <c r="H1414" s="14">
        <f>IFERROR(VALUE(SUBSTITUTE(Raw_Data!G1414,",","")),"")</f>
        <v>5891</v>
      </c>
      <c r="I1414" s="11">
        <f t="shared" si="88"/>
        <v>4350</v>
      </c>
      <c r="J1414" s="11">
        <f t="shared" si="89"/>
        <v>51245809</v>
      </c>
      <c r="K1414" s="1">
        <f t="shared" si="90"/>
        <v>5891.0001413999998</v>
      </c>
      <c r="L1414" s="15">
        <f t="shared" si="91"/>
        <v>0.33014140000000003</v>
      </c>
    </row>
    <row r="1415" spans="1:12" ht="15" customHeight="1" x14ac:dyDescent="0.25">
      <c r="A1415" s="10" t="str">
        <f>Raw_Data!A1415</f>
        <v>Bajaj Rex DLX 750 W 4 Jars Mixer Grinder, White and Blue</v>
      </c>
      <c r="B1415" s="10" t="str">
        <f>IFERROR(TRIM(LEFT(Raw_Data!A1415,FIND(" ",Raw_Data!A1415)-1)),Raw_Data!A1415)</f>
        <v>Bajaj</v>
      </c>
      <c r="C1415" s="10" t="str">
        <f>IFERROR(LEFT(Raw_Data!B1415,FIND("|",Raw_Data!B1415)-1),Raw_Data!B1415)</f>
        <v>Home&amp;Kitchen</v>
      </c>
      <c r="D1415" s="11">
        <f>IFERROR(VALUE(SUBSTITUTE(SUBSTITUTE(TRIM(Raw_Data!C1415),"₹",""),",","")),"")</f>
        <v>3041.67</v>
      </c>
      <c r="E1415" s="11">
        <f>IFERROR(VALUE(SUBSTITUTE(SUBSTITUTE(TRIM(Raw_Data!D1415),"₹",""),",","")),"")</f>
        <v>5999</v>
      </c>
      <c r="F1415" s="12">
        <f>IFERROR(VALUE(SUBSTITUTE(Raw_Data!E1415,"%",""))/100,"")</f>
        <v>0.49</v>
      </c>
      <c r="G1415" s="13">
        <f>IFERROR(VALUE(Raw_Data!F1415),"")</f>
        <v>4</v>
      </c>
      <c r="H1415" s="14">
        <f>IFERROR(VALUE(SUBSTITUTE(Raw_Data!G1415,",","")),"")</f>
        <v>777</v>
      </c>
      <c r="I1415" s="11">
        <f t="shared" si="88"/>
        <v>2957.33</v>
      </c>
      <c r="J1415" s="11">
        <f t="shared" si="89"/>
        <v>2363377.59</v>
      </c>
      <c r="K1415" s="1">
        <f t="shared" si="90"/>
        <v>777.00014150000004</v>
      </c>
      <c r="L1415" s="15">
        <f t="shared" si="91"/>
        <v>0.49014150000000001</v>
      </c>
    </row>
    <row r="1416" spans="1:12" ht="15" customHeight="1" x14ac:dyDescent="0.25">
      <c r="A1416" s="10" t="str">
        <f>Raw_Data!A1416</f>
        <v>KENT 16051 Hand Blender 300 W | 5 Variable Speed Control | Multiple Beaters &amp; Dough Hooks | Turbo Function</v>
      </c>
      <c r="B1416" s="10" t="str">
        <f>IFERROR(TRIM(LEFT(Raw_Data!A1416,FIND(" ",Raw_Data!A1416)-1)),Raw_Data!A1416)</f>
        <v>KENT</v>
      </c>
      <c r="C1416" s="10" t="str">
        <f>IFERROR(LEFT(Raw_Data!B1416,FIND("|",Raw_Data!B1416)-1),Raw_Data!B1416)</f>
        <v>Home&amp;Kitchen</v>
      </c>
      <c r="D1416" s="11">
        <f>IFERROR(VALUE(SUBSTITUTE(SUBSTITUTE(TRIM(Raw_Data!C1416),"₹",""),",","")),"")</f>
        <v>1745</v>
      </c>
      <c r="E1416" s="11">
        <f>IFERROR(VALUE(SUBSTITUTE(SUBSTITUTE(TRIM(Raw_Data!D1416),"₹",""),",","")),"")</f>
        <v>2400</v>
      </c>
      <c r="F1416" s="12">
        <f>IFERROR(VALUE(SUBSTITUTE(Raw_Data!E1416,"%",""))/100,"")</f>
        <v>0.27</v>
      </c>
      <c r="G1416" s="13">
        <f>IFERROR(VALUE(Raw_Data!F1416),"")</f>
        <v>4.2</v>
      </c>
      <c r="H1416" s="14">
        <f>IFERROR(VALUE(SUBSTITUTE(Raw_Data!G1416,",","")),"")</f>
        <v>14160</v>
      </c>
      <c r="I1416" s="11">
        <f t="shared" si="88"/>
        <v>655</v>
      </c>
      <c r="J1416" s="11">
        <f t="shared" si="89"/>
        <v>24709200</v>
      </c>
      <c r="K1416" s="1">
        <f t="shared" si="90"/>
        <v>14160.0001416</v>
      </c>
      <c r="L1416" s="15">
        <f t="shared" si="91"/>
        <v>0.27014160000000004</v>
      </c>
    </row>
    <row r="1417" spans="1:12" ht="15" customHeight="1" x14ac:dyDescent="0.25">
      <c r="A1417" s="10" t="str">
        <f>Raw_Data!A1417</f>
        <v>Prestige PIC 15.0+ 1900-Watt Induction Cooktop (Black)</v>
      </c>
      <c r="B1417" s="10" t="str">
        <f>IFERROR(TRIM(LEFT(Raw_Data!A1417,FIND(" ",Raw_Data!A1417)-1)),Raw_Data!A1417)</f>
        <v>Prestige</v>
      </c>
      <c r="C1417" s="10" t="str">
        <f>IFERROR(LEFT(Raw_Data!B1417,FIND("|",Raw_Data!B1417)-1),Raw_Data!B1417)</f>
        <v>Home&amp;Kitchen</v>
      </c>
      <c r="D1417" s="11">
        <f>IFERROR(VALUE(SUBSTITUTE(SUBSTITUTE(TRIM(Raw_Data!C1417),"₹",""),",","")),"")</f>
        <v>3180</v>
      </c>
      <c r="E1417" s="11">
        <f>IFERROR(VALUE(SUBSTITUTE(SUBSTITUTE(TRIM(Raw_Data!D1417),"₹",""),",","")),"")</f>
        <v>5295</v>
      </c>
      <c r="F1417" s="12">
        <f>IFERROR(VALUE(SUBSTITUTE(Raw_Data!E1417,"%",""))/100,"")</f>
        <v>0.4</v>
      </c>
      <c r="G1417" s="13">
        <f>IFERROR(VALUE(Raw_Data!F1417),"")</f>
        <v>4.2</v>
      </c>
      <c r="H1417" s="14">
        <f>IFERROR(VALUE(SUBSTITUTE(Raw_Data!G1417,",","")),"")</f>
        <v>6919</v>
      </c>
      <c r="I1417" s="11">
        <f t="shared" si="88"/>
        <v>2115</v>
      </c>
      <c r="J1417" s="11">
        <f t="shared" si="89"/>
        <v>22002420</v>
      </c>
      <c r="K1417" s="1">
        <f t="shared" si="90"/>
        <v>6919.0001417000003</v>
      </c>
      <c r="L1417" s="15">
        <f t="shared" si="91"/>
        <v>0.40014170000000004</v>
      </c>
    </row>
    <row r="1418" spans="1:12" ht="15" customHeight="1" x14ac:dyDescent="0.25">
      <c r="A1418" s="10" t="str">
        <f>Raw_Data!A1418</f>
        <v>Aqua d pure Active Copper 12-L RO+UV Water Filter Purifier for Home, Kitchen Fully Automatic UF+TDS Controller</v>
      </c>
      <c r="B1418" s="10" t="str">
        <f>IFERROR(TRIM(LEFT(Raw_Data!A1418,FIND(" ",Raw_Data!A1418)-1)),Raw_Data!A1418)</f>
        <v>Aqua</v>
      </c>
      <c r="C1418" s="10" t="str">
        <f>IFERROR(LEFT(Raw_Data!B1418,FIND("|",Raw_Data!B1418)-1),Raw_Data!B1418)</f>
        <v>Home&amp;Kitchen</v>
      </c>
      <c r="D1418" s="11">
        <f>IFERROR(VALUE(SUBSTITUTE(SUBSTITUTE(TRIM(Raw_Data!C1418),"₹",""),",","")),"")</f>
        <v>4999</v>
      </c>
      <c r="E1418" s="11">
        <f>IFERROR(VALUE(SUBSTITUTE(SUBSTITUTE(TRIM(Raw_Data!D1418),"₹",""),",","")),"")</f>
        <v>24999</v>
      </c>
      <c r="F1418" s="12">
        <f>IFERROR(VALUE(SUBSTITUTE(Raw_Data!E1418,"%",""))/100,"")</f>
        <v>0.8</v>
      </c>
      <c r="G1418" s="13">
        <f>IFERROR(VALUE(Raw_Data!F1418),"")</f>
        <v>4.5</v>
      </c>
      <c r="H1418" s="14">
        <f>IFERROR(VALUE(SUBSTITUTE(Raw_Data!G1418,",","")),"")</f>
        <v>287</v>
      </c>
      <c r="I1418" s="11">
        <f t="shared" si="88"/>
        <v>20000</v>
      </c>
      <c r="J1418" s="11">
        <f t="shared" si="89"/>
        <v>1434713</v>
      </c>
      <c r="K1418" s="1">
        <f t="shared" si="90"/>
        <v>287.00014179999999</v>
      </c>
      <c r="L1418" s="15">
        <f t="shared" si="91"/>
        <v>0.80014180000000001</v>
      </c>
    </row>
    <row r="1419" spans="1:12" ht="15" customHeight="1" x14ac:dyDescent="0.25">
      <c r="A1419" s="10" t="str">
        <f>Raw_Data!A1419</f>
        <v>PrettyKrafts Laundry Square Shape Basket Bag/Foldable/Multipurpose/Carry Handles/Slanting Lid for Home, Cloth Storage,(Single) Jute Grey</v>
      </c>
      <c r="B1419" s="10" t="str">
        <f>IFERROR(TRIM(LEFT(Raw_Data!A1419,FIND(" ",Raw_Data!A1419)-1)),Raw_Data!A1419)</f>
        <v>PrettyKrafts</v>
      </c>
      <c r="C1419" s="10" t="str">
        <f>IFERROR(LEFT(Raw_Data!B1419,FIND("|",Raw_Data!B1419)-1),Raw_Data!B1419)</f>
        <v>Home&amp;Kitchen</v>
      </c>
      <c r="D1419" s="11">
        <f>IFERROR(VALUE(SUBSTITUTE(SUBSTITUTE(TRIM(Raw_Data!C1419),"₹",""),",","")),"")</f>
        <v>390</v>
      </c>
      <c r="E1419" s="11">
        <f>IFERROR(VALUE(SUBSTITUTE(SUBSTITUTE(TRIM(Raw_Data!D1419),"₹",""),",","")),"")</f>
        <v>799</v>
      </c>
      <c r="F1419" s="12">
        <f>IFERROR(VALUE(SUBSTITUTE(Raw_Data!E1419,"%",""))/100,"")</f>
        <v>0.51</v>
      </c>
      <c r="G1419" s="13">
        <f>IFERROR(VALUE(Raw_Data!F1419),"")</f>
        <v>3.8</v>
      </c>
      <c r="H1419" s="14">
        <f>IFERROR(VALUE(SUBSTITUTE(Raw_Data!G1419,",","")),"")</f>
        <v>287</v>
      </c>
      <c r="I1419" s="11">
        <f t="shared" si="88"/>
        <v>409</v>
      </c>
      <c r="J1419" s="11">
        <f t="shared" si="89"/>
        <v>111930</v>
      </c>
      <c r="K1419" s="1">
        <f t="shared" si="90"/>
        <v>287.00014190000002</v>
      </c>
      <c r="L1419" s="15">
        <f t="shared" si="91"/>
        <v>0.51014190000000004</v>
      </c>
    </row>
    <row r="1420" spans="1:12" ht="15" customHeight="1" x14ac:dyDescent="0.25">
      <c r="A1420" s="10" t="str">
        <f>Raw_Data!A1420</f>
        <v>Libra Roti Maker Electric Automatic | chapati Maker Electric Automatic | roti Maker Machine with 900 Watts for Making Roti/Chapati/Parathas - Stainless Steel</v>
      </c>
      <c r="B1420" s="10" t="str">
        <f>IFERROR(TRIM(LEFT(Raw_Data!A1420,FIND(" ",Raw_Data!A1420)-1)),Raw_Data!A1420)</f>
        <v>Libra</v>
      </c>
      <c r="C1420" s="10" t="str">
        <f>IFERROR(LEFT(Raw_Data!B1420,FIND("|",Raw_Data!B1420)-1),Raw_Data!B1420)</f>
        <v>Home&amp;Kitchen</v>
      </c>
      <c r="D1420" s="11">
        <f>IFERROR(VALUE(SUBSTITUTE(SUBSTITUTE(TRIM(Raw_Data!C1420),"₹",""),",","")),"")</f>
        <v>1999</v>
      </c>
      <c r="E1420" s="11">
        <f>IFERROR(VALUE(SUBSTITUTE(SUBSTITUTE(TRIM(Raw_Data!D1420),"₹",""),",","")),"")</f>
        <v>2999</v>
      </c>
      <c r="F1420" s="12">
        <f>IFERROR(VALUE(SUBSTITUTE(Raw_Data!E1420,"%",""))/100,"")</f>
        <v>0.33</v>
      </c>
      <c r="G1420" s="13">
        <f>IFERROR(VALUE(Raw_Data!F1420),"")</f>
        <v>4.4000000000000004</v>
      </c>
      <c r="H1420" s="14">
        <f>IFERROR(VALUE(SUBSTITUTE(Raw_Data!G1420,",","")),"")</f>
        <v>388</v>
      </c>
      <c r="I1420" s="11">
        <f t="shared" si="88"/>
        <v>1000</v>
      </c>
      <c r="J1420" s="11">
        <f t="shared" si="89"/>
        <v>775612</v>
      </c>
      <c r="K1420" s="1">
        <f t="shared" si="90"/>
        <v>388.00014199999998</v>
      </c>
      <c r="L1420" s="15">
        <f t="shared" si="91"/>
        <v>0.33014199999999999</v>
      </c>
    </row>
    <row r="1421" spans="1:12" ht="15" customHeight="1" x14ac:dyDescent="0.25">
      <c r="A1421" s="10" t="str">
        <f>Raw_Data!A1421</f>
        <v>Glen 3 in 1 Electric Multi Cooker - Steam, Cook &amp; Egg Boiler with 350 W (SA 3035MC) - 350 Watts</v>
      </c>
      <c r="B1421" s="10" t="str">
        <f>IFERROR(TRIM(LEFT(Raw_Data!A1421,FIND(" ",Raw_Data!A1421)-1)),Raw_Data!A1421)</f>
        <v>Glen</v>
      </c>
      <c r="C1421" s="10" t="str">
        <f>IFERROR(LEFT(Raw_Data!B1421,FIND("|",Raw_Data!B1421)-1),Raw_Data!B1421)</f>
        <v>Home&amp;Kitchen</v>
      </c>
      <c r="D1421" s="11">
        <f>IFERROR(VALUE(SUBSTITUTE(SUBSTITUTE(TRIM(Raw_Data!C1421),"₹",""),",","")),"")</f>
        <v>1624</v>
      </c>
      <c r="E1421" s="11">
        <f>IFERROR(VALUE(SUBSTITUTE(SUBSTITUTE(TRIM(Raw_Data!D1421),"₹",""),",","")),"")</f>
        <v>2495</v>
      </c>
      <c r="F1421" s="12">
        <f>IFERROR(VALUE(SUBSTITUTE(Raw_Data!E1421,"%",""))/100,"")</f>
        <v>0.35</v>
      </c>
      <c r="G1421" s="13">
        <f>IFERROR(VALUE(Raw_Data!F1421),"")</f>
        <v>4.0999999999999996</v>
      </c>
      <c r="H1421" s="14">
        <f>IFERROR(VALUE(SUBSTITUTE(Raw_Data!G1421,",","")),"")</f>
        <v>827</v>
      </c>
      <c r="I1421" s="11">
        <f t="shared" si="88"/>
        <v>871</v>
      </c>
      <c r="J1421" s="11">
        <f t="shared" si="89"/>
        <v>1343048</v>
      </c>
      <c r="K1421" s="1">
        <f t="shared" si="90"/>
        <v>827.00014209999995</v>
      </c>
      <c r="L1421" s="15">
        <f t="shared" si="91"/>
        <v>0.35014209999999996</v>
      </c>
    </row>
    <row r="1422" spans="1:12" ht="15" customHeight="1" x14ac:dyDescent="0.25">
      <c r="A1422" s="10" t="str">
        <f>Raw_Data!A1422</f>
        <v>Dynore Stainless Steel Set of 4 Measuring Cup and 4 Measuring Spoon</v>
      </c>
      <c r="B1422" s="10" t="str">
        <f>IFERROR(TRIM(LEFT(Raw_Data!A1422,FIND(" ",Raw_Data!A1422)-1)),Raw_Data!A1422)</f>
        <v>Dynore</v>
      </c>
      <c r="C1422" s="10" t="str">
        <f>IFERROR(LEFT(Raw_Data!B1422,FIND("|",Raw_Data!B1422)-1),Raw_Data!B1422)</f>
        <v>Home&amp;Kitchen</v>
      </c>
      <c r="D1422" s="11">
        <f>IFERROR(VALUE(SUBSTITUTE(SUBSTITUTE(TRIM(Raw_Data!C1422),"₹",""),",","")),"")</f>
        <v>184</v>
      </c>
      <c r="E1422" s="11">
        <f>IFERROR(VALUE(SUBSTITUTE(SUBSTITUTE(TRIM(Raw_Data!D1422),"₹",""),",","")),"")</f>
        <v>450</v>
      </c>
      <c r="F1422" s="12">
        <f>IFERROR(VALUE(SUBSTITUTE(Raw_Data!E1422,"%",""))/100,"")</f>
        <v>0.59</v>
      </c>
      <c r="G1422" s="13">
        <f>IFERROR(VALUE(Raw_Data!F1422),"")</f>
        <v>4.2</v>
      </c>
      <c r="H1422" s="14">
        <f>IFERROR(VALUE(SUBSTITUTE(Raw_Data!G1422,",","")),"")</f>
        <v>4971</v>
      </c>
      <c r="I1422" s="11">
        <f t="shared" si="88"/>
        <v>266</v>
      </c>
      <c r="J1422" s="11">
        <f t="shared" si="89"/>
        <v>914664</v>
      </c>
      <c r="K1422" s="1">
        <f t="shared" si="90"/>
        <v>4971.0001421999996</v>
      </c>
      <c r="L1422" s="15">
        <f t="shared" si="91"/>
        <v>0.59014219999999995</v>
      </c>
    </row>
    <row r="1423" spans="1:12" ht="15" customHeight="1" x14ac:dyDescent="0.25">
      <c r="A1423" s="10" t="str">
        <f>Raw_Data!A1423</f>
        <v>Lint Remover For Clothes With 1 Year Warranty Fabric Shaver Lint Shaver for Woolen Clothes Blanket Jackets Stainless Steel Blades,Bedding, Clothes and Furniture Best Remover for Fabrics Portable Lint Shavers (White Orange)</v>
      </c>
      <c r="B1423" s="10" t="str">
        <f>IFERROR(TRIM(LEFT(Raw_Data!A1423,FIND(" ",Raw_Data!A1423)-1)),Raw_Data!A1423)</f>
        <v>Lint</v>
      </c>
      <c r="C1423" s="10" t="str">
        <f>IFERROR(LEFT(Raw_Data!B1423,FIND("|",Raw_Data!B1423)-1),Raw_Data!B1423)</f>
        <v>Home&amp;Kitchen</v>
      </c>
      <c r="D1423" s="11">
        <f>IFERROR(VALUE(SUBSTITUTE(SUBSTITUTE(TRIM(Raw_Data!C1423),"₹",""),",","")),"")</f>
        <v>445</v>
      </c>
      <c r="E1423" s="11">
        <f>IFERROR(VALUE(SUBSTITUTE(SUBSTITUTE(TRIM(Raw_Data!D1423),"₹",""),",","")),"")</f>
        <v>999</v>
      </c>
      <c r="F1423" s="12">
        <f>IFERROR(VALUE(SUBSTITUTE(Raw_Data!E1423,"%",""))/100,"")</f>
        <v>0.55000000000000004</v>
      </c>
      <c r="G1423" s="13">
        <f>IFERROR(VALUE(Raw_Data!F1423),"")</f>
        <v>4.3</v>
      </c>
      <c r="H1423" s="14">
        <f>IFERROR(VALUE(SUBSTITUTE(Raw_Data!G1423,",","")),"")</f>
        <v>229</v>
      </c>
      <c r="I1423" s="11">
        <f t="shared" si="88"/>
        <v>554</v>
      </c>
      <c r="J1423" s="11">
        <f t="shared" si="89"/>
        <v>101905</v>
      </c>
      <c r="K1423" s="1">
        <f t="shared" si="90"/>
        <v>229.00014229999999</v>
      </c>
      <c r="L1423" s="15">
        <f t="shared" si="91"/>
        <v>0.55014230000000008</v>
      </c>
    </row>
    <row r="1424" spans="1:12" ht="15" customHeight="1" x14ac:dyDescent="0.25">
      <c r="A1424" s="10" t="str">
        <f>Raw_Data!A1424</f>
        <v>Monitor AC Stand/Heavy Duty Air Conditioner Outdoor Unit Mounting Bracket</v>
      </c>
      <c r="B1424" s="10" t="str">
        <f>IFERROR(TRIM(LEFT(Raw_Data!A1424,FIND(" ",Raw_Data!A1424)-1)),Raw_Data!A1424)</f>
        <v>Monitor</v>
      </c>
      <c r="C1424" s="10" t="str">
        <f>IFERROR(LEFT(Raw_Data!B1424,FIND("|",Raw_Data!B1424)-1),Raw_Data!B1424)</f>
        <v>Home&amp;Kitchen</v>
      </c>
      <c r="D1424" s="11">
        <f>IFERROR(VALUE(SUBSTITUTE(SUBSTITUTE(TRIM(Raw_Data!C1424),"₹",""),",","")),"")</f>
        <v>699</v>
      </c>
      <c r="E1424" s="11">
        <f>IFERROR(VALUE(SUBSTITUTE(SUBSTITUTE(TRIM(Raw_Data!D1424),"₹",""),",","")),"")</f>
        <v>1690</v>
      </c>
      <c r="F1424" s="12">
        <f>IFERROR(VALUE(SUBSTITUTE(Raw_Data!E1424,"%",""))/100,"")</f>
        <v>0.59</v>
      </c>
      <c r="G1424" s="13">
        <f>IFERROR(VALUE(Raw_Data!F1424),"")</f>
        <v>4.0999999999999996</v>
      </c>
      <c r="H1424" s="14">
        <f>IFERROR(VALUE(SUBSTITUTE(Raw_Data!G1424,",","")),"")</f>
        <v>3524</v>
      </c>
      <c r="I1424" s="11">
        <f t="shared" si="88"/>
        <v>991</v>
      </c>
      <c r="J1424" s="11">
        <f t="shared" si="89"/>
        <v>2463276</v>
      </c>
      <c r="K1424" s="1">
        <f t="shared" si="90"/>
        <v>3524.0001424000002</v>
      </c>
      <c r="L1424" s="15">
        <f t="shared" si="91"/>
        <v>0.59014239999999996</v>
      </c>
    </row>
    <row r="1425" spans="1:12" ht="15" customHeight="1" x14ac:dyDescent="0.25">
      <c r="A1425" s="10" t="str">
        <f>Raw_Data!A1425</f>
        <v>iBELL Induction Cooktop, 2000W with Auto Shut Off and Overheat Protection, BIS Certified, Black</v>
      </c>
      <c r="B1425" s="10" t="str">
        <f>IFERROR(TRIM(LEFT(Raw_Data!A1425,FIND(" ",Raw_Data!A1425)-1)),Raw_Data!A1425)</f>
        <v>iBELL</v>
      </c>
      <c r="C1425" s="10" t="str">
        <f>IFERROR(LEFT(Raw_Data!B1425,FIND("|",Raw_Data!B1425)-1),Raw_Data!B1425)</f>
        <v>Home&amp;Kitchen</v>
      </c>
      <c r="D1425" s="11">
        <f>IFERROR(VALUE(SUBSTITUTE(SUBSTITUTE(TRIM(Raw_Data!C1425),"₹",""),",","")),"")</f>
        <v>1601</v>
      </c>
      <c r="E1425" s="11">
        <f>IFERROR(VALUE(SUBSTITUTE(SUBSTITUTE(TRIM(Raw_Data!D1425),"₹",""),",","")),"")</f>
        <v>3890</v>
      </c>
      <c r="F1425" s="12">
        <f>IFERROR(VALUE(SUBSTITUTE(Raw_Data!E1425,"%",""))/100,"")</f>
        <v>0.59</v>
      </c>
      <c r="G1425" s="13">
        <f>IFERROR(VALUE(Raw_Data!F1425),"")</f>
        <v>4.2</v>
      </c>
      <c r="H1425" s="14">
        <f>IFERROR(VALUE(SUBSTITUTE(Raw_Data!G1425,",","")),"")</f>
        <v>156</v>
      </c>
      <c r="I1425" s="11">
        <f t="shared" si="88"/>
        <v>2289</v>
      </c>
      <c r="J1425" s="11">
        <f t="shared" si="89"/>
        <v>249756</v>
      </c>
      <c r="K1425" s="1">
        <f t="shared" si="90"/>
        <v>156.00014250000001</v>
      </c>
      <c r="L1425" s="15">
        <f t="shared" si="91"/>
        <v>0.59014250000000001</v>
      </c>
    </row>
    <row r="1426" spans="1:12" ht="15" customHeight="1" x14ac:dyDescent="0.25">
      <c r="A1426" s="10" t="str">
        <f>Raw_Data!A1426</f>
        <v>KENT POWP-Sediment Filter 10'' Thread WCAP</v>
      </c>
      <c r="B1426" s="10" t="str">
        <f>IFERROR(TRIM(LEFT(Raw_Data!A1426,FIND(" ",Raw_Data!A1426)-1)),Raw_Data!A1426)</f>
        <v>KENT</v>
      </c>
      <c r="C1426" s="10" t="str">
        <f>IFERROR(LEFT(Raw_Data!B1426,FIND("|",Raw_Data!B1426)-1),Raw_Data!B1426)</f>
        <v>Home&amp;Kitchen</v>
      </c>
      <c r="D1426" s="11">
        <f>IFERROR(VALUE(SUBSTITUTE(SUBSTITUTE(TRIM(Raw_Data!C1426),"₹",""),",","")),"")</f>
        <v>231</v>
      </c>
      <c r="E1426" s="11">
        <f>IFERROR(VALUE(SUBSTITUTE(SUBSTITUTE(TRIM(Raw_Data!D1426),"₹",""),",","")),"")</f>
        <v>260</v>
      </c>
      <c r="F1426" s="12">
        <f>IFERROR(VALUE(SUBSTITUTE(Raw_Data!E1426,"%",""))/100,"")</f>
        <v>0.11</v>
      </c>
      <c r="G1426" s="13">
        <f>IFERROR(VALUE(Raw_Data!F1426),"")</f>
        <v>4.0999999999999996</v>
      </c>
      <c r="H1426" s="14">
        <f>IFERROR(VALUE(SUBSTITUTE(Raw_Data!G1426,",","")),"")</f>
        <v>490</v>
      </c>
      <c r="I1426" s="11">
        <f t="shared" si="88"/>
        <v>29</v>
      </c>
      <c r="J1426" s="11">
        <f t="shared" si="89"/>
        <v>113190</v>
      </c>
      <c r="K1426" s="1">
        <f t="shared" si="90"/>
        <v>490.0001426</v>
      </c>
      <c r="L1426" s="15">
        <f t="shared" si="91"/>
        <v>0.11014260000000001</v>
      </c>
    </row>
    <row r="1427" spans="1:12" ht="15" customHeight="1" x14ac:dyDescent="0.25">
      <c r="A1427" s="10" t="str">
        <f>Raw_Data!A1427</f>
        <v>LACOPINE Mini Pocket Size Lint Roller (White)</v>
      </c>
      <c r="B1427" s="10" t="str">
        <f>IFERROR(TRIM(LEFT(Raw_Data!A1427,FIND(" ",Raw_Data!A1427)-1)),Raw_Data!A1427)</f>
        <v>LACOPINE</v>
      </c>
      <c r="C1427" s="10" t="str">
        <f>IFERROR(LEFT(Raw_Data!B1427,FIND("|",Raw_Data!B1427)-1),Raw_Data!B1427)</f>
        <v>Home&amp;Kitchen</v>
      </c>
      <c r="D1427" s="11">
        <f>IFERROR(VALUE(SUBSTITUTE(SUBSTITUTE(TRIM(Raw_Data!C1427),"₹",""),",","")),"")</f>
        <v>369</v>
      </c>
      <c r="E1427" s="11">
        <f>IFERROR(VALUE(SUBSTITUTE(SUBSTITUTE(TRIM(Raw_Data!D1427),"₹",""),",","")),"")</f>
        <v>599</v>
      </c>
      <c r="F1427" s="12">
        <f>IFERROR(VALUE(SUBSTITUTE(Raw_Data!E1427,"%",""))/100,"")</f>
        <v>0.38</v>
      </c>
      <c r="G1427" s="13">
        <f>IFERROR(VALUE(Raw_Data!F1427),"")</f>
        <v>3.9</v>
      </c>
      <c r="H1427" s="14">
        <f>IFERROR(VALUE(SUBSTITUTE(Raw_Data!G1427,",","")),"")</f>
        <v>82</v>
      </c>
      <c r="I1427" s="11">
        <f t="shared" si="88"/>
        <v>230</v>
      </c>
      <c r="J1427" s="11">
        <f t="shared" si="89"/>
        <v>30258</v>
      </c>
      <c r="K1427" s="1">
        <f t="shared" si="90"/>
        <v>82.000142699999998</v>
      </c>
      <c r="L1427" s="15">
        <f t="shared" si="91"/>
        <v>0.3801427</v>
      </c>
    </row>
    <row r="1428" spans="1:12" ht="15" customHeight="1" x14ac:dyDescent="0.25">
      <c r="A1428" s="10" t="str">
        <f>Raw_Data!A1428</f>
        <v>iBELL SEK170BM Premium Electric Kettle, 1.7 Litre, Stainless Steel with Coating,1500W Auto Cut-Off, Silver with Black</v>
      </c>
      <c r="B1428" s="10" t="str">
        <f>IFERROR(TRIM(LEFT(Raw_Data!A1428,FIND(" ",Raw_Data!A1428)-1)),Raw_Data!A1428)</f>
        <v>iBELL</v>
      </c>
      <c r="C1428" s="10" t="str">
        <f>IFERROR(LEFT(Raw_Data!B1428,FIND("|",Raw_Data!B1428)-1),Raw_Data!B1428)</f>
        <v>Home&amp;Kitchen</v>
      </c>
      <c r="D1428" s="11">
        <f>IFERROR(VALUE(SUBSTITUTE(SUBSTITUTE(TRIM(Raw_Data!C1428),"₹",""),",","")),"")</f>
        <v>809</v>
      </c>
      <c r="E1428" s="11">
        <f>IFERROR(VALUE(SUBSTITUTE(SUBSTITUTE(TRIM(Raw_Data!D1428),"₹",""),",","")),"")</f>
        <v>1950</v>
      </c>
      <c r="F1428" s="12">
        <f>IFERROR(VALUE(SUBSTITUTE(Raw_Data!E1428,"%",""))/100,"")</f>
        <v>0.59</v>
      </c>
      <c r="G1428" s="13">
        <f>IFERROR(VALUE(Raw_Data!F1428),"")</f>
        <v>3.9</v>
      </c>
      <c r="H1428" s="14">
        <f>IFERROR(VALUE(SUBSTITUTE(Raw_Data!G1428,",","")),"")</f>
        <v>710</v>
      </c>
      <c r="I1428" s="11">
        <f t="shared" si="88"/>
        <v>1141</v>
      </c>
      <c r="J1428" s="11">
        <f t="shared" si="89"/>
        <v>574390</v>
      </c>
      <c r="K1428" s="1">
        <f t="shared" si="90"/>
        <v>710.00014280000005</v>
      </c>
      <c r="L1428" s="15">
        <f t="shared" si="91"/>
        <v>0.59014279999999997</v>
      </c>
    </row>
    <row r="1429" spans="1:12" ht="15" customHeight="1" x14ac:dyDescent="0.25">
      <c r="A1429" s="10" t="str">
        <f>Raw_Data!A1429</f>
        <v>Activa Easy Mix Nutri Mixer Grinder 500 Watt | Long Lasting Shock Proof ABS Body | Heavy Duty Motor With Nano - Grinding Technology</v>
      </c>
      <c r="B1429" s="10" t="str">
        <f>IFERROR(TRIM(LEFT(Raw_Data!A1429,FIND(" ",Raw_Data!A1429)-1)),Raw_Data!A1429)</f>
        <v>Activa</v>
      </c>
      <c r="C1429" s="10" t="str">
        <f>IFERROR(LEFT(Raw_Data!B1429,FIND("|",Raw_Data!B1429)-1),Raw_Data!B1429)</f>
        <v>Home&amp;Kitchen</v>
      </c>
      <c r="D1429" s="11">
        <f>IFERROR(VALUE(SUBSTITUTE(SUBSTITUTE(TRIM(Raw_Data!C1429),"₹",""),",","")),"")</f>
        <v>1199</v>
      </c>
      <c r="E1429" s="11">
        <f>IFERROR(VALUE(SUBSTITUTE(SUBSTITUTE(TRIM(Raw_Data!D1429),"₹",""),",","")),"")</f>
        <v>2990</v>
      </c>
      <c r="F1429" s="12">
        <f>IFERROR(VALUE(SUBSTITUTE(Raw_Data!E1429,"%",""))/100,"")</f>
        <v>0.6</v>
      </c>
      <c r="G1429" s="13">
        <f>IFERROR(VALUE(Raw_Data!F1429),"")</f>
        <v>3.8</v>
      </c>
      <c r="H1429" s="14">
        <f>IFERROR(VALUE(SUBSTITUTE(Raw_Data!G1429,",","")),"")</f>
        <v>133</v>
      </c>
      <c r="I1429" s="11">
        <f t="shared" si="88"/>
        <v>1791</v>
      </c>
      <c r="J1429" s="11">
        <f t="shared" si="89"/>
        <v>159467</v>
      </c>
      <c r="K1429" s="1">
        <f t="shared" si="90"/>
        <v>133.00014289999999</v>
      </c>
      <c r="L1429" s="15">
        <f t="shared" si="91"/>
        <v>0.60014289999999992</v>
      </c>
    </row>
    <row r="1430" spans="1:12" ht="15" customHeight="1" x14ac:dyDescent="0.25">
      <c r="A1430" s="10" t="str">
        <f>Raw_Data!A1430</f>
        <v>Sujata Dynamix, Mixer Grinder, 900 Watts, 3 Jars (White)</v>
      </c>
      <c r="B1430" s="10" t="str">
        <f>IFERROR(TRIM(LEFT(Raw_Data!A1430,FIND(" ",Raw_Data!A1430)-1)),Raw_Data!A1430)</f>
        <v>Sujata</v>
      </c>
      <c r="C1430" s="10" t="str">
        <f>IFERROR(LEFT(Raw_Data!B1430,FIND("|",Raw_Data!B1430)-1),Raw_Data!B1430)</f>
        <v>Home&amp;Kitchen</v>
      </c>
      <c r="D1430" s="11">
        <f>IFERROR(VALUE(SUBSTITUTE(SUBSTITUTE(TRIM(Raw_Data!C1430),"₹",""),",","")),"")</f>
        <v>6120</v>
      </c>
      <c r="E1430" s="11">
        <f>IFERROR(VALUE(SUBSTITUTE(SUBSTITUTE(TRIM(Raw_Data!D1430),"₹",""),",","")),"")</f>
        <v>8073</v>
      </c>
      <c r="F1430" s="12">
        <f>IFERROR(VALUE(SUBSTITUTE(Raw_Data!E1430,"%",""))/100,"")</f>
        <v>0.24</v>
      </c>
      <c r="G1430" s="13">
        <f>IFERROR(VALUE(Raw_Data!F1430),"")</f>
        <v>4.5999999999999996</v>
      </c>
      <c r="H1430" s="14">
        <f>IFERROR(VALUE(SUBSTITUTE(Raw_Data!G1430,",","")),"")</f>
        <v>2751</v>
      </c>
      <c r="I1430" s="11">
        <f t="shared" si="88"/>
        <v>1953</v>
      </c>
      <c r="J1430" s="11">
        <f t="shared" si="89"/>
        <v>16836120</v>
      </c>
      <c r="K1430" s="1">
        <f t="shared" si="90"/>
        <v>2751.0001430000002</v>
      </c>
      <c r="L1430" s="15">
        <f t="shared" si="91"/>
        <v>0.240143</v>
      </c>
    </row>
    <row r="1431" spans="1:12" ht="15" customHeight="1" x14ac:dyDescent="0.25">
      <c r="A1431" s="10" t="str">
        <f>Raw_Data!A1431</f>
        <v>Wipro Vesta 1380W Cordless Steam Iron Quick heat up with 20gm/ min Steam Burst, Scratch resistant Ceramic soleplate ,Vertical and Horizontal Ironing, Steam burst of upto .8g/ shot</v>
      </c>
      <c r="B1431" s="10" t="str">
        <f>IFERROR(TRIM(LEFT(Raw_Data!A1431,FIND(" ",Raw_Data!A1431)-1)),Raw_Data!A1431)</f>
        <v>Wipro</v>
      </c>
      <c r="C1431" s="10" t="str">
        <f>IFERROR(LEFT(Raw_Data!B1431,FIND("|",Raw_Data!B1431)-1),Raw_Data!B1431)</f>
        <v>Home&amp;Kitchen</v>
      </c>
      <c r="D1431" s="11">
        <f>IFERROR(VALUE(SUBSTITUTE(SUBSTITUTE(TRIM(Raw_Data!C1431),"₹",""),",","")),"")</f>
        <v>1799</v>
      </c>
      <c r="E1431" s="11">
        <f>IFERROR(VALUE(SUBSTITUTE(SUBSTITUTE(TRIM(Raw_Data!D1431),"₹",""),",","")),"")</f>
        <v>2599</v>
      </c>
      <c r="F1431" s="12">
        <f>IFERROR(VALUE(SUBSTITUTE(Raw_Data!E1431,"%",""))/100,"")</f>
        <v>0.31</v>
      </c>
      <c r="G1431" s="13">
        <f>IFERROR(VALUE(Raw_Data!F1431),"")</f>
        <v>3.6</v>
      </c>
      <c r="H1431" s="14">
        <f>IFERROR(VALUE(SUBSTITUTE(Raw_Data!G1431,",","")),"")</f>
        <v>771</v>
      </c>
      <c r="I1431" s="11">
        <f t="shared" si="88"/>
        <v>800</v>
      </c>
      <c r="J1431" s="11">
        <f t="shared" si="89"/>
        <v>1387029</v>
      </c>
      <c r="K1431" s="1">
        <f t="shared" si="90"/>
        <v>771.00014309999995</v>
      </c>
      <c r="L1431" s="15">
        <f t="shared" si="91"/>
        <v>0.3101431</v>
      </c>
    </row>
    <row r="1432" spans="1:12" ht="15" customHeight="1" x14ac:dyDescent="0.25">
      <c r="A1432" s="10" t="str">
        <f>Raw_Data!A1432</f>
        <v>Mi Robot Vacuum-Mop P, Best-in-class Laser Navigation in 10-20K INR price band, Intelligent mapping, Robotic Floor Cleaner with 2 in 1 Mopping and Vacuum, App Control (WiFi, Alexa,GA), Strong suction</v>
      </c>
      <c r="B1432" s="10" t="str">
        <f>IFERROR(TRIM(LEFT(Raw_Data!A1432,FIND(" ",Raw_Data!A1432)-1)),Raw_Data!A1432)</f>
        <v>Mi</v>
      </c>
      <c r="C1432" s="10" t="str">
        <f>IFERROR(LEFT(Raw_Data!B1432,FIND("|",Raw_Data!B1432)-1),Raw_Data!B1432)</f>
        <v>Home&amp;Kitchen</v>
      </c>
      <c r="D1432" s="11">
        <f>IFERROR(VALUE(SUBSTITUTE(SUBSTITUTE(TRIM(Raw_Data!C1432),"₹",""),",","")),"")</f>
        <v>18999</v>
      </c>
      <c r="E1432" s="11">
        <f>IFERROR(VALUE(SUBSTITUTE(SUBSTITUTE(TRIM(Raw_Data!D1432),"₹",""),",","")),"")</f>
        <v>29999</v>
      </c>
      <c r="F1432" s="12">
        <f>IFERROR(VALUE(SUBSTITUTE(Raw_Data!E1432,"%",""))/100,"")</f>
        <v>0.37</v>
      </c>
      <c r="G1432" s="13">
        <f>IFERROR(VALUE(Raw_Data!F1432),"")</f>
        <v>4.0999999999999996</v>
      </c>
      <c r="H1432" s="14">
        <f>IFERROR(VALUE(SUBSTITUTE(Raw_Data!G1432,",","")),"")</f>
        <v>2536</v>
      </c>
      <c r="I1432" s="11">
        <f t="shared" si="88"/>
        <v>11000</v>
      </c>
      <c r="J1432" s="11">
        <f t="shared" si="89"/>
        <v>48181464</v>
      </c>
      <c r="K1432" s="1">
        <f t="shared" si="90"/>
        <v>2536.0001431999999</v>
      </c>
      <c r="L1432" s="15">
        <f t="shared" si="91"/>
        <v>0.37014320000000001</v>
      </c>
    </row>
    <row r="1433" spans="1:12" ht="15" customHeight="1" x14ac:dyDescent="0.25">
      <c r="A1433" s="10" t="str">
        <f>Raw_Data!A1433</f>
        <v>Havells Ventil Air DX 200mm Exhaust Fan (White)</v>
      </c>
      <c r="B1433" s="10" t="str">
        <f>IFERROR(TRIM(LEFT(Raw_Data!A1433,FIND(" ",Raw_Data!A1433)-1)),Raw_Data!A1433)</f>
        <v>Havells</v>
      </c>
      <c r="C1433" s="10" t="str">
        <f>IFERROR(LEFT(Raw_Data!B1433,FIND("|",Raw_Data!B1433)-1),Raw_Data!B1433)</f>
        <v>Home&amp;Kitchen</v>
      </c>
      <c r="D1433" s="11">
        <f>IFERROR(VALUE(SUBSTITUTE(SUBSTITUTE(TRIM(Raw_Data!C1433),"₹",""),",","")),"")</f>
        <v>1999</v>
      </c>
      <c r="E1433" s="11">
        <f>IFERROR(VALUE(SUBSTITUTE(SUBSTITUTE(TRIM(Raw_Data!D1433),"₹",""),",","")),"")</f>
        <v>2360</v>
      </c>
      <c r="F1433" s="12">
        <f>IFERROR(VALUE(SUBSTITUTE(Raw_Data!E1433,"%",""))/100,"")</f>
        <v>0.15</v>
      </c>
      <c r="G1433" s="13">
        <f>IFERROR(VALUE(Raw_Data!F1433),"")</f>
        <v>4.2</v>
      </c>
      <c r="H1433" s="14">
        <f>IFERROR(VALUE(SUBSTITUTE(Raw_Data!G1433,",","")),"")</f>
        <v>7801</v>
      </c>
      <c r="I1433" s="11">
        <f t="shared" si="88"/>
        <v>361</v>
      </c>
      <c r="J1433" s="11">
        <f t="shared" si="89"/>
        <v>15594199</v>
      </c>
      <c r="K1433" s="1">
        <f t="shared" si="90"/>
        <v>7801.0001432999998</v>
      </c>
      <c r="L1433" s="15">
        <f t="shared" si="91"/>
        <v>0.15014330000000001</v>
      </c>
    </row>
    <row r="1434" spans="1:12" ht="15" customHeight="1" x14ac:dyDescent="0.25">
      <c r="A1434" s="10" t="str">
        <f>Raw_Data!A1434</f>
        <v>AGARO Royal Stand 1000W Mixer with 5L SS Bowl and 8 Speed Setting, Includes Whisking Cone, Mixing Beater &amp; Dough Hook, and Splash Guard, 2 Years Warranty, (Black), Medium (33554)</v>
      </c>
      <c r="B1434" s="10" t="str">
        <f>IFERROR(TRIM(LEFT(Raw_Data!A1434,FIND(" ",Raw_Data!A1434)-1)),Raw_Data!A1434)</f>
        <v>AGARO</v>
      </c>
      <c r="C1434" s="10" t="str">
        <f>IFERROR(LEFT(Raw_Data!B1434,FIND("|",Raw_Data!B1434)-1),Raw_Data!B1434)</f>
        <v>Home&amp;Kitchen</v>
      </c>
      <c r="D1434" s="11">
        <f>IFERROR(VALUE(SUBSTITUTE(SUBSTITUTE(TRIM(Raw_Data!C1434),"₹",""),",","")),"")</f>
        <v>5999</v>
      </c>
      <c r="E1434" s="11">
        <f>IFERROR(VALUE(SUBSTITUTE(SUBSTITUTE(TRIM(Raw_Data!D1434),"₹",""),",","")),"")</f>
        <v>11495</v>
      </c>
      <c r="F1434" s="12">
        <f>IFERROR(VALUE(SUBSTITUTE(Raw_Data!E1434,"%",""))/100,"")</f>
        <v>0.48</v>
      </c>
      <c r="G1434" s="13">
        <f>IFERROR(VALUE(Raw_Data!F1434),"")</f>
        <v>4.3</v>
      </c>
      <c r="H1434" s="14">
        <f>IFERROR(VALUE(SUBSTITUTE(Raw_Data!G1434,",","")),"")</f>
        <v>534</v>
      </c>
      <c r="I1434" s="11">
        <f t="shared" si="88"/>
        <v>5496</v>
      </c>
      <c r="J1434" s="11">
        <f t="shared" si="89"/>
        <v>3203466</v>
      </c>
      <c r="K1434" s="1">
        <f t="shared" si="90"/>
        <v>534.00014339999996</v>
      </c>
      <c r="L1434" s="15">
        <f t="shared" si="91"/>
        <v>0.4801434</v>
      </c>
    </row>
    <row r="1435" spans="1:12" ht="15" customHeight="1" x14ac:dyDescent="0.25">
      <c r="A1435" s="10" t="str">
        <f>Raw_Data!A1435</f>
        <v>Crompton Highspeed Markle Prime 1200 mm (48 inch) Anti-Dust Ceiling Fan with Energy Efficient 55W Motor (Burgundy)</v>
      </c>
      <c r="B1435" s="10" t="str">
        <f>IFERROR(TRIM(LEFT(Raw_Data!A1435,FIND(" ",Raw_Data!A1435)-1)),Raw_Data!A1435)</f>
        <v>Crompton</v>
      </c>
      <c r="C1435" s="10" t="str">
        <f>IFERROR(LEFT(Raw_Data!B1435,FIND("|",Raw_Data!B1435)-1),Raw_Data!B1435)</f>
        <v>Home&amp;Kitchen</v>
      </c>
      <c r="D1435" s="11">
        <f>IFERROR(VALUE(SUBSTITUTE(SUBSTITUTE(TRIM(Raw_Data!C1435),"₹",""),",","")),"")</f>
        <v>2599</v>
      </c>
      <c r="E1435" s="11">
        <f>IFERROR(VALUE(SUBSTITUTE(SUBSTITUTE(TRIM(Raw_Data!D1435),"₹",""),",","")),"")</f>
        <v>4780</v>
      </c>
      <c r="F1435" s="12">
        <f>IFERROR(VALUE(SUBSTITUTE(Raw_Data!E1435,"%",""))/100,"")</f>
        <v>0.46</v>
      </c>
      <c r="G1435" s="13">
        <f>IFERROR(VALUE(Raw_Data!F1435),"")</f>
        <v>3.9</v>
      </c>
      <c r="H1435" s="14">
        <f>IFERROR(VALUE(SUBSTITUTE(Raw_Data!G1435,",","")),"")</f>
        <v>898</v>
      </c>
      <c r="I1435" s="11">
        <f t="shared" si="88"/>
        <v>2181</v>
      </c>
      <c r="J1435" s="11">
        <f t="shared" si="89"/>
        <v>2333902</v>
      </c>
      <c r="K1435" s="1">
        <f t="shared" si="90"/>
        <v>898.00014350000004</v>
      </c>
      <c r="L1435" s="15">
        <f t="shared" si="91"/>
        <v>0.46014350000000004</v>
      </c>
    </row>
    <row r="1436" spans="1:12" ht="15" customHeight="1" x14ac:dyDescent="0.25">
      <c r="A1436" s="10" t="str">
        <f>Raw_Data!A1436</f>
        <v>Lifelong LLWM105 750-Watt Belgian Waffle Maker for Home| Makes 2 Square Shape Waffles| Non-stick Plates| Easy to Use with Indicator Lights (1 Year Warranty, Black)</v>
      </c>
      <c r="B1436" s="10" t="str">
        <f>IFERROR(TRIM(LEFT(Raw_Data!A1436,FIND(" ",Raw_Data!A1436)-1)),Raw_Data!A1436)</f>
        <v>Lifelong</v>
      </c>
      <c r="C1436" s="10" t="str">
        <f>IFERROR(LEFT(Raw_Data!B1436,FIND("|",Raw_Data!B1436)-1),Raw_Data!B1436)</f>
        <v>Home&amp;Kitchen</v>
      </c>
      <c r="D1436" s="11">
        <f>IFERROR(VALUE(SUBSTITUTE(SUBSTITUTE(TRIM(Raw_Data!C1436),"₹",""),",","")),"")</f>
        <v>1199</v>
      </c>
      <c r="E1436" s="11">
        <f>IFERROR(VALUE(SUBSTITUTE(SUBSTITUTE(TRIM(Raw_Data!D1436),"₹",""),",","")),"")</f>
        <v>2400</v>
      </c>
      <c r="F1436" s="12">
        <f>IFERROR(VALUE(SUBSTITUTE(Raw_Data!E1436,"%",""))/100,"")</f>
        <v>0.5</v>
      </c>
      <c r="G1436" s="13">
        <f>IFERROR(VALUE(Raw_Data!F1436),"")</f>
        <v>3.9</v>
      </c>
      <c r="H1436" s="14">
        <f>IFERROR(VALUE(SUBSTITUTE(Raw_Data!G1436,",","")),"")</f>
        <v>1202</v>
      </c>
      <c r="I1436" s="11">
        <f t="shared" si="88"/>
        <v>1201</v>
      </c>
      <c r="J1436" s="11">
        <f t="shared" si="89"/>
        <v>1441198</v>
      </c>
      <c r="K1436" s="1">
        <f t="shared" si="90"/>
        <v>1202.0001436</v>
      </c>
      <c r="L1436" s="15">
        <f t="shared" si="91"/>
        <v>0.50014360000000002</v>
      </c>
    </row>
    <row r="1437" spans="1:12" ht="15" customHeight="1" x14ac:dyDescent="0.25">
      <c r="A1437" s="10" t="str">
        <f>Raw_Data!A1437</f>
        <v>Kuber Industries Waterproof Round Laundry Bag/Hamper|Polka Dots Print Print with Handles|Foldable Bin &amp; 45 Liter Capicity|Size 37 x 37 x 49, Pack of 1(Black &amp; White)- CTKTC044992</v>
      </c>
      <c r="B1437" s="10" t="str">
        <f>IFERROR(TRIM(LEFT(Raw_Data!A1437,FIND(" ",Raw_Data!A1437)-1)),Raw_Data!A1437)</f>
        <v>Kuber</v>
      </c>
      <c r="C1437" s="10" t="str">
        <f>IFERROR(LEFT(Raw_Data!B1437,FIND("|",Raw_Data!B1437)-1),Raw_Data!B1437)</f>
        <v>Home&amp;Kitchen</v>
      </c>
      <c r="D1437" s="11">
        <f>IFERROR(VALUE(SUBSTITUTE(SUBSTITUTE(TRIM(Raw_Data!C1437),"₹",""),",","")),"")</f>
        <v>219</v>
      </c>
      <c r="E1437" s="11">
        <f>IFERROR(VALUE(SUBSTITUTE(SUBSTITUTE(TRIM(Raw_Data!D1437),"₹",""),",","")),"")</f>
        <v>249</v>
      </c>
      <c r="F1437" s="12">
        <f>IFERROR(VALUE(SUBSTITUTE(Raw_Data!E1437,"%",""))/100,"")</f>
        <v>0.12</v>
      </c>
      <c r="G1437" s="13">
        <f>IFERROR(VALUE(Raw_Data!F1437),"")</f>
        <v>4</v>
      </c>
      <c r="H1437" s="14">
        <f>IFERROR(VALUE(SUBSTITUTE(Raw_Data!G1437,",","")),"")</f>
        <v>1108</v>
      </c>
      <c r="I1437" s="11">
        <f t="shared" si="88"/>
        <v>30</v>
      </c>
      <c r="J1437" s="11">
        <f t="shared" si="89"/>
        <v>242652</v>
      </c>
      <c r="K1437" s="1">
        <f t="shared" si="90"/>
        <v>1108.0001437000001</v>
      </c>
      <c r="L1437" s="15">
        <f t="shared" si="91"/>
        <v>0.12014369999999999</v>
      </c>
    </row>
    <row r="1438" spans="1:12" ht="15" customHeight="1" x14ac:dyDescent="0.25">
      <c r="A1438" s="10" t="str">
        <f>Raw_Data!A1438</f>
        <v>Portable, Handy Compact Plug-in Portable Digital Electric Heater Fan Wall-Outlet Handy Air Warmer Blower Adjustable Timer Digital Display Heater for Home/Office/Camper (Black, 400 Watts)</v>
      </c>
      <c r="B1438" s="10" t="str">
        <f>IFERROR(TRIM(LEFT(Raw_Data!A1438,FIND(" ",Raw_Data!A1438)-1)),Raw_Data!A1438)</f>
        <v>Portable,</v>
      </c>
      <c r="C1438" s="10" t="str">
        <f>IFERROR(LEFT(Raw_Data!B1438,FIND("|",Raw_Data!B1438)-1),Raw_Data!B1438)</f>
        <v>Home&amp;Kitchen</v>
      </c>
      <c r="D1438" s="11">
        <f>IFERROR(VALUE(SUBSTITUTE(SUBSTITUTE(TRIM(Raw_Data!C1438),"₹",""),",","")),"")</f>
        <v>799</v>
      </c>
      <c r="E1438" s="11">
        <f>IFERROR(VALUE(SUBSTITUTE(SUBSTITUTE(TRIM(Raw_Data!D1438),"₹",""),",","")),"")</f>
        <v>1199</v>
      </c>
      <c r="F1438" s="12">
        <f>IFERROR(VALUE(SUBSTITUTE(Raw_Data!E1438,"%",""))/100,"")</f>
        <v>0.33</v>
      </c>
      <c r="G1438" s="13">
        <f>IFERROR(VALUE(Raw_Data!F1438),"")</f>
        <v>4.4000000000000004</v>
      </c>
      <c r="H1438" s="14">
        <f>IFERROR(VALUE(SUBSTITUTE(Raw_Data!G1438,",","")),"")</f>
        <v>17</v>
      </c>
      <c r="I1438" s="11">
        <f t="shared" si="88"/>
        <v>400</v>
      </c>
      <c r="J1438" s="11">
        <f t="shared" si="89"/>
        <v>13583</v>
      </c>
      <c r="K1438" s="1">
        <f t="shared" si="90"/>
        <v>17.0001438</v>
      </c>
      <c r="L1438" s="15">
        <f t="shared" si="91"/>
        <v>0.33014380000000004</v>
      </c>
    </row>
    <row r="1439" spans="1:12" ht="15" customHeight="1" x14ac:dyDescent="0.25">
      <c r="A1439" s="10" t="str">
        <f>Raw_Data!A1439</f>
        <v>Karcher WD3 EU Wet and Dry Vacuum Cleaner, 1000 Watts Powerful Suction, 17 L Capacity, Blower Function, Easy Filter Removal for Home and Garden Cleaning  (Yellow/Black)</v>
      </c>
      <c r="B1439" s="10" t="str">
        <f>IFERROR(TRIM(LEFT(Raw_Data!A1439,FIND(" ",Raw_Data!A1439)-1)),Raw_Data!A1439)</f>
        <v>Karcher</v>
      </c>
      <c r="C1439" s="10" t="str">
        <f>IFERROR(LEFT(Raw_Data!B1439,FIND("|",Raw_Data!B1439)-1),Raw_Data!B1439)</f>
        <v>Home&amp;Kitchen</v>
      </c>
      <c r="D1439" s="11">
        <f>IFERROR(VALUE(SUBSTITUTE(SUBSTITUTE(TRIM(Raw_Data!C1439),"₹",""),",","")),"")</f>
        <v>6199</v>
      </c>
      <c r="E1439" s="11">
        <f>IFERROR(VALUE(SUBSTITUTE(SUBSTITUTE(TRIM(Raw_Data!D1439),"₹",""),",","")),"")</f>
        <v>10999</v>
      </c>
      <c r="F1439" s="12">
        <f>IFERROR(VALUE(SUBSTITUTE(Raw_Data!E1439,"%",""))/100,"")</f>
        <v>0.44</v>
      </c>
      <c r="G1439" s="13">
        <f>IFERROR(VALUE(Raw_Data!F1439),"")</f>
        <v>4.2</v>
      </c>
      <c r="H1439" s="14">
        <f>IFERROR(VALUE(SUBSTITUTE(Raw_Data!G1439,",","")),"")</f>
        <v>10429</v>
      </c>
      <c r="I1439" s="11">
        <f t="shared" si="88"/>
        <v>4800</v>
      </c>
      <c r="J1439" s="11">
        <f t="shared" si="89"/>
        <v>64649371</v>
      </c>
      <c r="K1439" s="1">
        <f t="shared" si="90"/>
        <v>10429.000143900001</v>
      </c>
      <c r="L1439" s="15">
        <f t="shared" si="91"/>
        <v>0.44014389999999998</v>
      </c>
    </row>
    <row r="1440" spans="1:12" ht="15" customHeight="1" x14ac:dyDescent="0.25">
      <c r="A1440" s="10" t="str">
        <f>Raw_Data!A1440</f>
        <v>INALSA Air Fryer Digital 4L Nutri Fry - 1400W with Smart AirCrisp Technology| 8-Preset Menu, Touch Control &amp; Digital Display|Variable Temperature &amp; Timer Control|Free Recipe book|2 Yr Warranty (Black)</v>
      </c>
      <c r="B1440" s="10" t="str">
        <f>IFERROR(TRIM(LEFT(Raw_Data!A1440,FIND(" ",Raw_Data!A1440)-1)),Raw_Data!A1440)</f>
        <v>INALSA</v>
      </c>
      <c r="C1440" s="10" t="str">
        <f>IFERROR(LEFT(Raw_Data!B1440,FIND("|",Raw_Data!B1440)-1),Raw_Data!B1440)</f>
        <v>Home&amp;Kitchen</v>
      </c>
      <c r="D1440" s="11">
        <f>IFERROR(VALUE(SUBSTITUTE(SUBSTITUTE(TRIM(Raw_Data!C1440),"₹",""),",","")),"")</f>
        <v>6790</v>
      </c>
      <c r="E1440" s="11">
        <f>IFERROR(VALUE(SUBSTITUTE(SUBSTITUTE(TRIM(Raw_Data!D1440),"₹",""),",","")),"")</f>
        <v>10995</v>
      </c>
      <c r="F1440" s="12">
        <f>IFERROR(VALUE(SUBSTITUTE(Raw_Data!E1440,"%",""))/100,"")</f>
        <v>0.38</v>
      </c>
      <c r="G1440" s="13">
        <f>IFERROR(VALUE(Raw_Data!F1440),"")</f>
        <v>4.5</v>
      </c>
      <c r="H1440" s="14">
        <f>IFERROR(VALUE(SUBSTITUTE(Raw_Data!G1440,",","")),"")</f>
        <v>3192</v>
      </c>
      <c r="I1440" s="11">
        <f t="shared" si="88"/>
        <v>4205</v>
      </c>
      <c r="J1440" s="11">
        <f t="shared" si="89"/>
        <v>21673680</v>
      </c>
      <c r="K1440" s="1">
        <f t="shared" si="90"/>
        <v>3192.0001440000001</v>
      </c>
      <c r="L1440" s="15">
        <f t="shared" si="91"/>
        <v>0.38014399999999998</v>
      </c>
    </row>
    <row r="1441" spans="1:12" ht="15" customHeight="1" x14ac:dyDescent="0.25">
      <c r="A1441" s="10" t="str">
        <f>Raw_Data!A1441</f>
        <v>AmazonBasics High Speed 55 Watt Oscillating Pedestal Fan, 400mm Sweep Length, White (Without Remote)</v>
      </c>
      <c r="B1441" s="10" t="str">
        <f>IFERROR(TRIM(LEFT(Raw_Data!A1441,FIND(" ",Raw_Data!A1441)-1)),Raw_Data!A1441)</f>
        <v>AmazonBasics</v>
      </c>
      <c r="C1441" s="10" t="str">
        <f>IFERROR(LEFT(Raw_Data!B1441,FIND("|",Raw_Data!B1441)-1),Raw_Data!B1441)</f>
        <v>Home&amp;Kitchen</v>
      </c>
      <c r="D1441" s="11">
        <f>IFERROR(VALUE(SUBSTITUTE(SUBSTITUTE(TRIM(Raw_Data!C1441),"₹",""),",","")),"")</f>
        <v>1982.84</v>
      </c>
      <c r="E1441" s="11">
        <f>IFERROR(VALUE(SUBSTITUTE(SUBSTITUTE(TRIM(Raw_Data!D1441),"₹",""),",","")),"")</f>
        <v>3300</v>
      </c>
      <c r="F1441" s="12">
        <f>IFERROR(VALUE(SUBSTITUTE(Raw_Data!E1441,"%",""))/100,"")</f>
        <v>0.4</v>
      </c>
      <c r="G1441" s="13">
        <f>IFERROR(VALUE(Raw_Data!F1441),"")</f>
        <v>4.0999999999999996</v>
      </c>
      <c r="H1441" s="14">
        <f>IFERROR(VALUE(SUBSTITUTE(Raw_Data!G1441,",","")),"")</f>
        <v>5873</v>
      </c>
      <c r="I1441" s="11">
        <f t="shared" si="88"/>
        <v>1317.16</v>
      </c>
      <c r="J1441" s="11">
        <f t="shared" si="89"/>
        <v>11645219.32</v>
      </c>
      <c r="K1441" s="1">
        <f t="shared" si="90"/>
        <v>5873.0001441000004</v>
      </c>
      <c r="L1441" s="15">
        <f t="shared" si="91"/>
        <v>0.4001441</v>
      </c>
    </row>
    <row r="1442" spans="1:12" ht="15" customHeight="1" x14ac:dyDescent="0.25">
      <c r="A1442" s="10" t="str">
        <f>Raw_Data!A1442</f>
        <v>Eco Crystal J 5 inch Cartridge (Pack of 2)</v>
      </c>
      <c r="B1442" s="10" t="str">
        <f>IFERROR(TRIM(LEFT(Raw_Data!A1442,FIND(" ",Raw_Data!A1442)-1)),Raw_Data!A1442)</f>
        <v>Eco</v>
      </c>
      <c r="C1442" s="10" t="str">
        <f>IFERROR(LEFT(Raw_Data!B1442,FIND("|",Raw_Data!B1442)-1),Raw_Data!B1442)</f>
        <v>Home&amp;Kitchen</v>
      </c>
      <c r="D1442" s="11">
        <f>IFERROR(VALUE(SUBSTITUTE(SUBSTITUTE(TRIM(Raw_Data!C1442),"₹",""),",","")),"")</f>
        <v>199</v>
      </c>
      <c r="E1442" s="11">
        <f>IFERROR(VALUE(SUBSTITUTE(SUBSTITUTE(TRIM(Raw_Data!D1442),"₹",""),",","")),"")</f>
        <v>400</v>
      </c>
      <c r="F1442" s="12">
        <f>IFERROR(VALUE(SUBSTITUTE(Raw_Data!E1442,"%",""))/100,"")</f>
        <v>0.5</v>
      </c>
      <c r="G1442" s="13">
        <f>IFERROR(VALUE(Raw_Data!F1442),"")</f>
        <v>4.0999999999999996</v>
      </c>
      <c r="H1442" s="14">
        <f>IFERROR(VALUE(SUBSTITUTE(Raw_Data!G1442,",","")),"")</f>
        <v>1379</v>
      </c>
      <c r="I1442" s="11">
        <f t="shared" si="88"/>
        <v>201</v>
      </c>
      <c r="J1442" s="11">
        <f t="shared" si="89"/>
        <v>274421</v>
      </c>
      <c r="K1442" s="1">
        <f t="shared" si="90"/>
        <v>1379.0001442</v>
      </c>
      <c r="L1442" s="15">
        <f t="shared" si="91"/>
        <v>0.50014420000000004</v>
      </c>
    </row>
    <row r="1443" spans="1:12" ht="15" customHeight="1" x14ac:dyDescent="0.25">
      <c r="A1443" s="10" t="str">
        <f>Raw_Data!A1443</f>
        <v>Borosil Rio 1.5 L Electric Kettle, Stainless Steel Inner Body, Boil Water For Tea, Coffee, Soup, Silver</v>
      </c>
      <c r="B1443" s="10" t="str">
        <f>IFERROR(TRIM(LEFT(Raw_Data!A1443,FIND(" ",Raw_Data!A1443)-1)),Raw_Data!A1443)</f>
        <v>Borosil</v>
      </c>
      <c r="C1443" s="10" t="str">
        <f>IFERROR(LEFT(Raw_Data!B1443,FIND("|",Raw_Data!B1443)-1),Raw_Data!B1443)</f>
        <v>Home&amp;Kitchen</v>
      </c>
      <c r="D1443" s="11">
        <f>IFERROR(VALUE(SUBSTITUTE(SUBSTITUTE(TRIM(Raw_Data!C1443),"₹",""),",","")),"")</f>
        <v>1180</v>
      </c>
      <c r="E1443" s="11">
        <f>IFERROR(VALUE(SUBSTITUTE(SUBSTITUTE(TRIM(Raw_Data!D1443),"₹",""),",","")),"")</f>
        <v>1440</v>
      </c>
      <c r="F1443" s="12">
        <f>IFERROR(VALUE(SUBSTITUTE(Raw_Data!E1443,"%",""))/100,"")</f>
        <v>0.18</v>
      </c>
      <c r="G1443" s="13">
        <f>IFERROR(VALUE(Raw_Data!F1443),"")</f>
        <v>4.2</v>
      </c>
      <c r="H1443" s="14">
        <f>IFERROR(VALUE(SUBSTITUTE(Raw_Data!G1443,",","")),"")</f>
        <v>1527</v>
      </c>
      <c r="I1443" s="11">
        <f t="shared" si="88"/>
        <v>260</v>
      </c>
      <c r="J1443" s="11">
        <f t="shared" si="89"/>
        <v>1801860</v>
      </c>
      <c r="K1443" s="1">
        <f t="shared" si="90"/>
        <v>1527.0001443000001</v>
      </c>
      <c r="L1443" s="15">
        <f t="shared" si="91"/>
        <v>0.18014430000000001</v>
      </c>
    </row>
    <row r="1444" spans="1:12" ht="15" customHeight="1" x14ac:dyDescent="0.25">
      <c r="A1444" s="10" t="str">
        <f>Raw_Data!A1444</f>
        <v>Havells Ambrose 1200mm Ceiling Fan (Pearl White Wood)</v>
      </c>
      <c r="B1444" s="10" t="str">
        <f>IFERROR(TRIM(LEFT(Raw_Data!A1444,FIND(" ",Raw_Data!A1444)-1)),Raw_Data!A1444)</f>
        <v>Havells</v>
      </c>
      <c r="C1444" s="10" t="str">
        <f>IFERROR(LEFT(Raw_Data!B1444,FIND("|",Raw_Data!B1444)-1),Raw_Data!B1444)</f>
        <v>Home&amp;Kitchen</v>
      </c>
      <c r="D1444" s="11">
        <f>IFERROR(VALUE(SUBSTITUTE(SUBSTITUTE(TRIM(Raw_Data!C1444),"₹",""),",","")),"")</f>
        <v>2199</v>
      </c>
      <c r="E1444" s="11">
        <f>IFERROR(VALUE(SUBSTITUTE(SUBSTITUTE(TRIM(Raw_Data!D1444),"₹",""),",","")),"")</f>
        <v>3045</v>
      </c>
      <c r="F1444" s="12">
        <f>IFERROR(VALUE(SUBSTITUTE(Raw_Data!E1444,"%",""))/100,"")</f>
        <v>0.28000000000000003</v>
      </c>
      <c r="G1444" s="13">
        <f>IFERROR(VALUE(Raw_Data!F1444),"")</f>
        <v>4.2</v>
      </c>
      <c r="H1444" s="14">
        <f>IFERROR(VALUE(SUBSTITUTE(Raw_Data!G1444,",","")),"")</f>
        <v>2686</v>
      </c>
      <c r="I1444" s="11">
        <f t="shared" si="88"/>
        <v>846</v>
      </c>
      <c r="J1444" s="11">
        <f t="shared" si="89"/>
        <v>5906514</v>
      </c>
      <c r="K1444" s="1">
        <f t="shared" si="90"/>
        <v>2686.0001444</v>
      </c>
      <c r="L1444" s="15">
        <f t="shared" si="91"/>
        <v>0.28014440000000002</v>
      </c>
    </row>
    <row r="1445" spans="1:12" ht="15" customHeight="1" x14ac:dyDescent="0.25">
      <c r="A1445" s="10" t="str">
        <f>Raw_Data!A1445</f>
        <v>PHILIPS Drip Coffee Maker HD7432/20, 0.6 L, Ideal for 2-7 cups, Black, Medium</v>
      </c>
      <c r="B1445" s="10" t="str">
        <f>IFERROR(TRIM(LEFT(Raw_Data!A1445,FIND(" ",Raw_Data!A1445)-1)),Raw_Data!A1445)</f>
        <v>PHILIPS</v>
      </c>
      <c r="C1445" s="10" t="str">
        <f>IFERROR(LEFT(Raw_Data!B1445,FIND("|",Raw_Data!B1445)-1),Raw_Data!B1445)</f>
        <v>Home&amp;Kitchen</v>
      </c>
      <c r="D1445" s="11">
        <f>IFERROR(VALUE(SUBSTITUTE(SUBSTITUTE(TRIM(Raw_Data!C1445),"₹",""),",","")),"")</f>
        <v>2999</v>
      </c>
      <c r="E1445" s="11">
        <f>IFERROR(VALUE(SUBSTITUTE(SUBSTITUTE(TRIM(Raw_Data!D1445),"₹",""),",","")),"")</f>
        <v>3595</v>
      </c>
      <c r="F1445" s="12">
        <f>IFERROR(VALUE(SUBSTITUTE(Raw_Data!E1445,"%",""))/100,"")</f>
        <v>0.17</v>
      </c>
      <c r="G1445" s="13">
        <f>IFERROR(VALUE(Raw_Data!F1445),"")</f>
        <v>4</v>
      </c>
      <c r="H1445" s="14">
        <f>IFERROR(VALUE(SUBSTITUTE(Raw_Data!G1445,",","")),"")</f>
        <v>178</v>
      </c>
      <c r="I1445" s="11">
        <f t="shared" si="88"/>
        <v>596</v>
      </c>
      <c r="J1445" s="11">
        <f t="shared" si="89"/>
        <v>533822</v>
      </c>
      <c r="K1445" s="1">
        <f t="shared" si="90"/>
        <v>178.0001445</v>
      </c>
      <c r="L1445" s="15">
        <f t="shared" si="91"/>
        <v>0.1701445</v>
      </c>
    </row>
    <row r="1446" spans="1:12" ht="15" customHeight="1" x14ac:dyDescent="0.25">
      <c r="A1446" s="10" t="str">
        <f>Raw_Data!A1446</f>
        <v>Eureka Forbes Euroclean Paper Vacuum Cleaner Dust Bags for Excel, Ace, 300, Jet Models - Set of 10</v>
      </c>
      <c r="B1446" s="10" t="str">
        <f>IFERROR(TRIM(LEFT(Raw_Data!A1446,FIND(" ",Raw_Data!A1446)-1)),Raw_Data!A1446)</f>
        <v>Eureka</v>
      </c>
      <c r="C1446" s="10" t="str">
        <f>IFERROR(LEFT(Raw_Data!B1446,FIND("|",Raw_Data!B1446)-1),Raw_Data!B1446)</f>
        <v>Home&amp;Kitchen</v>
      </c>
      <c r="D1446" s="11">
        <f>IFERROR(VALUE(SUBSTITUTE(SUBSTITUTE(TRIM(Raw_Data!C1446),"₹",""),",","")),"")</f>
        <v>253</v>
      </c>
      <c r="E1446" s="11">
        <f>IFERROR(VALUE(SUBSTITUTE(SUBSTITUTE(TRIM(Raw_Data!D1446),"₹",""),",","")),"")</f>
        <v>500</v>
      </c>
      <c r="F1446" s="12">
        <f>IFERROR(VALUE(SUBSTITUTE(Raw_Data!E1446,"%",""))/100,"")</f>
        <v>0.49</v>
      </c>
      <c r="G1446" s="13">
        <f>IFERROR(VALUE(Raw_Data!F1446),"")</f>
        <v>4.3</v>
      </c>
      <c r="H1446" s="14">
        <f>IFERROR(VALUE(SUBSTITUTE(Raw_Data!G1446,",","")),"")</f>
        <v>2664</v>
      </c>
      <c r="I1446" s="11">
        <f t="shared" si="88"/>
        <v>247</v>
      </c>
      <c r="J1446" s="11">
        <f t="shared" si="89"/>
        <v>673992</v>
      </c>
      <c r="K1446" s="1">
        <f t="shared" si="90"/>
        <v>2664.0001446000001</v>
      </c>
      <c r="L1446" s="15">
        <f t="shared" si="91"/>
        <v>0.49014459999999999</v>
      </c>
    </row>
    <row r="1447" spans="1:12" ht="15" customHeight="1" x14ac:dyDescent="0.25">
      <c r="A1447" s="10" t="str">
        <f>Raw_Data!A1447</f>
        <v>Larrito wooden Cool Mist Humidifiers Essential Oil Diffuser Aroma Air Humidifier with Colorful Change for Car, Office, Babies, humidifiers for home, air humidifier for room (WOODEN HUMIDIFIRE-A)</v>
      </c>
      <c r="B1447" s="10" t="str">
        <f>IFERROR(TRIM(LEFT(Raw_Data!A1447,FIND(" ",Raw_Data!A1447)-1)),Raw_Data!A1447)</f>
        <v>Larrito</v>
      </c>
      <c r="C1447" s="10" t="str">
        <f>IFERROR(LEFT(Raw_Data!B1447,FIND("|",Raw_Data!B1447)-1),Raw_Data!B1447)</f>
        <v>Home&amp;Kitchen</v>
      </c>
      <c r="D1447" s="11">
        <f>IFERROR(VALUE(SUBSTITUTE(SUBSTITUTE(TRIM(Raw_Data!C1447),"₹",""),",","")),"")</f>
        <v>499</v>
      </c>
      <c r="E1447" s="11">
        <f>IFERROR(VALUE(SUBSTITUTE(SUBSTITUTE(TRIM(Raw_Data!D1447),"₹",""),",","")),"")</f>
        <v>799</v>
      </c>
      <c r="F1447" s="12">
        <f>IFERROR(VALUE(SUBSTITUTE(Raw_Data!E1447,"%",""))/100,"")</f>
        <v>0.38</v>
      </c>
      <c r="G1447" s="13">
        <f>IFERROR(VALUE(Raw_Data!F1447),"")</f>
        <v>3.6</v>
      </c>
      <c r="H1447" s="14">
        <f>IFERROR(VALUE(SUBSTITUTE(Raw_Data!G1447,",","")),"")</f>
        <v>212</v>
      </c>
      <c r="I1447" s="11">
        <f t="shared" si="88"/>
        <v>300</v>
      </c>
      <c r="J1447" s="11">
        <f t="shared" si="89"/>
        <v>105788</v>
      </c>
      <c r="K1447" s="1">
        <f t="shared" si="90"/>
        <v>212.00014469999999</v>
      </c>
      <c r="L1447" s="15">
        <f t="shared" si="91"/>
        <v>0.3801447</v>
      </c>
    </row>
    <row r="1448" spans="1:12" ht="15" customHeight="1" x14ac:dyDescent="0.25">
      <c r="A1448" s="10" t="str">
        <f>Raw_Data!A1448</f>
        <v>Hilton Quartz Heater 400/800-Watt ISI 2 Rods Multi Mode Heater Long Lasting Quick Heating Extremely Warm (Grey)</v>
      </c>
      <c r="B1448" s="10" t="str">
        <f>IFERROR(TRIM(LEFT(Raw_Data!A1448,FIND(" ",Raw_Data!A1448)-1)),Raw_Data!A1448)</f>
        <v>Hilton</v>
      </c>
      <c r="C1448" s="10" t="str">
        <f>IFERROR(LEFT(Raw_Data!B1448,FIND("|",Raw_Data!B1448)-1),Raw_Data!B1448)</f>
        <v>Home&amp;Kitchen</v>
      </c>
      <c r="D1448" s="11">
        <f>IFERROR(VALUE(SUBSTITUTE(SUBSTITUTE(TRIM(Raw_Data!C1448),"₹",""),",","")),"")</f>
        <v>1149</v>
      </c>
      <c r="E1448" s="11">
        <f>IFERROR(VALUE(SUBSTITUTE(SUBSTITUTE(TRIM(Raw_Data!D1448),"₹",""),",","")),"")</f>
        <v>1899</v>
      </c>
      <c r="F1448" s="12">
        <f>IFERROR(VALUE(SUBSTITUTE(Raw_Data!E1448,"%",""))/100,"")</f>
        <v>0.39</v>
      </c>
      <c r="G1448" s="13">
        <f>IFERROR(VALUE(Raw_Data!F1448),"")</f>
        <v>3.5</v>
      </c>
      <c r="H1448" s="14">
        <f>IFERROR(VALUE(SUBSTITUTE(Raw_Data!G1448,",","")),"")</f>
        <v>24</v>
      </c>
      <c r="I1448" s="11">
        <f t="shared" si="88"/>
        <v>750</v>
      </c>
      <c r="J1448" s="11">
        <f t="shared" si="89"/>
        <v>27576</v>
      </c>
      <c r="K1448" s="1">
        <f t="shared" si="90"/>
        <v>24.000144800000001</v>
      </c>
      <c r="L1448" s="15">
        <f t="shared" si="91"/>
        <v>0.39014480000000001</v>
      </c>
    </row>
    <row r="1449" spans="1:12" ht="15" customHeight="1" x14ac:dyDescent="0.25">
      <c r="A1449" s="10" t="str">
        <f>Raw_Data!A1449</f>
        <v>Syska SDI-07 1000 W Stellar with Golden American Heritage Soleplate Dry Iron (Blue)</v>
      </c>
      <c r="B1449" s="10" t="str">
        <f>IFERROR(TRIM(LEFT(Raw_Data!A1449,FIND(" ",Raw_Data!A1449)-1)),Raw_Data!A1449)</f>
        <v>Syska</v>
      </c>
      <c r="C1449" s="10" t="str">
        <f>IFERROR(LEFT(Raw_Data!B1449,FIND("|",Raw_Data!B1449)-1),Raw_Data!B1449)</f>
        <v>Home&amp;Kitchen</v>
      </c>
      <c r="D1449" s="11">
        <f>IFERROR(VALUE(SUBSTITUTE(SUBSTITUTE(TRIM(Raw_Data!C1449),"₹",""),",","")),"")</f>
        <v>457</v>
      </c>
      <c r="E1449" s="11">
        <f>IFERROR(VALUE(SUBSTITUTE(SUBSTITUTE(TRIM(Raw_Data!D1449),"₹",""),",","")),"")</f>
        <v>799</v>
      </c>
      <c r="F1449" s="12">
        <f>IFERROR(VALUE(SUBSTITUTE(Raw_Data!E1449,"%",""))/100,"")</f>
        <v>0.43</v>
      </c>
      <c r="G1449" s="13">
        <f>IFERROR(VALUE(Raw_Data!F1449),"")</f>
        <v>4.3</v>
      </c>
      <c r="H1449" s="14">
        <f>IFERROR(VALUE(SUBSTITUTE(Raw_Data!G1449,",","")),"")</f>
        <v>1868</v>
      </c>
      <c r="I1449" s="11">
        <f t="shared" si="88"/>
        <v>342</v>
      </c>
      <c r="J1449" s="11">
        <f t="shared" si="89"/>
        <v>853676</v>
      </c>
      <c r="K1449" s="1">
        <f t="shared" si="90"/>
        <v>1868.0001448999999</v>
      </c>
      <c r="L1449" s="15">
        <f t="shared" si="91"/>
        <v>0.4301449</v>
      </c>
    </row>
    <row r="1450" spans="1:12" ht="15" customHeight="1" x14ac:dyDescent="0.25">
      <c r="A1450" s="10" t="str">
        <f>Raw_Data!A1450</f>
        <v>IKEA Milk Frother for Your Milk, Coffee,(Cold and hot Drinks), Black</v>
      </c>
      <c r="B1450" s="10" t="str">
        <f>IFERROR(TRIM(LEFT(Raw_Data!A1450,FIND(" ",Raw_Data!A1450)-1)),Raw_Data!A1450)</f>
        <v>IKEA</v>
      </c>
      <c r="C1450" s="10" t="str">
        <f>IFERROR(LEFT(Raw_Data!B1450,FIND("|",Raw_Data!B1450)-1),Raw_Data!B1450)</f>
        <v>Home&amp;Kitchen</v>
      </c>
      <c r="D1450" s="11">
        <f>IFERROR(VALUE(SUBSTITUTE(SUBSTITUTE(TRIM(Raw_Data!C1450),"₹",""),",","")),"")</f>
        <v>229</v>
      </c>
      <c r="E1450" s="11">
        <f>IFERROR(VALUE(SUBSTITUTE(SUBSTITUTE(TRIM(Raw_Data!D1450),"₹",""),",","")),"")</f>
        <v>399</v>
      </c>
      <c r="F1450" s="12">
        <f>IFERROR(VALUE(SUBSTITUTE(Raw_Data!E1450,"%",""))/100,"")</f>
        <v>0.43</v>
      </c>
      <c r="G1450" s="13">
        <f>IFERROR(VALUE(Raw_Data!F1450),"")</f>
        <v>3.6</v>
      </c>
      <c r="H1450" s="14">
        <f>IFERROR(VALUE(SUBSTITUTE(Raw_Data!G1450,",","")),"")</f>
        <v>451</v>
      </c>
      <c r="I1450" s="11">
        <f t="shared" si="88"/>
        <v>170</v>
      </c>
      <c r="J1450" s="11">
        <f t="shared" si="89"/>
        <v>103279</v>
      </c>
      <c r="K1450" s="1">
        <f t="shared" si="90"/>
        <v>451.00014499999997</v>
      </c>
      <c r="L1450" s="15">
        <f t="shared" si="91"/>
        <v>0.430145</v>
      </c>
    </row>
    <row r="1451" spans="1:12" ht="15" customHeight="1" x14ac:dyDescent="0.25">
      <c r="A1451" s="10" t="str">
        <f>Raw_Data!A1451</f>
        <v>IONIX Tap filter Multilayer | Activated Carbon Faucet Water Filters Universal Interface Home Kitchen Faucet Tap Water Clean Purifier Filter Cartridge Five Layer Water Filter-Pack of 1</v>
      </c>
      <c r="B1451" s="10" t="str">
        <f>IFERROR(TRIM(LEFT(Raw_Data!A1451,FIND(" ",Raw_Data!A1451)-1)),Raw_Data!A1451)</f>
        <v>IONIX</v>
      </c>
      <c r="C1451" s="10" t="str">
        <f>IFERROR(LEFT(Raw_Data!B1451,FIND("|",Raw_Data!B1451)-1),Raw_Data!B1451)</f>
        <v>Home&amp;Kitchen</v>
      </c>
      <c r="D1451" s="11">
        <f>IFERROR(VALUE(SUBSTITUTE(SUBSTITUTE(TRIM(Raw_Data!C1451),"₹",""),",","")),"")</f>
        <v>199</v>
      </c>
      <c r="E1451" s="11">
        <f>IFERROR(VALUE(SUBSTITUTE(SUBSTITUTE(TRIM(Raw_Data!D1451),"₹",""),",","")),"")</f>
        <v>699</v>
      </c>
      <c r="F1451" s="12">
        <f>IFERROR(VALUE(SUBSTITUTE(Raw_Data!E1451,"%",""))/100,"")</f>
        <v>0.72</v>
      </c>
      <c r="G1451" s="13">
        <f>IFERROR(VALUE(Raw_Data!F1451),"")</f>
        <v>2.9</v>
      </c>
      <c r="H1451" s="14">
        <f>IFERROR(VALUE(SUBSTITUTE(Raw_Data!G1451,",","")),"")</f>
        <v>159</v>
      </c>
      <c r="I1451" s="11">
        <f t="shared" si="88"/>
        <v>500</v>
      </c>
      <c r="J1451" s="11">
        <f t="shared" si="89"/>
        <v>31641</v>
      </c>
      <c r="K1451" s="1">
        <f t="shared" si="90"/>
        <v>159.0001451</v>
      </c>
      <c r="L1451" s="15">
        <f t="shared" si="91"/>
        <v>0.72014509999999998</v>
      </c>
    </row>
    <row r="1452" spans="1:12" ht="15" customHeight="1" x14ac:dyDescent="0.25">
      <c r="A1452" s="10" t="str">
        <f>Raw_Data!A1452</f>
        <v>Kitchengenix's Mini Waffle Maker 4 Inch- 350 Watts: Stainless Steel Non-Stick Electric Iron Machine for Individual Belgian Waffles, Pan Cakes, Paninis or Other Snacks (Red)</v>
      </c>
      <c r="B1452" s="10" t="str">
        <f>IFERROR(TRIM(LEFT(Raw_Data!A1452,FIND(" ",Raw_Data!A1452)-1)),Raw_Data!A1452)</f>
        <v>Kitchengenix's</v>
      </c>
      <c r="C1452" s="10" t="str">
        <f>IFERROR(LEFT(Raw_Data!B1452,FIND("|",Raw_Data!B1452)-1),Raw_Data!B1452)</f>
        <v>Home&amp;Kitchen</v>
      </c>
      <c r="D1452" s="11">
        <f>IFERROR(VALUE(SUBSTITUTE(SUBSTITUTE(TRIM(Raw_Data!C1452),"₹",""),",","")),"")</f>
        <v>899</v>
      </c>
      <c r="E1452" s="11">
        <f>IFERROR(VALUE(SUBSTITUTE(SUBSTITUTE(TRIM(Raw_Data!D1452),"₹",""),",","")),"")</f>
        <v>1999</v>
      </c>
      <c r="F1452" s="12">
        <f>IFERROR(VALUE(SUBSTITUTE(Raw_Data!E1452,"%",""))/100,"")</f>
        <v>0.55000000000000004</v>
      </c>
      <c r="G1452" s="13">
        <f>IFERROR(VALUE(Raw_Data!F1452),"")</f>
        <v>4.2</v>
      </c>
      <c r="H1452" s="14">
        <f>IFERROR(VALUE(SUBSTITUTE(Raw_Data!G1452,",","")),"")</f>
        <v>39</v>
      </c>
      <c r="I1452" s="11">
        <f t="shared" si="88"/>
        <v>1100</v>
      </c>
      <c r="J1452" s="11">
        <f t="shared" si="89"/>
        <v>35061</v>
      </c>
      <c r="K1452" s="1">
        <f t="shared" si="90"/>
        <v>39.000145199999999</v>
      </c>
      <c r="L1452" s="15">
        <f t="shared" si="91"/>
        <v>0.5501452</v>
      </c>
    </row>
    <row r="1453" spans="1:12" ht="15" customHeight="1" x14ac:dyDescent="0.25">
      <c r="A1453" s="10" t="str">
        <f>Raw_Data!A1453</f>
        <v>Bajaj HM-01 Powerful 250W Hand Mixer, Black</v>
      </c>
      <c r="B1453" s="10" t="str">
        <f>IFERROR(TRIM(LEFT(Raw_Data!A1453,FIND(" ",Raw_Data!A1453)-1)),Raw_Data!A1453)</f>
        <v>Bajaj</v>
      </c>
      <c r="C1453" s="10" t="str">
        <f>IFERROR(LEFT(Raw_Data!B1453,FIND("|",Raw_Data!B1453)-1),Raw_Data!B1453)</f>
        <v>Home&amp;Kitchen</v>
      </c>
      <c r="D1453" s="11">
        <f>IFERROR(VALUE(SUBSTITUTE(SUBSTITUTE(TRIM(Raw_Data!C1453),"₹",""),",","")),"")</f>
        <v>1499</v>
      </c>
      <c r="E1453" s="11">
        <f>IFERROR(VALUE(SUBSTITUTE(SUBSTITUTE(TRIM(Raw_Data!D1453),"₹",""),",","")),"")</f>
        <v>2199</v>
      </c>
      <c r="F1453" s="12">
        <f>IFERROR(VALUE(SUBSTITUTE(Raw_Data!E1453,"%",""))/100,"")</f>
        <v>0.32</v>
      </c>
      <c r="G1453" s="13">
        <f>IFERROR(VALUE(Raw_Data!F1453),"")</f>
        <v>4.4000000000000004</v>
      </c>
      <c r="H1453" s="14">
        <f>IFERROR(VALUE(SUBSTITUTE(Raw_Data!G1453,",","")),"")</f>
        <v>6531</v>
      </c>
      <c r="I1453" s="11">
        <f t="shared" si="88"/>
        <v>700</v>
      </c>
      <c r="J1453" s="11">
        <f t="shared" si="89"/>
        <v>9789969</v>
      </c>
      <c r="K1453" s="1">
        <f t="shared" si="90"/>
        <v>6531.0001453000004</v>
      </c>
      <c r="L1453" s="15">
        <f t="shared" si="91"/>
        <v>0.32014530000000002</v>
      </c>
    </row>
    <row r="1454" spans="1:12" ht="15" customHeight="1" x14ac:dyDescent="0.25">
      <c r="A1454" s="10" t="str">
        <f>Raw_Data!A1454</f>
        <v>KNOWZA Electric Handheld Milk Wand Mixer Frother for Latte Coffee Hot Milk, Milk Frother for Coffee, Egg Beater, Hand Blender, Coffee Beater (BLACK COFFEE BEATER)</v>
      </c>
      <c r="B1454" s="10" t="str">
        <f>IFERROR(TRIM(LEFT(Raw_Data!A1454,FIND(" ",Raw_Data!A1454)-1)),Raw_Data!A1454)</f>
        <v>KNOWZA</v>
      </c>
      <c r="C1454" s="10" t="str">
        <f>IFERROR(LEFT(Raw_Data!B1454,FIND("|",Raw_Data!B1454)-1),Raw_Data!B1454)</f>
        <v>Home&amp;Kitchen</v>
      </c>
      <c r="D1454" s="11">
        <f>IFERROR(VALUE(SUBSTITUTE(SUBSTITUTE(TRIM(Raw_Data!C1454),"₹",""),",","")),"")</f>
        <v>426</v>
      </c>
      <c r="E1454" s="11">
        <f>IFERROR(VALUE(SUBSTITUTE(SUBSTITUTE(TRIM(Raw_Data!D1454),"₹",""),",","")),"")</f>
        <v>999</v>
      </c>
      <c r="F1454" s="12">
        <f>IFERROR(VALUE(SUBSTITUTE(Raw_Data!E1454,"%",""))/100,"")</f>
        <v>0.56999999999999995</v>
      </c>
      <c r="G1454" s="13">
        <f>IFERROR(VALUE(Raw_Data!F1454),"")</f>
        <v>4.0999999999999996</v>
      </c>
      <c r="H1454" s="14">
        <f>IFERROR(VALUE(SUBSTITUTE(Raw_Data!G1454,",","")),"")</f>
        <v>222</v>
      </c>
      <c r="I1454" s="11">
        <f t="shared" si="88"/>
        <v>573</v>
      </c>
      <c r="J1454" s="11">
        <f t="shared" si="89"/>
        <v>94572</v>
      </c>
      <c r="K1454" s="1">
        <f t="shared" si="90"/>
        <v>222.00014540000001</v>
      </c>
      <c r="L1454" s="15">
        <f t="shared" si="91"/>
        <v>0.57014539999999991</v>
      </c>
    </row>
    <row r="1455" spans="1:12" ht="15" customHeight="1" x14ac:dyDescent="0.25">
      <c r="A1455" s="10" t="str">
        <f>Raw_Data!A1455</f>
        <v>Usha Hc 812 T Thermo Fan Room Heater</v>
      </c>
      <c r="B1455" s="10" t="str">
        <f>IFERROR(TRIM(LEFT(Raw_Data!A1455,FIND(" ",Raw_Data!A1455)-1)),Raw_Data!A1455)</f>
        <v>Usha</v>
      </c>
      <c r="C1455" s="10" t="str">
        <f>IFERROR(LEFT(Raw_Data!B1455,FIND("|",Raw_Data!B1455)-1),Raw_Data!B1455)</f>
        <v>Home&amp;Kitchen</v>
      </c>
      <c r="D1455" s="11">
        <f>IFERROR(VALUE(SUBSTITUTE(SUBSTITUTE(TRIM(Raw_Data!C1455),"₹",""),",","")),"")</f>
        <v>2320</v>
      </c>
      <c r="E1455" s="11">
        <f>IFERROR(VALUE(SUBSTITUTE(SUBSTITUTE(TRIM(Raw_Data!D1455),"₹",""),",","")),"")</f>
        <v>3290</v>
      </c>
      <c r="F1455" s="12">
        <f>IFERROR(VALUE(SUBSTITUTE(Raw_Data!E1455,"%",""))/100,"")</f>
        <v>0.28999999999999998</v>
      </c>
      <c r="G1455" s="13">
        <f>IFERROR(VALUE(Raw_Data!F1455),"")</f>
        <v>3.8</v>
      </c>
      <c r="H1455" s="14">
        <f>IFERROR(VALUE(SUBSTITUTE(Raw_Data!G1455,",","")),"")</f>
        <v>195</v>
      </c>
      <c r="I1455" s="11">
        <f t="shared" si="88"/>
        <v>970</v>
      </c>
      <c r="J1455" s="11">
        <f t="shared" si="89"/>
        <v>452400</v>
      </c>
      <c r="K1455" s="1">
        <f t="shared" si="90"/>
        <v>195.0001455</v>
      </c>
      <c r="L1455" s="15">
        <f t="shared" si="91"/>
        <v>0.2901455</v>
      </c>
    </row>
    <row r="1456" spans="1:12" ht="15" customHeight="1" x14ac:dyDescent="0.25">
      <c r="A1456" s="10" t="str">
        <f>Raw_Data!A1456</f>
        <v>akiara - Makes life easy Mini Sewing Machine for Home Tailoring use | Mini Silai Machine with Sewing Kit Set Sewing Box with Thread Scissors, Needle All in One Sewing Accessories (White &amp; Purple)</v>
      </c>
      <c r="B1456" s="10" t="str">
        <f>IFERROR(TRIM(LEFT(Raw_Data!A1456,FIND(" ",Raw_Data!A1456)-1)),Raw_Data!A1456)</f>
        <v>akiara</v>
      </c>
      <c r="C1456" s="10" t="str">
        <f>IFERROR(LEFT(Raw_Data!B1456,FIND("|",Raw_Data!B1456)-1),Raw_Data!B1456)</f>
        <v>Home&amp;Kitchen</v>
      </c>
      <c r="D1456" s="11">
        <f>IFERROR(VALUE(SUBSTITUTE(SUBSTITUTE(TRIM(Raw_Data!C1456),"₹",""),",","")),"")</f>
        <v>1563</v>
      </c>
      <c r="E1456" s="11">
        <f>IFERROR(VALUE(SUBSTITUTE(SUBSTITUTE(TRIM(Raw_Data!D1456),"₹",""),",","")),"")</f>
        <v>3098</v>
      </c>
      <c r="F1456" s="12">
        <f>IFERROR(VALUE(SUBSTITUTE(Raw_Data!E1456,"%",""))/100,"")</f>
        <v>0.5</v>
      </c>
      <c r="G1456" s="13">
        <f>IFERROR(VALUE(Raw_Data!F1456),"")</f>
        <v>3.5</v>
      </c>
      <c r="H1456" s="14">
        <f>IFERROR(VALUE(SUBSTITUTE(Raw_Data!G1456,",","")),"")</f>
        <v>2283</v>
      </c>
      <c r="I1456" s="11">
        <f t="shared" si="88"/>
        <v>1535</v>
      </c>
      <c r="J1456" s="11">
        <f t="shared" si="89"/>
        <v>3568329</v>
      </c>
      <c r="K1456" s="1">
        <f t="shared" si="90"/>
        <v>2283.0001456</v>
      </c>
      <c r="L1456" s="15">
        <f t="shared" si="91"/>
        <v>0.50014559999999997</v>
      </c>
    </row>
    <row r="1457" spans="1:12" ht="15" customHeight="1" x14ac:dyDescent="0.25">
      <c r="A1457" s="10" t="str">
        <f>Raw_Data!A1457</f>
        <v>USHA 1212 PTC with Adjustable Thermostat Fan Heater (Black/Brown, 1500-Watts).</v>
      </c>
      <c r="B1457" s="10" t="str">
        <f>IFERROR(TRIM(LEFT(Raw_Data!A1457,FIND(" ",Raw_Data!A1457)-1)),Raw_Data!A1457)</f>
        <v>USHA</v>
      </c>
      <c r="C1457" s="10" t="str">
        <f>IFERROR(LEFT(Raw_Data!B1457,FIND("|",Raw_Data!B1457)-1),Raw_Data!B1457)</f>
        <v>Home&amp;Kitchen</v>
      </c>
      <c r="D1457" s="11">
        <f>IFERROR(VALUE(SUBSTITUTE(SUBSTITUTE(TRIM(Raw_Data!C1457),"₹",""),",","")),"")</f>
        <v>3487.77</v>
      </c>
      <c r="E1457" s="11">
        <f>IFERROR(VALUE(SUBSTITUTE(SUBSTITUTE(TRIM(Raw_Data!D1457),"₹",""),",","")),"")</f>
        <v>4990</v>
      </c>
      <c r="F1457" s="12">
        <f>IFERROR(VALUE(SUBSTITUTE(Raw_Data!E1457,"%",""))/100,"")</f>
        <v>0.3</v>
      </c>
      <c r="G1457" s="13">
        <f>IFERROR(VALUE(Raw_Data!F1457),"")</f>
        <v>4.0999999999999996</v>
      </c>
      <c r="H1457" s="14">
        <f>IFERROR(VALUE(SUBSTITUTE(Raw_Data!G1457,",","")),"")</f>
        <v>1127</v>
      </c>
      <c r="I1457" s="11">
        <f t="shared" si="88"/>
        <v>1502.23</v>
      </c>
      <c r="J1457" s="11">
        <f t="shared" si="89"/>
        <v>3930716.79</v>
      </c>
      <c r="K1457" s="1">
        <f t="shared" si="90"/>
        <v>1127.0001457000001</v>
      </c>
      <c r="L1457" s="15">
        <f t="shared" si="91"/>
        <v>0.30014570000000002</v>
      </c>
    </row>
    <row r="1458" spans="1:12" ht="15" customHeight="1" x14ac:dyDescent="0.25">
      <c r="A1458" s="10" t="str">
        <f>Raw_Data!A1458</f>
        <v>4 in 1 Handheld Electric Vegetable Cutter Set,Wireless Food Processor Electric Food Chopper for Garlic Chili Pepper Onion Ginger Celery Meat with Brush</v>
      </c>
      <c r="B1458" s="10" t="str">
        <f>IFERROR(TRIM(LEFT(Raw_Data!A1458,FIND(" ",Raw_Data!A1458)-1)),Raw_Data!A1458)</f>
        <v>4</v>
      </c>
      <c r="C1458" s="10" t="str">
        <f>IFERROR(LEFT(Raw_Data!B1458,FIND("|",Raw_Data!B1458)-1),Raw_Data!B1458)</f>
        <v>Home&amp;Kitchen</v>
      </c>
      <c r="D1458" s="11">
        <f>IFERROR(VALUE(SUBSTITUTE(SUBSTITUTE(TRIM(Raw_Data!C1458),"₹",""),",","")),"")</f>
        <v>498</v>
      </c>
      <c r="E1458" s="11">
        <f>IFERROR(VALUE(SUBSTITUTE(SUBSTITUTE(TRIM(Raw_Data!D1458),"₹",""),",","")),"")</f>
        <v>1200</v>
      </c>
      <c r="F1458" s="12">
        <f>IFERROR(VALUE(SUBSTITUTE(Raw_Data!E1458,"%",""))/100,"")</f>
        <v>0.59</v>
      </c>
      <c r="G1458" s="13">
        <f>IFERROR(VALUE(Raw_Data!F1458),"")</f>
        <v>3.2</v>
      </c>
      <c r="H1458" s="14">
        <f>IFERROR(VALUE(SUBSTITUTE(Raw_Data!G1458,",","")),"")</f>
        <v>113</v>
      </c>
      <c r="I1458" s="11">
        <f t="shared" si="88"/>
        <v>702</v>
      </c>
      <c r="J1458" s="11">
        <f t="shared" si="89"/>
        <v>56274</v>
      </c>
      <c r="K1458" s="1">
        <f t="shared" si="90"/>
        <v>113.0001458</v>
      </c>
      <c r="L1458" s="15">
        <f t="shared" si="91"/>
        <v>0.59014579999999994</v>
      </c>
    </row>
    <row r="1459" spans="1:12" ht="15" customHeight="1" x14ac:dyDescent="0.25">
      <c r="A1459" s="10" t="str">
        <f>Raw_Data!A1459</f>
        <v>Philips HD9306/06 1.5-Litre Electric Kettle (Multicolor)</v>
      </c>
      <c r="B1459" s="10" t="str">
        <f>IFERROR(TRIM(LEFT(Raw_Data!A1459,FIND(" ",Raw_Data!A1459)-1)),Raw_Data!A1459)</f>
        <v>Philips</v>
      </c>
      <c r="C1459" s="10" t="str">
        <f>IFERROR(LEFT(Raw_Data!B1459,FIND("|",Raw_Data!B1459)-1),Raw_Data!B1459)</f>
        <v>Home&amp;Kitchen</v>
      </c>
      <c r="D1459" s="11">
        <f>IFERROR(VALUE(SUBSTITUTE(SUBSTITUTE(TRIM(Raw_Data!C1459),"₹",""),",","")),"")</f>
        <v>2695</v>
      </c>
      <c r="E1459" s="11">
        <f>IFERROR(VALUE(SUBSTITUTE(SUBSTITUTE(TRIM(Raw_Data!D1459),"₹",""),",","")),"")</f>
        <v>2695</v>
      </c>
      <c r="F1459" s="12">
        <f>IFERROR(VALUE(SUBSTITUTE(Raw_Data!E1459,"%",""))/100,"")</f>
        <v>0</v>
      </c>
      <c r="G1459" s="13">
        <f>IFERROR(VALUE(Raw_Data!F1459),"")</f>
        <v>4.4000000000000004</v>
      </c>
      <c r="H1459" s="14">
        <f>IFERROR(VALUE(SUBSTITUTE(Raw_Data!G1459,",","")),"")</f>
        <v>2518</v>
      </c>
      <c r="I1459" s="11">
        <f t="shared" si="88"/>
        <v>0</v>
      </c>
      <c r="J1459" s="11">
        <f t="shared" si="89"/>
        <v>6786010</v>
      </c>
      <c r="K1459" s="1">
        <f t="shared" si="90"/>
        <v>2518.0001459</v>
      </c>
      <c r="L1459" s="15">
        <f t="shared" si="91"/>
        <v>1.459E-4</v>
      </c>
    </row>
    <row r="1460" spans="1:12" ht="15" customHeight="1" x14ac:dyDescent="0.25">
      <c r="A1460" s="10" t="str">
        <f>Raw_Data!A1460</f>
        <v>Libra Room Heater for Home, Room Heaters Home for Winter, Electric Heater with 2000 Watts Power as per IS Specification for Small to Medium Rooms - FH12 (Grey)</v>
      </c>
      <c r="B1460" s="10" t="str">
        <f>IFERROR(TRIM(LEFT(Raw_Data!A1460,FIND(" ",Raw_Data!A1460)-1)),Raw_Data!A1460)</f>
        <v>Libra</v>
      </c>
      <c r="C1460" s="10" t="str">
        <f>IFERROR(LEFT(Raw_Data!B1460,FIND("|",Raw_Data!B1460)-1),Raw_Data!B1460)</f>
        <v>Home&amp;Kitchen</v>
      </c>
      <c r="D1460" s="11">
        <f>IFERROR(VALUE(SUBSTITUTE(SUBSTITUTE(TRIM(Raw_Data!C1460),"₹",""),",","")),"")</f>
        <v>949</v>
      </c>
      <c r="E1460" s="11">
        <f>IFERROR(VALUE(SUBSTITUTE(SUBSTITUTE(TRIM(Raw_Data!D1460),"₹",""),",","")),"")</f>
        <v>2299</v>
      </c>
      <c r="F1460" s="12">
        <f>IFERROR(VALUE(SUBSTITUTE(Raw_Data!E1460,"%",""))/100,"")</f>
        <v>0.59</v>
      </c>
      <c r="G1460" s="13">
        <f>IFERROR(VALUE(Raw_Data!F1460),"")</f>
        <v>3.6</v>
      </c>
      <c r="H1460" s="14">
        <f>IFERROR(VALUE(SUBSTITUTE(Raw_Data!G1460,",","")),"")</f>
        <v>550</v>
      </c>
      <c r="I1460" s="11">
        <f t="shared" si="88"/>
        <v>1350</v>
      </c>
      <c r="J1460" s="11">
        <f t="shared" si="89"/>
        <v>521950</v>
      </c>
      <c r="K1460" s="1">
        <f t="shared" si="90"/>
        <v>550.00014599999997</v>
      </c>
      <c r="L1460" s="15">
        <f t="shared" si="91"/>
        <v>0.59014599999999995</v>
      </c>
    </row>
    <row r="1461" spans="1:12" ht="15" customHeight="1" x14ac:dyDescent="0.25">
      <c r="A1461" s="10" t="str">
        <f>Raw_Data!A1461</f>
        <v>NGI Store 2 Pieces Pet Hair Removers for Your Laundry Catcher Lint Remover for Washing Machine Lint Remover Reusable Portable Silica Gel Clothes Washer Dryer Floating Ball</v>
      </c>
      <c r="B1461" s="10" t="str">
        <f>IFERROR(TRIM(LEFT(Raw_Data!A1461,FIND(" ",Raw_Data!A1461)-1)),Raw_Data!A1461)</f>
        <v>NGI</v>
      </c>
      <c r="C1461" s="10" t="str">
        <f>IFERROR(LEFT(Raw_Data!B1461,FIND("|",Raw_Data!B1461)-1),Raw_Data!B1461)</f>
        <v>Home&amp;Kitchen</v>
      </c>
      <c r="D1461" s="11">
        <f>IFERROR(VALUE(SUBSTITUTE(SUBSTITUTE(TRIM(Raw_Data!C1461),"₹",""),",","")),"")</f>
        <v>199</v>
      </c>
      <c r="E1461" s="11">
        <f>IFERROR(VALUE(SUBSTITUTE(SUBSTITUTE(TRIM(Raw_Data!D1461),"₹",""),",","")),"")</f>
        <v>999</v>
      </c>
      <c r="F1461" s="12">
        <f>IFERROR(VALUE(SUBSTITUTE(Raw_Data!E1461,"%",""))/100,"")</f>
        <v>0.8</v>
      </c>
      <c r="G1461" s="13">
        <f>IFERROR(VALUE(Raw_Data!F1461),"")</f>
        <v>3.1</v>
      </c>
      <c r="H1461" s="14">
        <f>IFERROR(VALUE(SUBSTITUTE(Raw_Data!G1461,",","")),"")</f>
        <v>2</v>
      </c>
      <c r="I1461" s="11">
        <f t="shared" si="88"/>
        <v>800</v>
      </c>
      <c r="J1461" s="11">
        <f t="shared" si="89"/>
        <v>398</v>
      </c>
      <c r="K1461" s="1">
        <f t="shared" si="90"/>
        <v>2.0001460999999998</v>
      </c>
      <c r="L1461" s="15">
        <f t="shared" si="91"/>
        <v>0.80014610000000008</v>
      </c>
    </row>
    <row r="1462" spans="1:12" ht="15" customHeight="1" x14ac:dyDescent="0.25">
      <c r="A1462" s="10" t="str">
        <f>Raw_Data!A1462</f>
        <v>Noir Aqua - 5pcs PP Spun Filter + 1 Spanner | for All Types of RO Water purifiers (5 Piece, White, 10 Inch, 5 Micron) - RO Spun Filter Cartridge Sponge Replacement Water Filter Candle</v>
      </c>
      <c r="B1462" s="10" t="str">
        <f>IFERROR(TRIM(LEFT(Raw_Data!A1462,FIND(" ",Raw_Data!A1462)-1)),Raw_Data!A1462)</f>
        <v>Noir</v>
      </c>
      <c r="C1462" s="10" t="str">
        <f>IFERROR(LEFT(Raw_Data!B1462,FIND("|",Raw_Data!B1462)-1),Raw_Data!B1462)</f>
        <v>Home&amp;Kitchen</v>
      </c>
      <c r="D1462" s="11">
        <f>IFERROR(VALUE(SUBSTITUTE(SUBSTITUTE(TRIM(Raw_Data!C1462),"₹",""),",","")),"")</f>
        <v>379</v>
      </c>
      <c r="E1462" s="11">
        <f>IFERROR(VALUE(SUBSTITUTE(SUBSTITUTE(TRIM(Raw_Data!D1462),"₹",""),",","")),"")</f>
        <v>919</v>
      </c>
      <c r="F1462" s="12">
        <f>IFERROR(VALUE(SUBSTITUTE(Raw_Data!E1462,"%",""))/100,"")</f>
        <v>0.59</v>
      </c>
      <c r="G1462" s="13">
        <f>IFERROR(VALUE(Raw_Data!F1462),"")</f>
        <v>4</v>
      </c>
      <c r="H1462" s="14">
        <f>IFERROR(VALUE(SUBSTITUTE(Raw_Data!G1462,",","")),"")</f>
        <v>1090</v>
      </c>
      <c r="I1462" s="11">
        <f t="shared" si="88"/>
        <v>540</v>
      </c>
      <c r="J1462" s="11">
        <f t="shared" si="89"/>
        <v>413110</v>
      </c>
      <c r="K1462" s="1">
        <f t="shared" si="90"/>
        <v>1090.0001462</v>
      </c>
      <c r="L1462" s="15">
        <f t="shared" si="91"/>
        <v>0.59014619999999995</v>
      </c>
    </row>
    <row r="1463" spans="1:12" ht="15" customHeight="1" x14ac:dyDescent="0.25">
      <c r="A1463" s="10" t="str">
        <f>Raw_Data!A1463</f>
        <v>Prestige Delight PRWO Electric Rice Cooker (1 L, White)</v>
      </c>
      <c r="B1463" s="10" t="str">
        <f>IFERROR(TRIM(LEFT(Raw_Data!A1463,FIND(" ",Raw_Data!A1463)-1)),Raw_Data!A1463)</f>
        <v>Prestige</v>
      </c>
      <c r="C1463" s="10" t="str">
        <f>IFERROR(LEFT(Raw_Data!B1463,FIND("|",Raw_Data!B1463)-1),Raw_Data!B1463)</f>
        <v>Home&amp;Kitchen</v>
      </c>
      <c r="D1463" s="11">
        <f>IFERROR(VALUE(SUBSTITUTE(SUBSTITUTE(TRIM(Raw_Data!C1463),"₹",""),",","")),"")</f>
        <v>2280</v>
      </c>
      <c r="E1463" s="11">
        <f>IFERROR(VALUE(SUBSTITUTE(SUBSTITUTE(TRIM(Raw_Data!D1463),"₹",""),",","")),"")</f>
        <v>3045</v>
      </c>
      <c r="F1463" s="12">
        <f>IFERROR(VALUE(SUBSTITUTE(Raw_Data!E1463,"%",""))/100,"")</f>
        <v>0.25</v>
      </c>
      <c r="G1463" s="13">
        <f>IFERROR(VALUE(Raw_Data!F1463),"")</f>
        <v>4.0999999999999996</v>
      </c>
      <c r="H1463" s="14">
        <f>IFERROR(VALUE(SUBSTITUTE(Raw_Data!G1463,",","")),"")</f>
        <v>4118</v>
      </c>
      <c r="I1463" s="11">
        <f t="shared" si="88"/>
        <v>765</v>
      </c>
      <c r="J1463" s="11">
        <f t="shared" si="89"/>
        <v>9389040</v>
      </c>
      <c r="K1463" s="1">
        <f t="shared" si="90"/>
        <v>4118.0001462999999</v>
      </c>
      <c r="L1463" s="15">
        <f t="shared" si="91"/>
        <v>0.25014629999999999</v>
      </c>
    </row>
    <row r="1464" spans="1:12" ht="15" customHeight="1" x14ac:dyDescent="0.25">
      <c r="A1464" s="10" t="str">
        <f>Raw_Data!A1464</f>
        <v>Bajaj Majesty RX10 2000 Watts Heat Convector Room Heater (White, ISI Approved)</v>
      </c>
      <c r="B1464" s="10" t="str">
        <f>IFERROR(TRIM(LEFT(Raw_Data!A1464,FIND(" ",Raw_Data!A1464)-1)),Raw_Data!A1464)</f>
        <v>Bajaj</v>
      </c>
      <c r="C1464" s="10" t="str">
        <f>IFERROR(LEFT(Raw_Data!B1464,FIND("|",Raw_Data!B1464)-1),Raw_Data!B1464)</f>
        <v>Home&amp;Kitchen</v>
      </c>
      <c r="D1464" s="11">
        <f>IFERROR(VALUE(SUBSTITUTE(SUBSTITUTE(TRIM(Raw_Data!C1464),"₹",""),",","")),"")</f>
        <v>2219</v>
      </c>
      <c r="E1464" s="11">
        <f>IFERROR(VALUE(SUBSTITUTE(SUBSTITUTE(TRIM(Raw_Data!D1464),"₹",""),",","")),"")</f>
        <v>3080</v>
      </c>
      <c r="F1464" s="12">
        <f>IFERROR(VALUE(SUBSTITUTE(Raw_Data!E1464,"%",""))/100,"")</f>
        <v>0.28000000000000003</v>
      </c>
      <c r="G1464" s="13">
        <f>IFERROR(VALUE(Raw_Data!F1464),"")</f>
        <v>3.6</v>
      </c>
      <c r="H1464" s="14">
        <f>IFERROR(VALUE(SUBSTITUTE(Raw_Data!G1464,",","")),"")</f>
        <v>468</v>
      </c>
      <c r="I1464" s="11">
        <f t="shared" si="88"/>
        <v>861</v>
      </c>
      <c r="J1464" s="11">
        <f t="shared" si="89"/>
        <v>1038492</v>
      </c>
      <c r="K1464" s="1">
        <f t="shared" si="90"/>
        <v>468.00014640000001</v>
      </c>
      <c r="L1464" s="15">
        <f t="shared" si="91"/>
        <v>0.28014640000000002</v>
      </c>
    </row>
    <row r="1465" spans="1:12" ht="15" customHeight="1" x14ac:dyDescent="0.25">
      <c r="A1465" s="10" t="str">
        <f>Raw_Data!A1465</f>
        <v>Havells Ventil Air DSP 230mm Exhaust Fan (Pista Green)</v>
      </c>
      <c r="B1465" s="10" t="str">
        <f>IFERROR(TRIM(LEFT(Raw_Data!A1465,FIND(" ",Raw_Data!A1465)-1)),Raw_Data!A1465)</f>
        <v>Havells</v>
      </c>
      <c r="C1465" s="10" t="str">
        <f>IFERROR(LEFT(Raw_Data!B1465,FIND("|",Raw_Data!B1465)-1),Raw_Data!B1465)</f>
        <v>Home&amp;Kitchen</v>
      </c>
      <c r="D1465" s="11">
        <f>IFERROR(VALUE(SUBSTITUTE(SUBSTITUTE(TRIM(Raw_Data!C1465),"₹",""),",","")),"")</f>
        <v>1399</v>
      </c>
      <c r="E1465" s="11">
        <f>IFERROR(VALUE(SUBSTITUTE(SUBSTITUTE(TRIM(Raw_Data!D1465),"₹",""),",","")),"")</f>
        <v>1890</v>
      </c>
      <c r="F1465" s="12">
        <f>IFERROR(VALUE(SUBSTITUTE(Raw_Data!E1465,"%",""))/100,"")</f>
        <v>0.26</v>
      </c>
      <c r="G1465" s="13">
        <f>IFERROR(VALUE(Raw_Data!F1465),"")</f>
        <v>4</v>
      </c>
      <c r="H1465" s="14">
        <f>IFERROR(VALUE(SUBSTITUTE(Raw_Data!G1465,",","")),"")</f>
        <v>8031</v>
      </c>
      <c r="I1465" s="11">
        <f t="shared" si="88"/>
        <v>491</v>
      </c>
      <c r="J1465" s="11">
        <f t="shared" si="89"/>
        <v>11235369</v>
      </c>
      <c r="K1465" s="1">
        <f t="shared" si="90"/>
        <v>8031.0001464999996</v>
      </c>
      <c r="L1465" s="15">
        <f t="shared" si="91"/>
        <v>0.2601465</v>
      </c>
    </row>
    <row r="1466" spans="1:12" ht="15" customHeight="1" x14ac:dyDescent="0.25">
      <c r="A1466" s="10" t="str">
        <f>Raw_Data!A1466</f>
        <v>Borosil Jumbo 1000-Watt Grill Sandwich Maker (Black)</v>
      </c>
      <c r="B1466" s="10" t="str">
        <f>IFERROR(TRIM(LEFT(Raw_Data!A1466,FIND(" ",Raw_Data!A1466)-1)),Raw_Data!A1466)</f>
        <v>Borosil</v>
      </c>
      <c r="C1466" s="10" t="str">
        <f>IFERROR(LEFT(Raw_Data!B1466,FIND("|",Raw_Data!B1466)-1),Raw_Data!B1466)</f>
        <v>Home&amp;Kitchen</v>
      </c>
      <c r="D1466" s="11">
        <f>IFERROR(VALUE(SUBSTITUTE(SUBSTITUTE(TRIM(Raw_Data!C1466),"₹",""),",","")),"")</f>
        <v>2863</v>
      </c>
      <c r="E1466" s="11">
        <f>IFERROR(VALUE(SUBSTITUTE(SUBSTITUTE(TRIM(Raw_Data!D1466),"₹",""),",","")),"")</f>
        <v>3690</v>
      </c>
      <c r="F1466" s="12">
        <f>IFERROR(VALUE(SUBSTITUTE(Raw_Data!E1466,"%",""))/100,"")</f>
        <v>0.22</v>
      </c>
      <c r="G1466" s="13">
        <f>IFERROR(VALUE(Raw_Data!F1466),"")</f>
        <v>4.3</v>
      </c>
      <c r="H1466" s="14">
        <f>IFERROR(VALUE(SUBSTITUTE(Raw_Data!G1466,",","")),"")</f>
        <v>6987</v>
      </c>
      <c r="I1466" s="11">
        <f t="shared" si="88"/>
        <v>827</v>
      </c>
      <c r="J1466" s="11">
        <f t="shared" si="89"/>
        <v>20003781</v>
      </c>
      <c r="K1466" s="1">
        <f t="shared" si="90"/>
        <v>6987.0001466000003</v>
      </c>
      <c r="L1466" s="15">
        <f t="shared" si="91"/>
        <v>0.2201466</v>
      </c>
    </row>
  </sheetData>
  <pageMargins left="0.3" right="0.3" top="0.4" bottom="0.4"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
  <sheetViews>
    <sheetView showGridLines="0" zoomScaleNormal="100" workbookViewId="0"/>
  </sheetViews>
  <sheetFormatPr defaultColWidth="8.7109375" defaultRowHeight="15" x14ac:dyDescent="0.25"/>
  <cols>
    <col min="1" max="1" width="16" style="1" customWidth="1"/>
    <col min="2" max="2" width="14" style="1" customWidth="1"/>
    <col min="3" max="3" width="20" style="1" customWidth="1"/>
    <col min="4" max="4" width="16" style="1" customWidth="1"/>
    <col min="5" max="5" width="14" style="1" customWidth="1"/>
    <col min="6" max="6" width="12" style="1" customWidth="1"/>
    <col min="7" max="7" width="14" style="1" customWidth="1"/>
  </cols>
  <sheetData>
    <row r="1" spans="1:7" ht="27.75" customHeight="1" x14ac:dyDescent="0.25">
      <c r="A1" s="16" t="s">
        <v>3655</v>
      </c>
      <c r="B1" s="16" t="s">
        <v>3666</v>
      </c>
      <c r="C1" s="16" t="s">
        <v>3667</v>
      </c>
      <c r="D1" s="16" t="s">
        <v>3668</v>
      </c>
      <c r="E1" s="16" t="s">
        <v>3669</v>
      </c>
      <c r="F1" s="16" t="s">
        <v>3670</v>
      </c>
      <c r="G1" s="16" t="s">
        <v>3671</v>
      </c>
    </row>
    <row r="2" spans="1:7" ht="15" customHeight="1" x14ac:dyDescent="0.25">
      <c r="A2" s="7" t="s">
        <v>3672</v>
      </c>
      <c r="B2" s="10">
        <f>COUNTIF(Clean_Data!$B$2:$B$1466,A2)</f>
        <v>68</v>
      </c>
      <c r="C2" s="17">
        <f>AVERAGEIF(Clean_Data!$B$2:$B$1466,A2,Clean_Data!$D$2:$D$1466)</f>
        <v>1044.455588235294</v>
      </c>
      <c r="D2" s="17">
        <f>AVERAGEIF(Clean_Data!$B$2:$B$1466,A2,Clean_Data!$E$2:$E$1466)</f>
        <v>3268.4852941176468</v>
      </c>
      <c r="E2" s="18">
        <f>AVERAGEIF(Clean_Data!$B$2:$B$1466,A2,Clean_Data!$F$2:$F$1466)</f>
        <v>0.63044117647058817</v>
      </c>
      <c r="F2" s="19">
        <f>AVERAGEIF(Clean_Data!$B$2:$B$1466,A2,Clean_Data!$G$2:$G$1466)</f>
        <v>4.0852941176470585</v>
      </c>
      <c r="G2" s="20">
        <f>SUMIF(Clean_Data!$B$2:$B$1466,A2,Clean_Data!$H$2:$H$1466)</f>
        <v>4445359</v>
      </c>
    </row>
    <row r="3" spans="1:7" ht="15" customHeight="1" x14ac:dyDescent="0.25">
      <c r="A3" s="7" t="s">
        <v>3673</v>
      </c>
      <c r="B3" s="10">
        <f>COUNTIF(Clean_Data!$B$2:$B$1466,A3)</f>
        <v>26</v>
      </c>
      <c r="C3" s="17">
        <f>AVERAGEIF(Clean_Data!$B$2:$B$1466,A3,Clean_Data!$D$2:$D$1466)</f>
        <v>13787.461538461539</v>
      </c>
      <c r="D3" s="17">
        <f>AVERAGEIF(Clean_Data!$B$2:$B$1466,A3,Clean_Data!$E$2:$E$1466)</f>
        <v>18806.692307692309</v>
      </c>
      <c r="E3" s="18">
        <f>AVERAGEIF(Clean_Data!$B$2:$B$1466,A3,Clean_Data!$F$2:$F$1466)</f>
        <v>0.25692307692307703</v>
      </c>
      <c r="F3" s="19">
        <f>AVERAGEIF(Clean_Data!$B$2:$B$1466,A3,Clean_Data!$G$2:$G$1466)</f>
        <v>4.0538461538461528</v>
      </c>
      <c r="G3" s="20">
        <f>SUMIF(Clean_Data!$B$2:$B$1466,A3,Clean_Data!$H$2:$H$1466)</f>
        <v>1878482</v>
      </c>
    </row>
    <row r="4" spans="1:7" ht="15" customHeight="1" x14ac:dyDescent="0.25">
      <c r="A4" s="7" t="s">
        <v>3674</v>
      </c>
      <c r="B4" s="10">
        <f>COUNTIF(Clean_Data!$B$2:$B$1466,A4)</f>
        <v>38</v>
      </c>
      <c r="C4" s="17">
        <f>AVERAGEIF(Clean_Data!$B$2:$B$1466,A4,Clean_Data!$D$2:$D$1466)</f>
        <v>1317.7852631578946</v>
      </c>
      <c r="D4" s="17">
        <f>AVERAGEIF(Clean_Data!$B$2:$B$1466,A4,Clean_Data!$E$2:$E$1466)</f>
        <v>2737.0263157894738</v>
      </c>
      <c r="E4" s="18">
        <f>AVERAGEIF(Clean_Data!$B$2:$B$1466,A4,Clean_Data!$F$2:$F$1466)</f>
        <v>0.56736842105263163</v>
      </c>
      <c r="F4" s="19">
        <f>AVERAGEIF(Clean_Data!$B$2:$B$1466,A4,Clean_Data!$G$2:$G$1466)</f>
        <v>4.3078947368421048</v>
      </c>
      <c r="G4" s="20">
        <f>SUMIF(Clean_Data!$B$2:$B$1466,A4,Clean_Data!$H$2:$H$1466)</f>
        <v>2034664</v>
      </c>
    </row>
    <row r="5" spans="1:7" ht="15" customHeight="1" x14ac:dyDescent="0.25">
      <c r="A5" s="7" t="s">
        <v>3675</v>
      </c>
      <c r="B5" s="10">
        <f>COUNTIF(Clean_Data!$B$2:$B$1466,A5)</f>
        <v>17</v>
      </c>
      <c r="C5" s="17">
        <f>AVERAGEIF(Clean_Data!$B$2:$B$1466,A5,Clean_Data!$D$2:$D$1466)</f>
        <v>1389.5882352941176</v>
      </c>
      <c r="D5" s="17">
        <f>AVERAGEIF(Clean_Data!$B$2:$B$1466,A5,Clean_Data!$E$2:$E$1466)</f>
        <v>3602.9411764705883</v>
      </c>
      <c r="E5" s="18">
        <f>AVERAGEIF(Clean_Data!$B$2:$B$1466,A5,Clean_Data!$F$2:$F$1466)</f>
        <v>0.54352941176470582</v>
      </c>
      <c r="F5" s="19">
        <f>AVERAGEIF(Clean_Data!$B$2:$B$1466,A5,Clean_Data!$G$2:$G$1466)</f>
        <v>4.3705882352941172</v>
      </c>
      <c r="G5" s="20">
        <f>SUMIF(Clean_Data!$B$2:$B$1466,A5,Clean_Data!$H$2:$H$1466)</f>
        <v>1426074</v>
      </c>
    </row>
    <row r="6" spans="1:7" ht="15" customHeight="1" x14ac:dyDescent="0.25">
      <c r="A6" s="7" t="s">
        <v>3676</v>
      </c>
      <c r="B6" s="10">
        <f>COUNTIF(Clean_Data!$B$2:$B$1466,A6)</f>
        <v>25</v>
      </c>
      <c r="C6" s="17">
        <f>AVERAGEIF(Clean_Data!$B$2:$B$1466,A6,Clean_Data!$D$2:$D$1466)</f>
        <v>514.6</v>
      </c>
      <c r="D6" s="17">
        <f>AVERAGEIF(Clean_Data!$B$2:$B$1466,A6,Clean_Data!$E$2:$E$1466)</f>
        <v>1282.08</v>
      </c>
      <c r="E6" s="18">
        <f>AVERAGEIF(Clean_Data!$B$2:$B$1466,A6,Clean_Data!$F$2:$F$1466)</f>
        <v>0.58399999999999996</v>
      </c>
      <c r="F6" s="19">
        <f>AVERAGEIF(Clean_Data!$B$2:$B$1466,A6,Clean_Data!$G$2:$G$1466)</f>
        <v>4.1399999999999997</v>
      </c>
      <c r="G6" s="20">
        <f>SUMIF(Clean_Data!$B$2:$B$1466,A6,Clean_Data!$H$2:$H$1466)</f>
        <v>1207959</v>
      </c>
    </row>
    <row r="7" spans="1:7" ht="15" customHeight="1" x14ac:dyDescent="0.25">
      <c r="A7" s="7" t="s">
        <v>3677</v>
      </c>
      <c r="B7" s="10">
        <f>COUNTIF(Clean_Data!$B$2:$B$1466,A7)</f>
        <v>20</v>
      </c>
      <c r="C7" s="17">
        <f>AVERAGEIF(Clean_Data!$B$2:$B$1466,A7,Clean_Data!$D$2:$D$1466)</f>
        <v>1371</v>
      </c>
      <c r="D7" s="17">
        <f>AVERAGEIF(Clean_Data!$B$2:$B$1466,A7,Clean_Data!$E$2:$E$1466)</f>
        <v>2481</v>
      </c>
      <c r="E7" s="18">
        <f>AVERAGEIF(Clean_Data!$B$2:$B$1466,A7,Clean_Data!$F$2:$F$1466)</f>
        <v>0.4295000000000001</v>
      </c>
      <c r="F7" s="19">
        <f>AVERAGEIF(Clean_Data!$B$2:$B$1466,A7,Clean_Data!$G$2:$G$1466)</f>
        <v>4.3100000000000005</v>
      </c>
      <c r="G7" s="20">
        <f>SUMIF(Clean_Data!$B$2:$B$1466,A7,Clean_Data!$H$2:$H$1466)</f>
        <v>1354798</v>
      </c>
    </row>
    <row r="8" spans="1:7" ht="15" customHeight="1" x14ac:dyDescent="0.25">
      <c r="A8" s="7" t="s">
        <v>3678</v>
      </c>
      <c r="B8" s="10">
        <f>COUNTIF(Clean_Data!$B$2:$B$1466,A8)</f>
        <v>36</v>
      </c>
      <c r="C8" s="17">
        <f>AVERAGEIF(Clean_Data!$B$2:$B$1466,A8,Clean_Data!$D$2:$D$1466)</f>
        <v>13779.138888888889</v>
      </c>
      <c r="D8" s="17">
        <f>AVERAGEIF(Clean_Data!$B$2:$B$1466,A8,Clean_Data!$E$2:$E$1466)</f>
        <v>21343.694444444445</v>
      </c>
      <c r="E8" s="18">
        <f>AVERAGEIF(Clean_Data!$B$2:$B$1466,A8,Clean_Data!$F$2:$F$1466)</f>
        <v>0.32361111111111113</v>
      </c>
      <c r="F8" s="19">
        <f>AVERAGEIF(Clean_Data!$B$2:$B$1466,A8,Clean_Data!$G$2:$G$1466)</f>
        <v>4.2027777777777793</v>
      </c>
      <c r="G8" s="20">
        <f>SUMIF(Clean_Data!$B$2:$B$1466,A8,Clean_Data!$H$2:$H$1466)</f>
        <v>901882</v>
      </c>
    </row>
    <row r="9" spans="1:7" ht="15" customHeight="1" x14ac:dyDescent="0.25">
      <c r="A9" s="7" t="s">
        <v>3679</v>
      </c>
      <c r="B9" s="10">
        <f>COUNTIF(Clean_Data!$B$2:$B$1466,A9)</f>
        <v>8</v>
      </c>
      <c r="C9" s="17">
        <f>AVERAGEIF(Clean_Data!$B$2:$B$1466,A9,Clean_Data!$D$2:$D$1466)</f>
        <v>942.75</v>
      </c>
      <c r="D9" s="17">
        <f>AVERAGEIF(Clean_Data!$B$2:$B$1466,A9,Clean_Data!$E$2:$E$1466)</f>
        <v>1724.125</v>
      </c>
      <c r="E9" s="18">
        <f>AVERAGEIF(Clean_Data!$B$2:$B$1466,A9,Clean_Data!$F$2:$F$1466)</f>
        <v>0.45874999999999999</v>
      </c>
      <c r="F9" s="19">
        <f>AVERAGEIF(Clean_Data!$B$2:$B$1466,A9,Clean_Data!$G$2:$G$1466)</f>
        <v>4.0249999999999995</v>
      </c>
      <c r="G9" s="20">
        <f>SUMIF(Clean_Data!$B$2:$B$1466,A9,Clean_Data!$H$2:$H$1466)</f>
        <v>891075</v>
      </c>
    </row>
    <row r="10" spans="1:7" ht="15" customHeight="1" x14ac:dyDescent="0.25">
      <c r="A10" s="7" t="s">
        <v>3680</v>
      </c>
      <c r="B10" s="10">
        <f>COUNTIF(Clean_Data!$B$2:$B$1466,A10)</f>
        <v>28</v>
      </c>
      <c r="C10" s="17">
        <f>AVERAGEIF(Clean_Data!$B$2:$B$1466,A10,Clean_Data!$D$2:$D$1466)</f>
        <v>9492.1071428571431</v>
      </c>
      <c r="D10" s="17">
        <f>AVERAGEIF(Clean_Data!$B$2:$B$1466,A10,Clean_Data!$E$2:$E$1466)</f>
        <v>14013.285714285714</v>
      </c>
      <c r="E10" s="18">
        <f>AVERAGEIF(Clean_Data!$B$2:$B$1466,A10,Clean_Data!$F$2:$F$1466)</f>
        <v>0.29892857142857138</v>
      </c>
      <c r="F10" s="19">
        <f>AVERAGEIF(Clean_Data!$B$2:$B$1466,A10,Clean_Data!$G$2:$G$1466)</f>
        <v>4.2642857142857133</v>
      </c>
      <c r="G10" s="20">
        <f>SUMIF(Clean_Data!$B$2:$B$1466,A10,Clean_Data!$H$2:$H$1466)</f>
        <v>1069730</v>
      </c>
    </row>
    <row r="11" spans="1:7" ht="15" customHeight="1" x14ac:dyDescent="0.25">
      <c r="A11" s="7" t="s">
        <v>3681</v>
      </c>
      <c r="B11" s="10">
        <f>COUNTIF(Clean_Data!$B$2:$B$1466,A11)</f>
        <v>24</v>
      </c>
      <c r="C11" s="17">
        <f>AVERAGEIF(Clean_Data!$B$2:$B$1466,A11,Clean_Data!$D$2:$D$1466)</f>
        <v>2248.875</v>
      </c>
      <c r="D11" s="17">
        <f>AVERAGEIF(Clean_Data!$B$2:$B$1466,A11,Clean_Data!$E$2:$E$1466)</f>
        <v>5165.291666666667</v>
      </c>
      <c r="E11" s="18">
        <f>AVERAGEIF(Clean_Data!$B$2:$B$1466,A11,Clean_Data!$F$2:$F$1466)</f>
        <v>0.57125000000000004</v>
      </c>
      <c r="F11" s="19">
        <f>AVERAGEIF(Clean_Data!$B$2:$B$1466,A11,Clean_Data!$G$2:$G$1466)</f>
        <v>3.9791666666666674</v>
      </c>
      <c r="G11" s="20">
        <f>SUMIF(Clean_Data!$B$2:$B$1466,A11,Clean_Data!$H$2:$H$1466)</f>
        <v>621421</v>
      </c>
    </row>
    <row r="12" spans="1:7" ht="15" customHeight="1" x14ac:dyDescent="0.25">
      <c r="A12" s="21" t="s">
        <v>3682</v>
      </c>
      <c r="B12" s="21">
        <f>SUM(B2:B11)</f>
        <v>290</v>
      </c>
      <c r="G12" s="22">
        <f>SUM(G2:G11)</f>
        <v>15831444</v>
      </c>
    </row>
  </sheetData>
  <pageMargins left="0.3" right="0.3" top="0.4" bottom="0.4"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
  <sheetViews>
    <sheetView showGridLines="0" zoomScaleNormal="100" workbookViewId="0"/>
  </sheetViews>
  <sheetFormatPr defaultColWidth="8.7109375" defaultRowHeight="15" x14ac:dyDescent="0.25"/>
  <cols>
    <col min="1" max="1" width="22" style="1" customWidth="1"/>
    <col min="2" max="2" width="14" style="1" customWidth="1"/>
    <col min="3" max="3" width="20" style="1" customWidth="1"/>
    <col min="4" max="4" width="16" style="1" customWidth="1"/>
    <col min="5" max="5" width="12" style="1" customWidth="1"/>
    <col min="6" max="6" width="14" style="1" customWidth="1"/>
  </cols>
  <sheetData>
    <row r="1" spans="1:6" ht="27.75" customHeight="1" x14ac:dyDescent="0.25">
      <c r="A1" s="16" t="s">
        <v>3656</v>
      </c>
      <c r="B1" s="16" t="s">
        <v>3666</v>
      </c>
      <c r="C1" s="16" t="s">
        <v>3667</v>
      </c>
      <c r="D1" s="16" t="s">
        <v>3668</v>
      </c>
      <c r="E1" s="16" t="s">
        <v>3670</v>
      </c>
      <c r="F1" s="16" t="s">
        <v>3671</v>
      </c>
    </row>
    <row r="2" spans="1:6" ht="15" customHeight="1" x14ac:dyDescent="0.25">
      <c r="A2" s="7" t="s">
        <v>3683</v>
      </c>
      <c r="B2" s="10">
        <f>COUNTIF(Clean_Data!$C$2:$C$1466,A2)</f>
        <v>526</v>
      </c>
      <c r="C2" s="17">
        <f>IFERROR(AVERAGEIF(Clean_Data!$C$2:$C$1466,A2,Clean_Data!$D$2:$D$1466),0)</f>
        <v>5965.88783269962</v>
      </c>
      <c r="D2" s="17">
        <f>IFERROR(AVERAGEIF(Clean_Data!$C$2:$C$1466,A2,Clean_Data!$E$2:$E$1466),0)</f>
        <v>10127.311787072244</v>
      </c>
      <c r="E2" s="19">
        <f>IFERROR(AVERAGEIF(Clean_Data!$C$2:$C$1466,A2,Clean_Data!$G$2:$G$1466),0)</f>
        <v>4.0817490494296518</v>
      </c>
      <c r="F2" s="20">
        <f>SUMIF(Clean_Data!$C$2:$C$1466,A2,Clean_Data!$H$2:$H$1466)</f>
        <v>15778848</v>
      </c>
    </row>
    <row r="3" spans="1:6" ht="15" customHeight="1" x14ac:dyDescent="0.25">
      <c r="A3" s="7" t="s">
        <v>3684</v>
      </c>
      <c r="B3" s="10">
        <f>COUNTIF(Clean_Data!$C$2:$C$1466,A3)</f>
        <v>453</v>
      </c>
      <c r="C3" s="17">
        <f>IFERROR(AVERAGEIF(Clean_Data!$C$2:$C$1466,A3,Clean_Data!$D$2:$D$1466),0)</f>
        <v>842.65037527593813</v>
      </c>
      <c r="D3" s="17">
        <f>IFERROR(AVERAGEIF(Clean_Data!$C$2:$C$1466,A3,Clean_Data!$E$2:$E$1466),0)</f>
        <v>1683.6231346578368</v>
      </c>
      <c r="E3" s="19">
        <f>IFERROR(AVERAGEIF(Clean_Data!$C$2:$C$1466,A3,Clean_Data!$G$2:$G$1466),0)</f>
        <v>4.1549668874172143</v>
      </c>
      <c r="F3" s="20">
        <f>SUMIF(Clean_Data!$C$2:$C$1466,A3,Clean_Data!$H$2:$H$1466)</f>
        <v>7728689</v>
      </c>
    </row>
    <row r="4" spans="1:6" ht="15" customHeight="1" x14ac:dyDescent="0.25">
      <c r="A4" s="7" t="s">
        <v>3685</v>
      </c>
      <c r="B4" s="10">
        <f>COUNTIF(Clean_Data!$C$2:$C$1466,A4)</f>
        <v>448</v>
      </c>
      <c r="C4" s="17">
        <f>IFERROR(AVERAGEIF(Clean_Data!$C$2:$C$1466,A4,Clean_Data!$D$2:$D$1466),0)</f>
        <v>2330.6156473214287</v>
      </c>
      <c r="D4" s="17">
        <f>IFERROR(AVERAGEIF(Clean_Data!$C$2:$C$1466,A4,Clean_Data!$E$2:$E$1466),0)</f>
        <v>4162.0736607142853</v>
      </c>
      <c r="E4" s="19">
        <f>IFERROR(AVERAGEIF(Clean_Data!$C$2:$C$1466,A4,Clean_Data!$G$2:$G$1466),0)</f>
        <v>4.0407158836689021</v>
      </c>
      <c r="F4" s="20">
        <f>SUMIF(Clean_Data!$C$2:$C$1466,A4,Clean_Data!$H$2:$H$1466)</f>
        <v>2991069</v>
      </c>
    </row>
    <row r="5" spans="1:6" ht="15" customHeight="1" x14ac:dyDescent="0.25">
      <c r="A5" s="7" t="s">
        <v>3686</v>
      </c>
      <c r="B5" s="10">
        <f>COUNTIF(Clean_Data!$C$2:$C$1466,A5)</f>
        <v>31</v>
      </c>
      <c r="C5" s="17">
        <f>IFERROR(AVERAGEIF(Clean_Data!$C$2:$C$1466,A5,Clean_Data!$D$2:$D$1466),0)</f>
        <v>301.58064516129031</v>
      </c>
      <c r="D5" s="17">
        <f>IFERROR(AVERAGEIF(Clean_Data!$C$2:$C$1466,A5,Clean_Data!$E$2:$E$1466),0)</f>
        <v>397.19354838709677</v>
      </c>
      <c r="E5" s="19">
        <f>IFERROR(AVERAGEIF(Clean_Data!$C$2:$C$1466,A5,Clean_Data!$G$2:$G$1466),0)</f>
        <v>4.3096774193548377</v>
      </c>
      <c r="F5" s="20">
        <f>SUMIF(Clean_Data!$C$2:$C$1466,A5,Clean_Data!$H$2:$H$1466)</f>
        <v>149675</v>
      </c>
    </row>
    <row r="6" spans="1:6" ht="15" customHeight="1" x14ac:dyDescent="0.25">
      <c r="A6" s="7" t="s">
        <v>3687</v>
      </c>
      <c r="B6" s="10">
        <f>COUNTIF(Clean_Data!$C$2:$C$1466,A6)</f>
        <v>2</v>
      </c>
      <c r="C6" s="17">
        <f>IFERROR(AVERAGEIF(Clean_Data!$C$2:$C$1466,A6,Clean_Data!$D$2:$D$1466),0)</f>
        <v>638</v>
      </c>
      <c r="D6" s="17">
        <f>IFERROR(AVERAGEIF(Clean_Data!$C$2:$C$1466,A6,Clean_Data!$E$2:$E$1466),0)</f>
        <v>1347</v>
      </c>
      <c r="E6" s="19">
        <f>IFERROR(AVERAGEIF(Clean_Data!$C$2:$C$1466,A6,Clean_Data!$G$2:$G$1466),0)</f>
        <v>3.9</v>
      </c>
      <c r="F6" s="20">
        <f>SUMIF(Clean_Data!$C$2:$C$1466,A6,Clean_Data!$H$2:$H$1466)</f>
        <v>88882</v>
      </c>
    </row>
    <row r="7" spans="1:6" ht="15" customHeight="1" x14ac:dyDescent="0.25">
      <c r="A7" s="7" t="s">
        <v>3688</v>
      </c>
      <c r="B7" s="10">
        <f>COUNTIF(Clean_Data!$C$2:$C$1466,A7)</f>
        <v>2</v>
      </c>
      <c r="C7" s="17">
        <f>IFERROR(AVERAGEIF(Clean_Data!$C$2:$C$1466,A7,Clean_Data!$D$2:$D$1466),0)</f>
        <v>337</v>
      </c>
      <c r="D7" s="17">
        <f>IFERROR(AVERAGEIF(Clean_Data!$C$2:$C$1466,A7,Clean_Data!$E$2:$E$1466),0)</f>
        <v>799</v>
      </c>
      <c r="E7" s="19">
        <f>IFERROR(AVERAGEIF(Clean_Data!$C$2:$C$1466,A7,Clean_Data!$G$2:$G$1466),0)</f>
        <v>4.25</v>
      </c>
      <c r="F7" s="20">
        <f>SUMIF(Clean_Data!$C$2:$C$1466,A7,Clean_Data!$H$2:$H$1466)</f>
        <v>8566</v>
      </c>
    </row>
    <row r="8" spans="1:6" ht="15" customHeight="1" x14ac:dyDescent="0.25">
      <c r="A8" s="7" t="s">
        <v>3689</v>
      </c>
      <c r="B8" s="10">
        <f>COUNTIF(Clean_Data!$C$2:$C$1466,A8)</f>
        <v>1</v>
      </c>
      <c r="C8" s="17">
        <f>IFERROR(AVERAGEIF(Clean_Data!$C$2:$C$1466,A8,Clean_Data!$D$2:$D$1466),0)</f>
        <v>150</v>
      </c>
      <c r="D8" s="17">
        <f>IFERROR(AVERAGEIF(Clean_Data!$C$2:$C$1466,A8,Clean_Data!$E$2:$E$1466),0)</f>
        <v>150</v>
      </c>
      <c r="E8" s="19">
        <f>IFERROR(AVERAGEIF(Clean_Data!$C$2:$C$1466,A8,Clean_Data!$G$2:$G$1466),0)</f>
        <v>4.3</v>
      </c>
      <c r="F8" s="20">
        <f>SUMIF(Clean_Data!$C$2:$C$1466,A8,Clean_Data!$H$2:$H$1466)</f>
        <v>15867</v>
      </c>
    </row>
    <row r="9" spans="1:6" ht="15" customHeight="1" x14ac:dyDescent="0.25">
      <c r="A9" s="7" t="s">
        <v>3690</v>
      </c>
      <c r="B9" s="10">
        <f>COUNTIF(Clean_Data!$C$2:$C$1466,A9)</f>
        <v>1</v>
      </c>
      <c r="C9" s="17">
        <f>IFERROR(AVERAGEIF(Clean_Data!$C$2:$C$1466,A9,Clean_Data!$D$2:$D$1466),0)</f>
        <v>2339</v>
      </c>
      <c r="D9" s="17">
        <f>IFERROR(AVERAGEIF(Clean_Data!$C$2:$C$1466,A9,Clean_Data!$E$2:$E$1466),0)</f>
        <v>4000</v>
      </c>
      <c r="E9" s="19">
        <f>IFERROR(AVERAGEIF(Clean_Data!$C$2:$C$1466,A9,Clean_Data!$G$2:$G$1466),0)</f>
        <v>3.8</v>
      </c>
      <c r="F9" s="20">
        <f>SUMIF(Clean_Data!$C$2:$C$1466,A9,Clean_Data!$H$2:$H$1466)</f>
        <v>1118</v>
      </c>
    </row>
    <row r="10" spans="1:6" ht="15" customHeight="1" x14ac:dyDescent="0.25">
      <c r="A10" s="7" t="s">
        <v>3691</v>
      </c>
      <c r="B10" s="10">
        <f>COUNTIF(Clean_Data!$C$2:$C$1466,A10)</f>
        <v>1</v>
      </c>
      <c r="C10" s="17">
        <f>IFERROR(AVERAGEIF(Clean_Data!$C$2:$C$1466,A10,Clean_Data!$D$2:$D$1466),0)</f>
        <v>899</v>
      </c>
      <c r="D10" s="17">
        <f>IFERROR(AVERAGEIF(Clean_Data!$C$2:$C$1466,A10,Clean_Data!$E$2:$E$1466),0)</f>
        <v>1900</v>
      </c>
      <c r="E10" s="19">
        <f>IFERROR(AVERAGEIF(Clean_Data!$C$2:$C$1466,A10,Clean_Data!$G$2:$G$1466),0)</f>
        <v>4</v>
      </c>
      <c r="F10" s="20">
        <f>SUMIF(Clean_Data!$C$2:$C$1466,A10,Clean_Data!$H$2:$H$1466)</f>
        <v>3663</v>
      </c>
    </row>
  </sheetData>
  <pageMargins left="0.3" right="0.3" top="0.4" bottom="0.4"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5"/>
  <sheetViews>
    <sheetView showGridLines="0" zoomScaleNormal="100" workbookViewId="0"/>
  </sheetViews>
  <sheetFormatPr defaultColWidth="8.7109375" defaultRowHeight="15" x14ac:dyDescent="0.25"/>
  <cols>
    <col min="1" max="1" width="8" style="1" customWidth="1"/>
    <col min="2" max="2" width="55" style="1" customWidth="1"/>
    <col min="3" max="3" width="16" style="1" customWidth="1"/>
    <col min="4" max="4" width="14" style="1" customWidth="1"/>
    <col min="5" max="5" width="16" style="1" customWidth="1"/>
    <col min="6" max="6" width="18" style="1" customWidth="1"/>
    <col min="7" max="7" width="26" style="1" customWidth="1"/>
  </cols>
  <sheetData>
    <row r="1" spans="1:7" ht="15.75" customHeight="1" x14ac:dyDescent="0.25">
      <c r="A1" s="23" t="s">
        <v>3692</v>
      </c>
    </row>
    <row r="2" spans="1:7" ht="15" customHeight="1" x14ac:dyDescent="0.25">
      <c r="A2" s="24" t="s">
        <v>3693</v>
      </c>
      <c r="B2" s="24" t="s">
        <v>16</v>
      </c>
      <c r="C2" s="24" t="s">
        <v>3655</v>
      </c>
      <c r="D2" s="24" t="s">
        <v>3660</v>
      </c>
      <c r="E2" s="24" t="s">
        <v>3661</v>
      </c>
      <c r="F2" s="24" t="s">
        <v>3657</v>
      </c>
      <c r="G2" s="9" t="s">
        <v>3694</v>
      </c>
    </row>
    <row r="3" spans="1:7" ht="15" customHeight="1" x14ac:dyDescent="0.25">
      <c r="A3" s="10">
        <v>1</v>
      </c>
      <c r="B3" s="10" t="str">
        <f>INDEX(Clean_Data!$A$2:$A$1466,MATCH(LARGE(Clean_Data!$K$2:$K$1466,1),Clean_Data!$K$2:$K$1466,0))</f>
        <v>Amazon Basics High-Speed HDMI Cable, 6 Feet (2-Pack),Black</v>
      </c>
      <c r="C3" s="10" t="str">
        <f>INDEX(Clean_Data!$B$2:$B$1466,MATCH(LARGE(Clean_Data!$K$2:$K$1466,1),Clean_Data!$K$2:$K$1466,0))</f>
        <v>Amazon</v>
      </c>
      <c r="D3" s="19">
        <f>INDEX(Clean_Data!$G$2:$G$1466,MATCH(LARGE(Clean_Data!$K$2:$K$1466,1),Clean_Data!$K$2:$K$1466,0))</f>
        <v>4.4000000000000004</v>
      </c>
      <c r="E3" s="20">
        <f>INDEX(Clean_Data!$H$2:$H$1466,MATCH(LARGE(Clean_Data!$K$2:$K$1466,1),Clean_Data!$K$2:$K$1466,0))</f>
        <v>426973</v>
      </c>
      <c r="F3" s="17">
        <f>INDEX(Clean_Data!$D$2:$D$1466,MATCH(LARGE(Clean_Data!$K$2:$K$1466,1),Clean_Data!$K$2:$K$1466,0))</f>
        <v>309</v>
      </c>
      <c r="G3" s="10" t="str">
        <f t="shared" ref="G3:G17" si="0">LEFT(B3,22)&amp;"…"</f>
        <v>Amazon Basics High-Spe…</v>
      </c>
    </row>
    <row r="4" spans="1:7" ht="15" customHeight="1" x14ac:dyDescent="0.25">
      <c r="A4" s="10">
        <v>2</v>
      </c>
      <c r="B4" s="10" t="str">
        <f>INDEX(Clean_Data!$A$2:$A$1466,MATCH(LARGE(Clean_Data!$K$2:$K$1466,2),Clean_Data!$K$2:$K$1466,0))</f>
        <v>Amazon Basics High-Speed HDMI Cable, 6 Feet - Supports Ethernet, 3D, 4K video,Black</v>
      </c>
      <c r="C4" s="10" t="str">
        <f>INDEX(Clean_Data!$B$2:$B$1466,MATCH(LARGE(Clean_Data!$K$2:$K$1466,2),Clean_Data!$K$2:$K$1466,0))</f>
        <v>Amazon</v>
      </c>
      <c r="D4" s="19">
        <f>INDEX(Clean_Data!$G$2:$G$1466,MATCH(LARGE(Clean_Data!$K$2:$K$1466,2),Clean_Data!$K$2:$K$1466,0))</f>
        <v>4.4000000000000004</v>
      </c>
      <c r="E4" s="20">
        <f>INDEX(Clean_Data!$H$2:$H$1466,MATCH(LARGE(Clean_Data!$K$2:$K$1466,2),Clean_Data!$K$2:$K$1466,0))</f>
        <v>426973</v>
      </c>
      <c r="F4" s="17">
        <f>INDEX(Clean_Data!$D$2:$D$1466,MATCH(LARGE(Clean_Data!$K$2:$K$1466,2),Clean_Data!$K$2:$K$1466,0))</f>
        <v>309</v>
      </c>
      <c r="G4" s="10" t="str">
        <f t="shared" si="0"/>
        <v>Amazon Basics High-Spe…</v>
      </c>
    </row>
    <row r="5" spans="1:7" ht="15" customHeight="1" x14ac:dyDescent="0.25">
      <c r="A5" s="10">
        <v>3</v>
      </c>
      <c r="B5" s="10" t="str">
        <f>INDEX(Clean_Data!$A$2:$A$1466,MATCH(LARGE(Clean_Data!$K$2:$K$1466,3),Clean_Data!$K$2:$K$1466,0))</f>
        <v>AmazonBasics Flexible Premium HDMI Cable (Black, 4K@60Hz, 18Gbps), 3-Foot</v>
      </c>
      <c r="C5" s="10" t="str">
        <f>INDEX(Clean_Data!$B$2:$B$1466,MATCH(LARGE(Clean_Data!$K$2:$K$1466,3),Clean_Data!$K$2:$K$1466,0))</f>
        <v>AmazonBasics</v>
      </c>
      <c r="D5" s="19">
        <f>INDEX(Clean_Data!$G$2:$G$1466,MATCH(LARGE(Clean_Data!$K$2:$K$1466,3),Clean_Data!$K$2:$K$1466,0))</f>
        <v>4.4000000000000004</v>
      </c>
      <c r="E5" s="20">
        <f>INDEX(Clean_Data!$H$2:$H$1466,MATCH(LARGE(Clean_Data!$K$2:$K$1466,3),Clean_Data!$K$2:$K$1466,0))</f>
        <v>426973</v>
      </c>
      <c r="F5" s="17">
        <f>INDEX(Clean_Data!$D$2:$D$1466,MATCH(LARGE(Clean_Data!$K$2:$K$1466,3),Clean_Data!$K$2:$K$1466,0))</f>
        <v>219</v>
      </c>
      <c r="G5" s="10" t="str">
        <f t="shared" si="0"/>
        <v>AmazonBasics Flexible …</v>
      </c>
    </row>
    <row r="6" spans="1:7" ht="15" customHeight="1" x14ac:dyDescent="0.25">
      <c r="A6" s="10">
        <v>4</v>
      </c>
      <c r="B6" s="10" t="str">
        <f>INDEX(Clean_Data!$A$2:$A$1466,MATCH(LARGE(Clean_Data!$K$2:$K$1466,4),Clean_Data!$K$2:$K$1466,0))</f>
        <v>AmazonBasics Flexible Premium HDMI Cable (Black, 4K@60Hz, 18Gbps), 3-Foot</v>
      </c>
      <c r="C6" s="10" t="str">
        <f>INDEX(Clean_Data!$B$2:$B$1466,MATCH(LARGE(Clean_Data!$K$2:$K$1466,4),Clean_Data!$K$2:$K$1466,0))</f>
        <v>AmazonBasics</v>
      </c>
      <c r="D6" s="19">
        <f>INDEX(Clean_Data!$G$2:$G$1466,MATCH(LARGE(Clean_Data!$K$2:$K$1466,4),Clean_Data!$K$2:$K$1466,0))</f>
        <v>4.4000000000000004</v>
      </c>
      <c r="E6" s="20">
        <f>INDEX(Clean_Data!$H$2:$H$1466,MATCH(LARGE(Clean_Data!$K$2:$K$1466,4),Clean_Data!$K$2:$K$1466,0))</f>
        <v>426972</v>
      </c>
      <c r="F6" s="17">
        <f>INDEX(Clean_Data!$D$2:$D$1466,MATCH(LARGE(Clean_Data!$K$2:$K$1466,4),Clean_Data!$K$2:$K$1466,0))</f>
        <v>219</v>
      </c>
      <c r="G6" s="10" t="str">
        <f t="shared" si="0"/>
        <v>AmazonBasics Flexible …</v>
      </c>
    </row>
    <row r="7" spans="1:7" ht="15" customHeight="1" x14ac:dyDescent="0.25">
      <c r="A7" s="10">
        <v>5</v>
      </c>
      <c r="B7" s="10" t="str">
        <f>INDEX(Clean_Data!$A$2:$A$1466,MATCH(LARGE(Clean_Data!$K$2:$K$1466,5),Clean_Data!$K$2:$K$1466,0))</f>
        <v>boAt Bassheads 100 in Ear Wired Earphones with Mic(Furious Red)</v>
      </c>
      <c r="C7" s="10" t="str">
        <f>INDEX(Clean_Data!$B$2:$B$1466,MATCH(LARGE(Clean_Data!$K$2:$K$1466,5),Clean_Data!$K$2:$K$1466,0))</f>
        <v>boAt</v>
      </c>
      <c r="D7" s="19">
        <f>INDEX(Clean_Data!$G$2:$G$1466,MATCH(LARGE(Clean_Data!$K$2:$K$1466,5),Clean_Data!$K$2:$K$1466,0))</f>
        <v>4.0999999999999996</v>
      </c>
      <c r="E7" s="20">
        <f>INDEX(Clean_Data!$H$2:$H$1466,MATCH(LARGE(Clean_Data!$K$2:$K$1466,5),Clean_Data!$K$2:$K$1466,0))</f>
        <v>363713</v>
      </c>
      <c r="F7" s="17">
        <f>INDEX(Clean_Data!$D$2:$D$1466,MATCH(LARGE(Clean_Data!$K$2:$K$1466,5),Clean_Data!$K$2:$K$1466,0))</f>
        <v>379</v>
      </c>
      <c r="G7" s="10" t="str">
        <f t="shared" si="0"/>
        <v>boAt Bassheads 100 in …</v>
      </c>
    </row>
    <row r="8" spans="1:7" ht="15" customHeight="1" x14ac:dyDescent="0.25">
      <c r="A8" s="10">
        <v>6</v>
      </c>
      <c r="B8" s="10" t="str">
        <f>INDEX(Clean_Data!$A$2:$A$1466,MATCH(LARGE(Clean_Data!$K$2:$K$1466,6),Clean_Data!$K$2:$K$1466,0))</f>
        <v>boAt Bassheads 100 in Ear Wired Earphones with Mic(Taffy Pink)</v>
      </c>
      <c r="C8" s="10" t="str">
        <f>INDEX(Clean_Data!$B$2:$B$1466,MATCH(LARGE(Clean_Data!$K$2:$K$1466,6),Clean_Data!$K$2:$K$1466,0))</f>
        <v>boAt</v>
      </c>
      <c r="D8" s="19">
        <f>INDEX(Clean_Data!$G$2:$G$1466,MATCH(LARGE(Clean_Data!$K$2:$K$1466,6),Clean_Data!$K$2:$K$1466,0))</f>
        <v>4.0999999999999996</v>
      </c>
      <c r="E8" s="20">
        <f>INDEX(Clean_Data!$H$2:$H$1466,MATCH(LARGE(Clean_Data!$K$2:$K$1466,6),Clean_Data!$K$2:$K$1466,0))</f>
        <v>363713</v>
      </c>
      <c r="F8" s="17">
        <f>INDEX(Clean_Data!$D$2:$D$1466,MATCH(LARGE(Clean_Data!$K$2:$K$1466,6),Clean_Data!$K$2:$K$1466,0))</f>
        <v>349</v>
      </c>
      <c r="G8" s="10" t="str">
        <f t="shared" si="0"/>
        <v>boAt Bassheads 100 in …</v>
      </c>
    </row>
    <row r="9" spans="1:7" ht="15" customHeight="1" x14ac:dyDescent="0.25">
      <c r="A9" s="10">
        <v>7</v>
      </c>
      <c r="B9" s="10" t="str">
        <f>INDEX(Clean_Data!$A$2:$A$1466,MATCH(LARGE(Clean_Data!$K$2:$K$1466,7),Clean_Data!$K$2:$K$1466,0))</f>
        <v>boAt BassHeads 100 in-Ear Wired Headphones with Mic (Black)</v>
      </c>
      <c r="C9" s="10" t="str">
        <f>INDEX(Clean_Data!$B$2:$B$1466,MATCH(LARGE(Clean_Data!$K$2:$K$1466,7),Clean_Data!$K$2:$K$1466,0))</f>
        <v>boAt</v>
      </c>
      <c r="D9" s="19">
        <f>INDEX(Clean_Data!$G$2:$G$1466,MATCH(LARGE(Clean_Data!$K$2:$K$1466,7),Clean_Data!$K$2:$K$1466,0))</f>
        <v>4.0999999999999996</v>
      </c>
      <c r="E9" s="20">
        <f>INDEX(Clean_Data!$H$2:$H$1466,MATCH(LARGE(Clean_Data!$K$2:$K$1466,7),Clean_Data!$K$2:$K$1466,0))</f>
        <v>363711</v>
      </c>
      <c r="F9" s="17">
        <f>INDEX(Clean_Data!$D$2:$D$1466,MATCH(LARGE(Clean_Data!$K$2:$K$1466,7),Clean_Data!$K$2:$K$1466,0))</f>
        <v>365</v>
      </c>
      <c r="G9" s="10" t="str">
        <f t="shared" si="0"/>
        <v>boAt BassHeads 100 in-…</v>
      </c>
    </row>
    <row r="10" spans="1:7" ht="15" customHeight="1" x14ac:dyDescent="0.25">
      <c r="A10" s="10">
        <v>8</v>
      </c>
      <c r="B10" s="10" t="str">
        <f>INDEX(Clean_Data!$A$2:$A$1466,MATCH(LARGE(Clean_Data!$K$2:$K$1466,8),Clean_Data!$K$2:$K$1466,0))</f>
        <v>Redmi 9A Sport (Coral Green, 2GB RAM, 32GB Storage) | 2GHz Octa-core Helio G25 Processor | 5000 mAh Battery</v>
      </c>
      <c r="C10" s="10" t="str">
        <f>INDEX(Clean_Data!$B$2:$B$1466,MATCH(LARGE(Clean_Data!$K$2:$K$1466,8),Clean_Data!$K$2:$K$1466,0))</f>
        <v>Redmi</v>
      </c>
      <c r="D10" s="19">
        <f>INDEX(Clean_Data!$G$2:$G$1466,MATCH(LARGE(Clean_Data!$K$2:$K$1466,8),Clean_Data!$K$2:$K$1466,0))</f>
        <v>4.0999999999999996</v>
      </c>
      <c r="E10" s="20">
        <f>INDEX(Clean_Data!$H$2:$H$1466,MATCH(LARGE(Clean_Data!$K$2:$K$1466,8),Clean_Data!$K$2:$K$1466,0))</f>
        <v>313836</v>
      </c>
      <c r="F10" s="17">
        <f>INDEX(Clean_Data!$D$2:$D$1466,MATCH(LARGE(Clean_Data!$K$2:$K$1466,8),Clean_Data!$K$2:$K$1466,0))</f>
        <v>6499</v>
      </c>
      <c r="G10" s="10" t="str">
        <f t="shared" si="0"/>
        <v>Redmi 9A Sport (Coral …</v>
      </c>
    </row>
    <row r="11" spans="1:7" ht="15" customHeight="1" x14ac:dyDescent="0.25">
      <c r="A11" s="10">
        <v>9</v>
      </c>
      <c r="B11" s="10" t="str">
        <f>INDEX(Clean_Data!$A$2:$A$1466,MATCH(LARGE(Clean_Data!$K$2:$K$1466,9),Clean_Data!$K$2:$K$1466,0))</f>
        <v>Redmi 9 Activ (Carbon Black, 4GB RAM, 64GB Storage) | Octa-core Helio G35 | 5000 mAh Battery</v>
      </c>
      <c r="C11" s="10" t="str">
        <f>INDEX(Clean_Data!$B$2:$B$1466,MATCH(LARGE(Clean_Data!$K$2:$K$1466,9),Clean_Data!$K$2:$K$1466,0))</f>
        <v>Redmi</v>
      </c>
      <c r="D11" s="19">
        <f>INDEX(Clean_Data!$G$2:$G$1466,MATCH(LARGE(Clean_Data!$K$2:$K$1466,9),Clean_Data!$K$2:$K$1466,0))</f>
        <v>4.0999999999999996</v>
      </c>
      <c r="E11" s="20">
        <f>INDEX(Clean_Data!$H$2:$H$1466,MATCH(LARGE(Clean_Data!$K$2:$K$1466,9),Clean_Data!$K$2:$K$1466,0))</f>
        <v>313836</v>
      </c>
      <c r="F11" s="17">
        <f>INDEX(Clean_Data!$D$2:$D$1466,MATCH(LARGE(Clean_Data!$K$2:$K$1466,9),Clean_Data!$K$2:$K$1466,0))</f>
        <v>8499</v>
      </c>
      <c r="G11" s="10" t="str">
        <f t="shared" si="0"/>
        <v>Redmi 9 Activ (Carbon …</v>
      </c>
    </row>
    <row r="12" spans="1:7" ht="15" customHeight="1" x14ac:dyDescent="0.25">
      <c r="A12" s="10">
        <v>10</v>
      </c>
      <c r="B12" s="10" t="str">
        <f>INDEX(Clean_Data!$A$2:$A$1466,MATCH(LARGE(Clean_Data!$K$2:$K$1466,10),Clean_Data!$K$2:$K$1466,0))</f>
        <v>Redmi 9A Sport (Coral Green, 3GB RAM, 32GB Storage) | 2GHz Octa-core Helio G25 Processor | 5000 mAh Battery</v>
      </c>
      <c r="C12" s="10" t="str">
        <f>INDEX(Clean_Data!$B$2:$B$1466,MATCH(LARGE(Clean_Data!$K$2:$K$1466,10),Clean_Data!$K$2:$K$1466,0))</f>
        <v>Redmi</v>
      </c>
      <c r="D12" s="19">
        <f>INDEX(Clean_Data!$G$2:$G$1466,MATCH(LARGE(Clean_Data!$K$2:$K$1466,10),Clean_Data!$K$2:$K$1466,0))</f>
        <v>4.0999999999999996</v>
      </c>
      <c r="E12" s="20">
        <f>INDEX(Clean_Data!$H$2:$H$1466,MATCH(LARGE(Clean_Data!$K$2:$K$1466,10),Clean_Data!$K$2:$K$1466,0))</f>
        <v>313832</v>
      </c>
      <c r="F12" s="17">
        <f>INDEX(Clean_Data!$D$2:$D$1466,MATCH(LARGE(Clean_Data!$K$2:$K$1466,10),Clean_Data!$K$2:$K$1466,0))</f>
        <v>7499</v>
      </c>
      <c r="G12" s="10" t="str">
        <f t="shared" si="0"/>
        <v>Redmi 9A Sport (Coral …</v>
      </c>
    </row>
    <row r="13" spans="1:7" ht="15" customHeight="1" x14ac:dyDescent="0.25">
      <c r="A13" s="10">
        <v>11</v>
      </c>
      <c r="B13" s="10" t="str">
        <f>INDEX(Clean_Data!$A$2:$A$1466,MATCH(LARGE(Clean_Data!$K$2:$K$1466,11),Clean_Data!$K$2:$K$1466,0))</f>
        <v>Redmi 9A Sport (Carbon Black, 2GB RAM, 32GB Storage) | 2GHz Octa-core Helio G25 Processor | 5000 mAh Battery</v>
      </c>
      <c r="C13" s="10" t="str">
        <f>INDEX(Clean_Data!$B$2:$B$1466,MATCH(LARGE(Clean_Data!$K$2:$K$1466,11),Clean_Data!$K$2:$K$1466,0))</f>
        <v>Redmi</v>
      </c>
      <c r="D13" s="19">
        <f>INDEX(Clean_Data!$G$2:$G$1466,MATCH(LARGE(Clean_Data!$K$2:$K$1466,11),Clean_Data!$K$2:$K$1466,0))</f>
        <v>4.0999999999999996</v>
      </c>
      <c r="E13" s="20">
        <f>INDEX(Clean_Data!$H$2:$H$1466,MATCH(LARGE(Clean_Data!$K$2:$K$1466,11),Clean_Data!$K$2:$K$1466,0))</f>
        <v>313832</v>
      </c>
      <c r="F13" s="17">
        <f>INDEX(Clean_Data!$D$2:$D$1466,MATCH(LARGE(Clean_Data!$K$2:$K$1466,11),Clean_Data!$K$2:$K$1466,0))</f>
        <v>6499</v>
      </c>
      <c r="G13" s="10" t="str">
        <f t="shared" si="0"/>
        <v>Redmi 9A Sport (Carbon…</v>
      </c>
    </row>
    <row r="14" spans="1:7" ht="15" customHeight="1" x14ac:dyDescent="0.25">
      <c r="A14" s="10">
        <v>12</v>
      </c>
      <c r="B14" s="10" t="str">
        <f>INDEX(Clean_Data!$A$2:$A$1466,MATCH(LARGE(Clean_Data!$K$2:$K$1466,12),Clean_Data!$K$2:$K$1466,0))</f>
        <v>boAt Bassheads 225 in Ear Wired Earphones with Mic(Blue)</v>
      </c>
      <c r="C14" s="10" t="str">
        <f>INDEX(Clean_Data!$B$2:$B$1466,MATCH(LARGE(Clean_Data!$K$2:$K$1466,12),Clean_Data!$K$2:$K$1466,0))</f>
        <v>boAt</v>
      </c>
      <c r="D14" s="19">
        <f>INDEX(Clean_Data!$G$2:$G$1466,MATCH(LARGE(Clean_Data!$K$2:$K$1466,12),Clean_Data!$K$2:$K$1466,0))</f>
        <v>4.0999999999999996</v>
      </c>
      <c r="E14" s="20">
        <f>INDEX(Clean_Data!$H$2:$H$1466,MATCH(LARGE(Clean_Data!$K$2:$K$1466,12),Clean_Data!$K$2:$K$1466,0))</f>
        <v>273189</v>
      </c>
      <c r="F14" s="17">
        <f>INDEX(Clean_Data!$D$2:$D$1466,MATCH(LARGE(Clean_Data!$K$2:$K$1466,12),Clean_Data!$K$2:$K$1466,0))</f>
        <v>699</v>
      </c>
      <c r="G14" s="10" t="str">
        <f t="shared" si="0"/>
        <v>boAt Bassheads 225 in …</v>
      </c>
    </row>
    <row r="15" spans="1:7" ht="15" customHeight="1" x14ac:dyDescent="0.25">
      <c r="A15" s="10">
        <v>13</v>
      </c>
      <c r="B15" s="10" t="str">
        <f>INDEX(Clean_Data!$A$2:$A$1466,MATCH(LARGE(Clean_Data!$K$2:$K$1466,13),Clean_Data!$K$2:$K$1466,0))</f>
        <v>Pigeon Polypropylene Mini Handy and Compact Chopper with 3 Blades for Effortlessly Chopping Vegetables and Fruits for Your Kitchen (12420, Green, 400 ml)</v>
      </c>
      <c r="C15" s="10" t="str">
        <f>INDEX(Clean_Data!$B$2:$B$1466,MATCH(LARGE(Clean_Data!$K$2:$K$1466,13),Clean_Data!$K$2:$K$1466,0))</f>
        <v>Pigeon</v>
      </c>
      <c r="D15" s="19">
        <f>INDEX(Clean_Data!$G$2:$G$1466,MATCH(LARGE(Clean_Data!$K$2:$K$1466,13),Clean_Data!$K$2:$K$1466,0))</f>
        <v>4.0999999999999996</v>
      </c>
      <c r="E15" s="20">
        <f>INDEX(Clean_Data!$H$2:$H$1466,MATCH(LARGE(Clean_Data!$K$2:$K$1466,13),Clean_Data!$K$2:$K$1466,0))</f>
        <v>270563</v>
      </c>
      <c r="F15" s="17">
        <f>INDEX(Clean_Data!$D$2:$D$1466,MATCH(LARGE(Clean_Data!$K$2:$K$1466,13),Clean_Data!$K$2:$K$1466,0))</f>
        <v>199</v>
      </c>
      <c r="G15" s="10" t="str">
        <f t="shared" si="0"/>
        <v>Pigeon Polypropylene M…</v>
      </c>
    </row>
    <row r="16" spans="1:7" ht="15" customHeight="1" x14ac:dyDescent="0.25">
      <c r="A16" s="10">
        <v>14</v>
      </c>
      <c r="B16" s="10" t="str">
        <f>INDEX(Clean_Data!$A$2:$A$1466,MATCH(LARGE(Clean_Data!$K$2:$K$1466,14),Clean_Data!$K$2:$K$1466,0))</f>
        <v>SanDisk Cruzer Blade 32GB USB Flash Drive</v>
      </c>
      <c r="C16" s="10" t="str">
        <f>INDEX(Clean_Data!$B$2:$B$1466,MATCH(LARGE(Clean_Data!$K$2:$K$1466,14),Clean_Data!$K$2:$K$1466,0))</f>
        <v>SanDisk</v>
      </c>
      <c r="D16" s="19">
        <f>INDEX(Clean_Data!$G$2:$G$1466,MATCH(LARGE(Clean_Data!$K$2:$K$1466,14),Clean_Data!$K$2:$K$1466,0))</f>
        <v>4.3</v>
      </c>
      <c r="E16" s="20">
        <f>INDEX(Clean_Data!$H$2:$H$1466,MATCH(LARGE(Clean_Data!$K$2:$K$1466,14),Clean_Data!$K$2:$K$1466,0))</f>
        <v>253105</v>
      </c>
      <c r="F16" s="17">
        <f>INDEX(Clean_Data!$D$2:$D$1466,MATCH(LARGE(Clean_Data!$K$2:$K$1466,14),Clean_Data!$K$2:$K$1466,0))</f>
        <v>289</v>
      </c>
      <c r="G16" s="10" t="str">
        <f t="shared" si="0"/>
        <v>SanDisk Cruzer Blade 3…</v>
      </c>
    </row>
    <row r="17" spans="1:7" ht="15" customHeight="1" x14ac:dyDescent="0.25">
      <c r="A17" s="10">
        <v>15</v>
      </c>
      <c r="B17" s="10" t="str">
        <f>INDEX(Clean_Data!$A$2:$A$1466,MATCH(LARGE(Clean_Data!$K$2:$K$1466,15),Clean_Data!$K$2:$K$1466,0))</f>
        <v>SanDisk Extreme SD UHS I 64GB Card for 4K Video for DSLR and Mirrorless Cameras 170MB/s Read &amp; 80MB/s Write</v>
      </c>
      <c r="C17" s="10" t="str">
        <f>INDEX(Clean_Data!$B$2:$B$1466,MATCH(LARGE(Clean_Data!$K$2:$K$1466,15),Clean_Data!$K$2:$K$1466,0))</f>
        <v>SanDisk</v>
      </c>
      <c r="D17" s="19">
        <f>INDEX(Clean_Data!$G$2:$G$1466,MATCH(LARGE(Clean_Data!$K$2:$K$1466,15),Clean_Data!$K$2:$K$1466,0))</f>
        <v>4.5</v>
      </c>
      <c r="E17" s="20">
        <f>INDEX(Clean_Data!$H$2:$H$1466,MATCH(LARGE(Clean_Data!$K$2:$K$1466,15),Clean_Data!$K$2:$K$1466,0))</f>
        <v>205052</v>
      </c>
      <c r="F17" s="17">
        <f>INDEX(Clean_Data!$D$2:$D$1466,MATCH(LARGE(Clean_Data!$K$2:$K$1466,15),Clean_Data!$K$2:$K$1466,0))</f>
        <v>939</v>
      </c>
      <c r="G17" s="10" t="str">
        <f t="shared" si="0"/>
        <v>SanDisk Extreme SD UHS…</v>
      </c>
    </row>
    <row r="19" spans="1:7" ht="15.75" customHeight="1" x14ac:dyDescent="0.25">
      <c r="A19" s="23" t="s">
        <v>3695</v>
      </c>
    </row>
    <row r="20" spans="1:7" ht="15" customHeight="1" x14ac:dyDescent="0.25">
      <c r="A20" s="24" t="s">
        <v>3693</v>
      </c>
      <c r="B20" s="24" t="s">
        <v>16</v>
      </c>
      <c r="C20" s="24" t="s">
        <v>3655</v>
      </c>
      <c r="D20" s="24" t="s">
        <v>3659</v>
      </c>
      <c r="E20" s="24" t="s">
        <v>3658</v>
      </c>
      <c r="F20" s="24" t="s">
        <v>3657</v>
      </c>
    </row>
    <row r="21" spans="1:7" ht="15" customHeight="1" x14ac:dyDescent="0.25">
      <c r="A21" s="10">
        <v>1</v>
      </c>
      <c r="B21" s="10" t="str">
        <f>INDEX(Clean_Data!$A$2:$A$1466,MATCH(LARGE(Clean_Data!$L$2:$L$1466,1),Clean_Data!$L$2:$L$1466,0))</f>
        <v>rts [2 Pack] Mini USB C Type C Adapter Plug, Type C Female to USB A Male Charger Charging Cable Adapter Converter compatible for iPhone, Samsung S20 ultra/S21/S10/S8/S9/MacBook Pro iPad Silver</v>
      </c>
      <c r="C21" s="10" t="str">
        <f>INDEX(Clean_Data!$B$2:$B$1466,MATCH(LARGE(Clean_Data!$L$2:$L$1466,1),Clean_Data!$L$2:$L$1466,0))</f>
        <v>rts</v>
      </c>
      <c r="D21" s="18">
        <f>INDEX(Clean_Data!$F$2:$F$1466,MATCH(LARGE(Clean_Data!$L$2:$L$1466,1),Clean_Data!$L$2:$L$1466,0))</f>
        <v>0.94</v>
      </c>
      <c r="E21" s="17">
        <f>INDEX(Clean_Data!$E$2:$E$1466,MATCH(LARGE(Clean_Data!$L$2:$L$1466,1),Clean_Data!$L$2:$L$1466,0))</f>
        <v>4999</v>
      </c>
      <c r="F21" s="17">
        <f>INDEX(Clean_Data!$D$2:$D$1466,MATCH(LARGE(Clean_Data!$L$2:$L$1466,1),Clean_Data!$L$2:$L$1466,0))</f>
        <v>294</v>
      </c>
    </row>
    <row r="22" spans="1:7" ht="15" customHeight="1" x14ac:dyDescent="0.25">
      <c r="A22" s="10">
        <v>2</v>
      </c>
      <c r="B22" s="10" t="str">
        <f>INDEX(Clean_Data!$A$2:$A$1466,MATCH(LARGE(Clean_Data!$L$2:$L$1466,2),Clean_Data!$L$2:$L$1466,0))</f>
        <v>Fire-Boltt Ninja Call Pro Plus 1.83" Smart Watch with Bluetooth Calling, AI Voice Assistance, 100 Sports Modes IP67 Rating, 240*280 Pixel High Resolution</v>
      </c>
      <c r="C22" s="10" t="str">
        <f>INDEX(Clean_Data!$B$2:$B$1466,MATCH(LARGE(Clean_Data!$L$2:$L$1466,2),Clean_Data!$L$2:$L$1466,0))</f>
        <v>Fire-Boltt</v>
      </c>
      <c r="D22" s="18">
        <f>INDEX(Clean_Data!$F$2:$F$1466,MATCH(LARGE(Clean_Data!$L$2:$L$1466,2),Clean_Data!$L$2:$L$1466,0))</f>
        <v>0.91</v>
      </c>
      <c r="E22" s="17">
        <f>INDEX(Clean_Data!$E$2:$E$1466,MATCH(LARGE(Clean_Data!$L$2:$L$1466,2),Clean_Data!$L$2:$L$1466,0))</f>
        <v>19999</v>
      </c>
      <c r="F22" s="17">
        <f>INDEX(Clean_Data!$D$2:$D$1466,MATCH(LARGE(Clean_Data!$L$2:$L$1466,2),Clean_Data!$L$2:$L$1466,0))</f>
        <v>1799</v>
      </c>
    </row>
    <row r="23" spans="1:7" ht="15" customHeight="1" x14ac:dyDescent="0.25">
      <c r="A23" s="10">
        <v>3</v>
      </c>
      <c r="B23" s="10" t="str">
        <f>INDEX(Clean_Data!$A$2:$A$1466,MATCH(LARGE(Clean_Data!$L$2:$L$1466,3),Clean_Data!$L$2:$L$1466,0))</f>
        <v>Fire-Boltt Ninja Call Pro Plus 1.83" Smart Watch with Bluetooth Calling, AI Voice Assistance, 100 Sports Modes IP67 Rating, 240*280 Pixel High Resolution</v>
      </c>
      <c r="C23" s="10" t="str">
        <f>INDEX(Clean_Data!$B$2:$B$1466,MATCH(LARGE(Clean_Data!$L$2:$L$1466,3),Clean_Data!$L$2:$L$1466,0))</f>
        <v>Fire-Boltt</v>
      </c>
      <c r="D23" s="18">
        <f>INDEX(Clean_Data!$F$2:$F$1466,MATCH(LARGE(Clean_Data!$L$2:$L$1466,3),Clean_Data!$L$2:$L$1466,0))</f>
        <v>0.91</v>
      </c>
      <c r="E23" s="17">
        <f>INDEX(Clean_Data!$E$2:$E$1466,MATCH(LARGE(Clean_Data!$L$2:$L$1466,3),Clean_Data!$L$2:$L$1466,0))</f>
        <v>19999</v>
      </c>
      <c r="F23" s="17">
        <f>INDEX(Clean_Data!$D$2:$D$1466,MATCH(LARGE(Clean_Data!$L$2:$L$1466,3),Clean_Data!$L$2:$L$1466,0))</f>
        <v>1799</v>
      </c>
    </row>
    <row r="24" spans="1:7" ht="15" customHeight="1" x14ac:dyDescent="0.25">
      <c r="A24" s="10">
        <v>4</v>
      </c>
      <c r="B24" s="10" t="str">
        <f>INDEX(Clean_Data!$A$2:$A$1466,MATCH(LARGE(Clean_Data!$L$2:$L$1466,4),Clean_Data!$L$2:$L$1466,0))</f>
        <v>Fire-Boltt Ninja Call Pro Plus 1.83" Smart Watch with Bluetooth Calling, AI Voice Assistance, 100 Sports Modes IP67 Rating, 240*280 Pixel High Resolution</v>
      </c>
      <c r="C24" s="10" t="str">
        <f>INDEX(Clean_Data!$B$2:$B$1466,MATCH(LARGE(Clean_Data!$L$2:$L$1466,4),Clean_Data!$L$2:$L$1466,0))</f>
        <v>Fire-Boltt</v>
      </c>
      <c r="D24" s="18">
        <f>INDEX(Clean_Data!$F$2:$F$1466,MATCH(LARGE(Clean_Data!$L$2:$L$1466,4),Clean_Data!$L$2:$L$1466,0))</f>
        <v>0.91</v>
      </c>
      <c r="E24" s="17">
        <f>INDEX(Clean_Data!$E$2:$E$1466,MATCH(LARGE(Clean_Data!$L$2:$L$1466,4),Clean_Data!$L$2:$L$1466,0))</f>
        <v>19999</v>
      </c>
      <c r="F24" s="17">
        <f>INDEX(Clean_Data!$D$2:$D$1466,MATCH(LARGE(Clean_Data!$L$2:$L$1466,4),Clean_Data!$L$2:$L$1466,0))</f>
        <v>1799</v>
      </c>
    </row>
    <row r="25" spans="1:7" ht="15" customHeight="1" x14ac:dyDescent="0.25">
      <c r="A25" s="10">
        <v>5</v>
      </c>
      <c r="B25" s="10" t="str">
        <f>INDEX(Clean_Data!$A$2:$A$1466,MATCH(LARGE(Clean_Data!$L$2:$L$1466,5),Clean_Data!$L$2:$L$1466,0))</f>
        <v>Fire-Boltt Ninja Call Pro Plus 1.83" Smart Watch with Bluetooth Calling, AI Voice Assistance, 100 Sports Modes IP67 Rating, 240*280 Pixel High Resolution</v>
      </c>
      <c r="C25" s="10" t="str">
        <f>INDEX(Clean_Data!$B$2:$B$1466,MATCH(LARGE(Clean_Data!$L$2:$L$1466,5),Clean_Data!$L$2:$L$1466,0))</f>
        <v>Fire-Boltt</v>
      </c>
      <c r="D25" s="18">
        <f>INDEX(Clean_Data!$F$2:$F$1466,MATCH(LARGE(Clean_Data!$L$2:$L$1466,5),Clean_Data!$L$2:$L$1466,0))</f>
        <v>0.91</v>
      </c>
      <c r="E25" s="17">
        <f>INDEX(Clean_Data!$E$2:$E$1466,MATCH(LARGE(Clean_Data!$L$2:$L$1466,5),Clean_Data!$L$2:$L$1466,0))</f>
        <v>19999</v>
      </c>
      <c r="F25" s="17">
        <f>INDEX(Clean_Data!$D$2:$D$1466,MATCH(LARGE(Clean_Data!$L$2:$L$1466,5),Clean_Data!$L$2:$L$1466,0))</f>
        <v>1799</v>
      </c>
    </row>
    <row r="26" spans="1:7" ht="15" customHeight="1" x14ac:dyDescent="0.25">
      <c r="A26" s="10">
        <v>6</v>
      </c>
      <c r="B26" s="10" t="str">
        <f>INDEX(Clean_Data!$A$2:$A$1466,MATCH(LARGE(Clean_Data!$L$2:$L$1466,6),Clean_Data!$L$2:$L$1466,0))</f>
        <v>Fire-Boltt Ninja Call Pro Plus 1.83" Smart Watch with Bluetooth Calling, AI Voice Assistance, 100 Sports Modes IP67 Rating, 240*280 Pixel High Resolution</v>
      </c>
      <c r="C26" s="10" t="str">
        <f>INDEX(Clean_Data!$B$2:$B$1466,MATCH(LARGE(Clean_Data!$L$2:$L$1466,6),Clean_Data!$L$2:$L$1466,0))</f>
        <v>Fire-Boltt</v>
      </c>
      <c r="D26" s="18">
        <f>INDEX(Clean_Data!$F$2:$F$1466,MATCH(LARGE(Clean_Data!$L$2:$L$1466,6),Clean_Data!$L$2:$L$1466,0))</f>
        <v>0.91</v>
      </c>
      <c r="E26" s="17">
        <f>INDEX(Clean_Data!$E$2:$E$1466,MATCH(LARGE(Clean_Data!$L$2:$L$1466,6),Clean_Data!$L$2:$L$1466,0))</f>
        <v>19999</v>
      </c>
      <c r="F26" s="17">
        <f>INDEX(Clean_Data!$D$2:$D$1466,MATCH(LARGE(Clean_Data!$L$2:$L$1466,6),Clean_Data!$L$2:$L$1466,0))</f>
        <v>1799</v>
      </c>
    </row>
    <row r="27" spans="1:7" ht="15" customHeight="1" x14ac:dyDescent="0.25">
      <c r="A27" s="10">
        <v>7</v>
      </c>
      <c r="B27" s="10" t="str">
        <f>INDEX(Clean_Data!$A$2:$A$1466,MATCH(LARGE(Clean_Data!$L$2:$L$1466,7),Clean_Data!$L$2:$L$1466,0))</f>
        <v>beatXP Kitchen Scale Multipurpose Portable Electronic Digital Weighing Scale | Weight Machine With Back light LCD Display | White |10 kg | 2 Year Warranty |</v>
      </c>
      <c r="C27" s="10" t="str">
        <f>INDEX(Clean_Data!$B$2:$B$1466,MATCH(LARGE(Clean_Data!$L$2:$L$1466,7),Clean_Data!$L$2:$L$1466,0))</f>
        <v>beatXP</v>
      </c>
      <c r="D27" s="18">
        <f>INDEX(Clean_Data!$F$2:$F$1466,MATCH(LARGE(Clean_Data!$L$2:$L$1466,7),Clean_Data!$L$2:$L$1466,0))</f>
        <v>0.9</v>
      </c>
      <c r="E27" s="17">
        <f>INDEX(Clean_Data!$E$2:$E$1466,MATCH(LARGE(Clean_Data!$L$2:$L$1466,7),Clean_Data!$L$2:$L$1466,0))</f>
        <v>1999</v>
      </c>
      <c r="F27" s="17">
        <f>INDEX(Clean_Data!$D$2:$D$1466,MATCH(LARGE(Clean_Data!$L$2:$L$1466,7),Clean_Data!$L$2:$L$1466,0))</f>
        <v>199</v>
      </c>
    </row>
    <row r="28" spans="1:7" ht="15" customHeight="1" x14ac:dyDescent="0.25">
      <c r="A28" s="10">
        <v>8</v>
      </c>
      <c r="B28" s="10" t="str">
        <f>INDEX(Clean_Data!$A$2:$A$1466,MATCH(LARGE(Clean_Data!$L$2:$L$1466,8),Clean_Data!$L$2:$L$1466,0))</f>
        <v>Silicone Rubber Earbuds Tips, Eartips, Earpads, Earplugs, for Replacement in Earphones and Bluetooth Medium Size (10 Pcs Black)</v>
      </c>
      <c r="C28" s="10" t="str">
        <f>INDEX(Clean_Data!$B$2:$B$1466,MATCH(LARGE(Clean_Data!$L$2:$L$1466,8),Clean_Data!$L$2:$L$1466,0))</f>
        <v>Silicone</v>
      </c>
      <c r="D28" s="18">
        <f>INDEX(Clean_Data!$F$2:$F$1466,MATCH(LARGE(Clean_Data!$L$2:$L$1466,8),Clean_Data!$L$2:$L$1466,0))</f>
        <v>0.9</v>
      </c>
      <c r="E28" s="17">
        <f>INDEX(Clean_Data!$E$2:$E$1466,MATCH(LARGE(Clean_Data!$L$2:$L$1466,8),Clean_Data!$L$2:$L$1466,0))</f>
        <v>999</v>
      </c>
      <c r="F28" s="17">
        <f>INDEX(Clean_Data!$D$2:$D$1466,MATCH(LARGE(Clean_Data!$L$2:$L$1466,8),Clean_Data!$L$2:$L$1466,0))</f>
        <v>99</v>
      </c>
    </row>
    <row r="29" spans="1:7" ht="15" customHeight="1" x14ac:dyDescent="0.25">
      <c r="A29" s="10">
        <v>9</v>
      </c>
      <c r="B29" s="10" t="str">
        <f>INDEX(Clean_Data!$A$2:$A$1466,MATCH(LARGE(Clean_Data!$L$2:$L$1466,9),Clean_Data!$L$2:$L$1466,0))</f>
        <v>Sounce Spiral Charger Cable Protector Data Cable Saver Charging Cord Protective Cable Cover Headphone MacBook Laptop Earphone Cell Phone Set of 3 (Cable Protector (12 Units))</v>
      </c>
      <c r="C29" s="10" t="str">
        <f>INDEX(Clean_Data!$B$2:$B$1466,MATCH(LARGE(Clean_Data!$L$2:$L$1466,9),Clean_Data!$L$2:$L$1466,0))</f>
        <v>Sounce</v>
      </c>
      <c r="D29" s="18">
        <f>INDEX(Clean_Data!$F$2:$F$1466,MATCH(LARGE(Clean_Data!$L$2:$L$1466,9),Clean_Data!$L$2:$L$1466,0))</f>
        <v>0.9</v>
      </c>
      <c r="E29" s="17">
        <f>INDEX(Clean_Data!$E$2:$E$1466,MATCH(LARGE(Clean_Data!$L$2:$L$1466,9),Clean_Data!$L$2:$L$1466,0))</f>
        <v>999</v>
      </c>
      <c r="F29" s="17">
        <f>INDEX(Clean_Data!$D$2:$D$1466,MATCH(LARGE(Clean_Data!$L$2:$L$1466,9),Clean_Data!$L$2:$L$1466,0))</f>
        <v>99</v>
      </c>
    </row>
    <row r="30" spans="1:7" ht="15" customHeight="1" x14ac:dyDescent="0.25">
      <c r="A30" s="10">
        <v>10</v>
      </c>
      <c r="B30" s="10" t="str">
        <f>INDEX(Clean_Data!$A$2:$A$1466,MATCH(LARGE(Clean_Data!$L$2:$L$1466,10),Clean_Data!$L$2:$L$1466,0))</f>
        <v>LAPSTER Spiral Charger Spiral Charger Cable Protectors for Wires Data Cable Saver Charging Cord Protective Cable Cover Set of 3 (12 Pieces)</v>
      </c>
      <c r="C30" s="10" t="str">
        <f>INDEX(Clean_Data!$B$2:$B$1466,MATCH(LARGE(Clean_Data!$L$2:$L$1466,10),Clean_Data!$L$2:$L$1466,0))</f>
        <v>LAPSTER</v>
      </c>
      <c r="D30" s="18">
        <f>INDEX(Clean_Data!$F$2:$F$1466,MATCH(LARGE(Clean_Data!$L$2:$L$1466,10),Clean_Data!$L$2:$L$1466,0))</f>
        <v>0.9</v>
      </c>
      <c r="E30" s="17">
        <f>INDEX(Clean_Data!$E$2:$E$1466,MATCH(LARGE(Clean_Data!$L$2:$L$1466,10),Clean_Data!$L$2:$L$1466,0))</f>
        <v>999</v>
      </c>
      <c r="F30" s="17">
        <f>INDEX(Clean_Data!$D$2:$D$1466,MATCH(LARGE(Clean_Data!$L$2:$L$1466,10),Clean_Data!$L$2:$L$1466,0))</f>
        <v>99</v>
      </c>
    </row>
    <row r="31" spans="1:7" ht="15" customHeight="1" x14ac:dyDescent="0.25">
      <c r="A31" s="10">
        <v>11</v>
      </c>
      <c r="B31" s="10" t="str">
        <f>INDEX(Clean_Data!$A$2:$A$1466,MATCH(LARGE(Clean_Data!$L$2:$L$1466,11),Clean_Data!$L$2:$L$1466,0))</f>
        <v>LAPSTER 12pcs Spiral Cable Protectors for Charger, Wires, Data Charger Cable Protector for Computers, Cell Phones etc.(Grey)</v>
      </c>
      <c r="C31" s="10" t="str">
        <f>INDEX(Clean_Data!$B$2:$B$1466,MATCH(LARGE(Clean_Data!$L$2:$L$1466,11),Clean_Data!$L$2:$L$1466,0))</f>
        <v>LAPSTER</v>
      </c>
      <c r="D31" s="18">
        <f>INDEX(Clean_Data!$F$2:$F$1466,MATCH(LARGE(Clean_Data!$L$2:$L$1466,11),Clean_Data!$L$2:$L$1466,0))</f>
        <v>0.9</v>
      </c>
      <c r="E31" s="17">
        <f>INDEX(Clean_Data!$E$2:$E$1466,MATCH(LARGE(Clean_Data!$L$2:$L$1466,11),Clean_Data!$L$2:$L$1466,0))</f>
        <v>999</v>
      </c>
      <c r="F31" s="17">
        <f>INDEX(Clean_Data!$D$2:$D$1466,MATCH(LARGE(Clean_Data!$L$2:$L$1466,11),Clean_Data!$L$2:$L$1466,0))</f>
        <v>99</v>
      </c>
    </row>
    <row r="32" spans="1:7" ht="15" customHeight="1" x14ac:dyDescent="0.25">
      <c r="A32" s="10">
        <v>12</v>
      </c>
      <c r="B32" s="10" t="str">
        <f>INDEX(Clean_Data!$A$2:$A$1466,MATCH(LARGE(Clean_Data!$L$2:$L$1466,12),Clean_Data!$L$2:$L$1466,0))</f>
        <v>Sounce Protective Case Cover Compatible Boat Xtend Overall Protective Case TPU HD Clear Ultra-Thin Cover with Unbreakable Screen Guard</v>
      </c>
      <c r="C32" s="10" t="str">
        <f>INDEX(Clean_Data!$B$2:$B$1466,MATCH(LARGE(Clean_Data!$L$2:$L$1466,12),Clean_Data!$L$2:$L$1466,0))</f>
        <v>Sounce</v>
      </c>
      <c r="D32" s="18">
        <f>INDEX(Clean_Data!$F$2:$F$1466,MATCH(LARGE(Clean_Data!$L$2:$L$1466,12),Clean_Data!$L$2:$L$1466,0))</f>
        <v>0.9</v>
      </c>
      <c r="E32" s="17">
        <f>INDEX(Clean_Data!$E$2:$E$1466,MATCH(LARGE(Clean_Data!$L$2:$L$1466,12),Clean_Data!$L$2:$L$1466,0))</f>
        <v>1899</v>
      </c>
      <c r="F32" s="17">
        <f>INDEX(Clean_Data!$D$2:$D$1466,MATCH(LARGE(Clean_Data!$L$2:$L$1466,12),Clean_Data!$L$2:$L$1466,0))</f>
        <v>199</v>
      </c>
    </row>
    <row r="33" spans="1:6" ht="15" customHeight="1" x14ac:dyDescent="0.25">
      <c r="A33" s="10">
        <v>13</v>
      </c>
      <c r="B33" s="10" t="str">
        <f>INDEX(Clean_Data!$A$2:$A$1466,MATCH(LARGE(Clean_Data!$L$2:$L$1466,13),Clean_Data!$L$2:$L$1466,0))</f>
        <v>Sounce Spiral Charger Cable Protector Data Cable Saver Charging Cord Protective Cable Cover Headphone MacBook Laptop Earphone Cell Phone Set of 3 (Cable Protector (12 Units))</v>
      </c>
      <c r="C33" s="10" t="str">
        <f>INDEX(Clean_Data!$B$2:$B$1466,MATCH(LARGE(Clean_Data!$L$2:$L$1466,13),Clean_Data!$L$2:$L$1466,0))</f>
        <v>Sounce</v>
      </c>
      <c r="D33" s="18">
        <f>INDEX(Clean_Data!$F$2:$F$1466,MATCH(LARGE(Clean_Data!$L$2:$L$1466,13),Clean_Data!$L$2:$L$1466,0))</f>
        <v>0.9</v>
      </c>
      <c r="E33" s="17">
        <f>INDEX(Clean_Data!$E$2:$E$1466,MATCH(LARGE(Clean_Data!$L$2:$L$1466,13),Clean_Data!$L$2:$L$1466,0))</f>
        <v>999</v>
      </c>
      <c r="F33" s="17">
        <f>INDEX(Clean_Data!$D$2:$D$1466,MATCH(LARGE(Clean_Data!$L$2:$L$1466,13),Clean_Data!$L$2:$L$1466,0))</f>
        <v>99</v>
      </c>
    </row>
    <row r="34" spans="1:6" ht="15" customHeight="1" x14ac:dyDescent="0.25">
      <c r="A34" s="10">
        <v>14</v>
      </c>
      <c r="B34" s="10" t="str">
        <f>INDEX(Clean_Data!$A$2:$A$1466,MATCH(LARGE(Clean_Data!$L$2:$L$1466,14),Clean_Data!$L$2:$L$1466,0))</f>
        <v>Sounce Fast Phone Charging Cable &amp; Data Sync USB Cable Compatible for iPhone 13, 12,11, X, 8, 7, 6, 5, iPad Air, Pro, Mini &amp; iOS Devices</v>
      </c>
      <c r="C34" s="10" t="str">
        <f>INDEX(Clean_Data!$B$2:$B$1466,MATCH(LARGE(Clean_Data!$L$2:$L$1466,14),Clean_Data!$L$2:$L$1466,0))</f>
        <v>Sounce</v>
      </c>
      <c r="D34" s="18">
        <f>INDEX(Clean_Data!$F$2:$F$1466,MATCH(LARGE(Clean_Data!$L$2:$L$1466,14),Clean_Data!$L$2:$L$1466,0))</f>
        <v>0.9</v>
      </c>
      <c r="E34" s="17">
        <f>INDEX(Clean_Data!$E$2:$E$1466,MATCH(LARGE(Clean_Data!$L$2:$L$1466,14),Clean_Data!$L$2:$L$1466,0))</f>
        <v>1899</v>
      </c>
      <c r="F34" s="17">
        <f>INDEX(Clean_Data!$D$2:$D$1466,MATCH(LARGE(Clean_Data!$L$2:$L$1466,14),Clean_Data!$L$2:$L$1466,0))</f>
        <v>199</v>
      </c>
    </row>
    <row r="35" spans="1:6" ht="15" customHeight="1" x14ac:dyDescent="0.25">
      <c r="A35" s="10">
        <v>15</v>
      </c>
      <c r="B35" s="10" t="str">
        <f>INDEX(Clean_Data!$A$2:$A$1466,MATCH(LARGE(Clean_Data!$L$2:$L$1466,15),Clean_Data!$L$2:$L$1466,0))</f>
        <v>pTron Solero M241 2.4A Micro USB Data &amp; Charging Cable, Made in India, 480Mbps Data Sync, Durable 1-Meter Long USB Cable for Micro USB Devices (White)</v>
      </c>
      <c r="C35" s="10" t="str">
        <f>INDEX(Clean_Data!$B$2:$B$1466,MATCH(LARGE(Clean_Data!$L$2:$L$1466,15),Clean_Data!$L$2:$L$1466,0))</f>
        <v>pTron</v>
      </c>
      <c r="D35" s="18">
        <f>INDEX(Clean_Data!$F$2:$F$1466,MATCH(LARGE(Clean_Data!$L$2:$L$1466,15),Clean_Data!$L$2:$L$1466,0))</f>
        <v>0.89</v>
      </c>
      <c r="E35" s="17">
        <f>INDEX(Clean_Data!$E$2:$E$1466,MATCH(LARGE(Clean_Data!$L$2:$L$1466,15),Clean_Data!$L$2:$L$1466,0))</f>
        <v>800</v>
      </c>
      <c r="F35" s="17">
        <f>INDEX(Clean_Data!$D$2:$D$1466,MATCH(LARGE(Clean_Data!$L$2:$L$1466,15),Clean_Data!$L$2:$L$1466,0))</f>
        <v>89</v>
      </c>
    </row>
  </sheetData>
  <pageMargins left="0.3" right="0.3" top="0.4" bottom="0.4"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6"/>
  <sheetViews>
    <sheetView showGridLines="0" tabSelected="1" zoomScaleNormal="100" workbookViewId="0">
      <selection activeCell="K32" sqref="K32"/>
    </sheetView>
  </sheetViews>
  <sheetFormatPr defaultColWidth="8.7109375" defaultRowHeight="15" x14ac:dyDescent="0.25"/>
  <cols>
    <col min="1" max="1" width="3" style="1" customWidth="1"/>
    <col min="2" max="26" width="11" style="1" customWidth="1"/>
  </cols>
  <sheetData>
    <row r="2" spans="2:20" ht="26.25" customHeight="1" x14ac:dyDescent="0.4">
      <c r="B2" s="25" t="s">
        <v>3696</v>
      </c>
    </row>
    <row r="3" spans="2:20" ht="15" customHeight="1" x14ac:dyDescent="0.25">
      <c r="B3" s="3" t="s">
        <v>3697</v>
      </c>
    </row>
    <row r="5" spans="2:20" ht="18" customHeight="1" x14ac:dyDescent="0.25">
      <c r="B5" s="26" t="s">
        <v>3698</v>
      </c>
      <c r="C5" s="27"/>
      <c r="D5" s="27"/>
      <c r="F5" s="26" t="s">
        <v>3670</v>
      </c>
      <c r="G5" s="27"/>
      <c r="H5" s="27"/>
      <c r="J5" s="26" t="s">
        <v>3669</v>
      </c>
      <c r="K5" s="27"/>
      <c r="L5" s="27"/>
      <c r="N5" s="26" t="s">
        <v>3671</v>
      </c>
      <c r="O5" s="27"/>
      <c r="P5" s="27"/>
      <c r="R5" s="26" t="s">
        <v>3699</v>
      </c>
      <c r="S5" s="27"/>
      <c r="T5" s="27"/>
    </row>
    <row r="6" spans="2:20" ht="31.5" customHeight="1" x14ac:dyDescent="0.25">
      <c r="B6" s="30">
        <f>COUNTA(Clean_Data!A2:A1466)</f>
        <v>1465</v>
      </c>
      <c r="C6" s="27"/>
      <c r="D6" s="27"/>
      <c r="F6" s="29">
        <f>AVERAGE(Clean_Data!G2:G1466)</f>
        <v>4.0965846994535662</v>
      </c>
      <c r="G6" s="27"/>
      <c r="H6" s="27"/>
      <c r="J6" s="28">
        <f>AVERAGE(Clean_Data!F2:F1466)</f>
        <v>0.47691467576791774</v>
      </c>
      <c r="K6" s="27"/>
      <c r="L6" s="27"/>
      <c r="N6" s="31">
        <f>SUM(Clean_Data!H2:H1466)</f>
        <v>26766377</v>
      </c>
      <c r="O6" s="27"/>
      <c r="P6" s="27"/>
      <c r="R6" s="32">
        <f>AVERAGE(Clean_Data!I2:I1466)</f>
        <v>2319.6797610921503</v>
      </c>
      <c r="S6" s="27"/>
      <c r="T6" s="27"/>
    </row>
  </sheetData>
  <mergeCells count="10">
    <mergeCell ref="R5:T5"/>
    <mergeCell ref="N5:P5"/>
    <mergeCell ref="B6:D6"/>
    <mergeCell ref="N6:P6"/>
    <mergeCell ref="R6:T6"/>
    <mergeCell ref="J5:L5"/>
    <mergeCell ref="J6:L6"/>
    <mergeCell ref="B5:D5"/>
    <mergeCell ref="F6:H6"/>
    <mergeCell ref="F5:H5"/>
  </mergeCells>
  <pageMargins left="0.3" right="0.3" top="0.4" bottom="0.4" header="0.511811023622047" footer="0.511811023622047"/>
  <pageSetup paperSize="9"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Raw_Data</vt:lpstr>
      <vt:lpstr>Clean_Data</vt:lpstr>
      <vt:lpstr>Brand_Summary</vt:lpstr>
      <vt:lpstr>Category_Summary</vt:lpstr>
      <vt:lpstr>Top_Products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Suthar</cp:lastModifiedBy>
  <cp:revision>3</cp:revision>
  <dcterms:created xsi:type="dcterms:W3CDTF">2026-06-16T08:28:48Z</dcterms:created>
  <dcterms:modified xsi:type="dcterms:W3CDTF">2026-06-16T09:16:04Z</dcterms:modified>
  <dc:language>en-US</dc:language>
</cp:coreProperties>
</file>